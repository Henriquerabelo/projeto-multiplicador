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5aebc8d3a6a762/Documentos/Projeto-Multiplicador/"/>
    </mc:Choice>
  </mc:AlternateContent>
  <xr:revisionPtr revIDLastSave="98" documentId="13_ncr:1_{4D0AA66D-78B5-4210-AAD7-FD6E1B0672B4}" xr6:coauthVersionLast="47" xr6:coauthVersionMax="47" xr10:uidLastSave="{BC449980-4BED-4ECB-BC6E-BFB68EB3EBE7}"/>
  <bookViews>
    <workbookView xWindow="-108" yWindow="-108" windowWidth="23256" windowHeight="12456" tabRatio="781" activeTab="4" xr2:uid="{A270AA43-A8DD-4734-8B56-C3E92C08B0BE}"/>
  </bookViews>
  <sheets>
    <sheet name="AG 458 FRECHEIRINHA" sheetId="18" r:id="rId1"/>
    <sheet name="AG 726 TIANGUÁ" sheetId="19" r:id="rId2"/>
    <sheet name="AG 727 VIÇOSA" sheetId="22" r:id="rId3"/>
    <sheet name="AG 752 IBIAPINA" sheetId="21" r:id="rId4"/>
    <sheet name="Rel 2026" sheetId="11" r:id="rId5"/>
  </sheets>
  <definedNames>
    <definedName name="DadosExternos_1" localSheetId="0" hidden="1">'AG 458 FRECHEIRINHA'!$C$1:$AJ$5</definedName>
    <definedName name="DadosExternos_1" localSheetId="1" hidden="1">'AG 726 TIANGUÁ'!$D$1:$AJ$12</definedName>
    <definedName name="DadosExternos_1" localSheetId="2" hidden="1">'AG 727 VIÇOSA'!$D$1:$AJ$2</definedName>
    <definedName name="DadosExternos_1" localSheetId="3" hidden="1">'AG 752 IBIAPINA'!$D$1:$AJ$11</definedName>
    <definedName name="DadosExternos_1" localSheetId="4" hidden="1">'Rel 2026'!$D$1:$AK$37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8" i="11" l="1"/>
  <c r="Q38" i="11"/>
  <c r="R38" i="11"/>
  <c r="S38" i="11"/>
  <c r="Z38" i="11"/>
  <c r="AA38" i="11"/>
  <c r="AB38" i="11"/>
  <c r="AC38" i="11"/>
  <c r="AD38" i="11"/>
  <c r="AE38" i="11"/>
  <c r="AF38" i="11"/>
  <c r="C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AL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30" i="11"/>
  <c r="AL31" i="11"/>
  <c r="AL32" i="11"/>
  <c r="AL33" i="11"/>
  <c r="AL34" i="11"/>
  <c r="AL35" i="11"/>
  <c r="AL36" i="11"/>
  <c r="AL37" i="11"/>
  <c r="AM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30" i="11"/>
  <c r="AM31" i="11"/>
  <c r="AM32" i="11"/>
  <c r="AM33" i="11"/>
  <c r="AM34" i="11"/>
  <c r="AM35" i="11"/>
  <c r="AM36" i="11"/>
  <c r="AM37" i="11"/>
  <c r="AN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O12" i="21"/>
  <c r="P12" i="21"/>
  <c r="Q12" i="21"/>
  <c r="R12" i="21"/>
  <c r="Y12" i="21"/>
  <c r="Z12" i="21"/>
  <c r="AA12" i="21"/>
  <c r="AB12" i="21"/>
  <c r="AC12" i="21"/>
  <c r="AD12" i="21"/>
  <c r="AE12" i="21"/>
  <c r="C2" i="21"/>
  <c r="C3" i="21"/>
  <c r="C4" i="21"/>
  <c r="C5" i="21"/>
  <c r="C6" i="21"/>
  <c r="C7" i="21"/>
  <c r="C8" i="21"/>
  <c r="C9" i="21"/>
  <c r="C10" i="21"/>
  <c r="C11" i="21"/>
  <c r="AK2" i="21"/>
  <c r="A2" i="21" s="1"/>
  <c r="AK3" i="21"/>
  <c r="A3" i="21" s="1"/>
  <c r="AK4" i="21"/>
  <c r="A4" i="21" s="1"/>
  <c r="AK5" i="21"/>
  <c r="A5" i="21" s="1"/>
  <c r="AK6" i="21"/>
  <c r="A6" i="21" s="1"/>
  <c r="AK7" i="21"/>
  <c r="A7" i="21" s="1"/>
  <c r="AK8" i="21"/>
  <c r="A8" i="21" s="1"/>
  <c r="AK9" i="21"/>
  <c r="A9" i="21" s="1"/>
  <c r="AK10" i="21"/>
  <c r="A10" i="21" s="1"/>
  <c r="AK11" i="21"/>
  <c r="A11" i="21" s="1"/>
  <c r="O6" i="18"/>
  <c r="P6" i="18"/>
  <c r="Q6" i="18"/>
  <c r="R6" i="18"/>
  <c r="Y6" i="18"/>
  <c r="Z6" i="18"/>
  <c r="AA6" i="18"/>
  <c r="AB6" i="18"/>
  <c r="AC6" i="18"/>
  <c r="AD6" i="18"/>
  <c r="AE6" i="18"/>
  <c r="B2" i="18"/>
  <c r="B3" i="18"/>
  <c r="B4" i="18"/>
  <c r="B5" i="18"/>
  <c r="AK2" i="18"/>
  <c r="A2" i="18" s="1"/>
  <c r="AK3" i="18"/>
  <c r="A3" i="18" s="1"/>
  <c r="AK4" i="18"/>
  <c r="A4" i="18" s="1"/>
  <c r="AK5" i="18"/>
  <c r="A5" i="18" s="1"/>
  <c r="O3" i="22"/>
  <c r="P3" i="22"/>
  <c r="Q3" i="22"/>
  <c r="R3" i="22"/>
  <c r="Y3" i="22"/>
  <c r="Z3" i="22"/>
  <c r="AA3" i="22"/>
  <c r="AB3" i="22"/>
  <c r="AC3" i="22"/>
  <c r="AD3" i="22"/>
  <c r="AE3" i="22"/>
  <c r="O13" i="19"/>
  <c r="P13" i="19"/>
  <c r="Q13" i="19"/>
  <c r="R13" i="19"/>
  <c r="Y13" i="19"/>
  <c r="Z13" i="19"/>
  <c r="AA13" i="19"/>
  <c r="AB13" i="19"/>
  <c r="AC13" i="19"/>
  <c r="AD13" i="19"/>
  <c r="AE13" i="19"/>
  <c r="C2" i="19"/>
  <c r="C3" i="19"/>
  <c r="C4" i="19"/>
  <c r="C5" i="19"/>
  <c r="C6" i="19"/>
  <c r="C7" i="19"/>
  <c r="C8" i="19"/>
  <c r="C9" i="19"/>
  <c r="C10" i="19"/>
  <c r="C11" i="19"/>
  <c r="C12" i="19"/>
  <c r="AK2" i="19"/>
  <c r="A2" i="19" s="1"/>
  <c r="AK3" i="19"/>
  <c r="A3" i="19" s="1"/>
  <c r="AK4" i="19"/>
  <c r="A4" i="19" s="1"/>
  <c r="AK5" i="19"/>
  <c r="A5" i="19" s="1"/>
  <c r="AK6" i="19"/>
  <c r="A6" i="19" s="1"/>
  <c r="AK7" i="19"/>
  <c r="A7" i="19" s="1"/>
  <c r="AK8" i="19"/>
  <c r="A8" i="19" s="1"/>
  <c r="AK9" i="19"/>
  <c r="A9" i="19" s="1"/>
  <c r="AK10" i="19"/>
  <c r="A10" i="19" s="1"/>
  <c r="AK11" i="19"/>
  <c r="A11" i="19" s="1"/>
  <c r="AK12" i="19"/>
  <c r="A12" i="19" s="1"/>
  <c r="A2" i="11" l="1"/>
  <c r="B2" i="11"/>
  <c r="B3" i="11"/>
  <c r="A3" i="11"/>
  <c r="B4" i="11"/>
  <c r="A4" i="11"/>
  <c r="A5" i="11"/>
  <c r="B5" i="11"/>
  <c r="B6" i="11"/>
  <c r="A6" i="11"/>
  <c r="A7" i="11"/>
  <c r="B7" i="11"/>
  <c r="B8" i="11"/>
  <c r="A8" i="11"/>
  <c r="A9" i="11"/>
  <c r="B9" i="11"/>
  <c r="A10" i="11"/>
  <c r="B10" i="11"/>
  <c r="A11" i="11"/>
  <c r="B11" i="11"/>
  <c r="A12" i="11"/>
  <c r="B12" i="11"/>
  <c r="B13" i="11"/>
  <c r="A13" i="11"/>
  <c r="A14" i="11"/>
  <c r="B14" i="11"/>
  <c r="B15" i="11"/>
  <c r="A15" i="11"/>
  <c r="A16" i="11"/>
  <c r="B16" i="11"/>
  <c r="B17" i="11"/>
  <c r="A17" i="11"/>
  <c r="B18" i="11"/>
  <c r="A18" i="11"/>
  <c r="B19" i="11"/>
  <c r="A19" i="11"/>
  <c r="B20" i="11"/>
  <c r="A20" i="11"/>
  <c r="B21" i="11"/>
  <c r="A21" i="11"/>
  <c r="A22" i="11"/>
  <c r="B22" i="11"/>
  <c r="A23" i="11"/>
  <c r="B23" i="11"/>
  <c r="A24" i="11"/>
  <c r="B24" i="11"/>
  <c r="A25" i="11"/>
  <c r="B25" i="11"/>
  <c r="A26" i="11"/>
  <c r="B26" i="11"/>
  <c r="A27" i="11"/>
  <c r="B27" i="11"/>
  <c r="A28" i="11"/>
  <c r="B28" i="11"/>
  <c r="A29" i="11"/>
  <c r="B29" i="11"/>
  <c r="A30" i="11"/>
  <c r="B30" i="11"/>
  <c r="A31" i="11"/>
  <c r="B31" i="11"/>
  <c r="A32" i="11"/>
  <c r="B32" i="11"/>
  <c r="A33" i="11"/>
  <c r="B33" i="11"/>
  <c r="A34" i="11"/>
  <c r="B34" i="11"/>
  <c r="B35" i="11"/>
  <c r="A35" i="11"/>
  <c r="A36" i="11"/>
  <c r="B36" i="11"/>
  <c r="A37" i="11"/>
  <c r="B37" i="11"/>
  <c r="B45" i="11" l="1"/>
  <c r="B42" i="11"/>
  <c r="B44" i="11"/>
  <c r="B43" i="11"/>
  <c r="C43" i="11"/>
  <c r="C44" i="11"/>
  <c r="C42" i="11"/>
  <c r="C45" i="11"/>
  <c r="B46" i="11" l="1"/>
  <c r="D43" i="11" l="1"/>
  <c r="D42" i="11"/>
  <c r="D44" i="11"/>
  <c r="E44" i="11"/>
  <c r="C46" i="11"/>
  <c r="E42" i="11" s="1"/>
  <c r="H42" i="11"/>
  <c r="H44" i="11"/>
  <c r="H43" i="11"/>
  <c r="E43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C63E22-9227-4F79-A3A6-45295D60C462}" keepAlive="1" name="Consulta - Rel 2026" description="Conexão com a consulta 'Rel 2026' na pasta de trabalho." type="5" refreshedVersion="8" background="1" saveData="1">
    <dbPr connection="Provider=Microsoft.Mashup.OleDb.1;Data Source=$Workbook$;Location=&quot;Rel 2026&quot;;Extended Properties=&quot;&quot;" command="SELECT * FROM [Rel 2026]"/>
  </connection>
  <connection id="2" xr16:uid="{0CB5C771-32F7-4CC2-90BB-3700301DCB38}" keepAlive="1" name="Consulta - Rel 2026 Ag 458" description="Conexão com a consulta 'Rel 2026 Ag 458' na pasta de trabalho." type="5" refreshedVersion="8" background="1" saveData="1">
    <dbPr connection="Provider=Microsoft.Mashup.OleDb.1;Data Source=$Workbook$;Location=&quot;Rel 2026 Ag 458&quot;;Extended Properties=&quot;&quot;" command="SELECT * FROM [Rel 2026 Ag 458]"/>
  </connection>
  <connection id="3" xr16:uid="{73638EA4-4132-478E-84BA-A11D0B3BC755}" keepAlive="1" name="Consulta - Rel 2026 Ag 726" description="Conexão com a consulta 'Rel 2026 Ag 726' na pasta de trabalho." type="5" refreshedVersion="8" background="1" saveData="1">
    <dbPr connection="Provider=Microsoft.Mashup.OleDb.1;Data Source=$Workbook$;Location=&quot;Rel 2026 Ag 726&quot;;Extended Properties=&quot;&quot;" command="SELECT * FROM [Rel 2026 Ag 726]"/>
  </connection>
  <connection id="4" xr16:uid="{95CF2606-A9CA-4C65-B89E-28C36810FF4B}" keepAlive="1" name="Consulta - Rel 2026 Ag 727" description="Conexão com a consulta 'Rel 2026 Ag 727' na pasta de trabalho." type="5" refreshedVersion="8" background="1" saveData="1">
    <dbPr connection="Provider=Microsoft.Mashup.OleDb.1;Data Source=$Workbook$;Location=&quot;Rel 2026 Ag 727&quot;;Extended Properties=&quot;&quot;" command="SELECT * FROM [Rel 2026 Ag 727]"/>
  </connection>
  <connection id="5" xr16:uid="{F7B2DD73-B4D2-4DFF-8D47-CCDCDDD5C2FF}" keepAlive="1" name="Consulta - Rel 2026 Ag 752" description="Conexão com a consulta 'Rel 2026 Ag 752' na pasta de trabalho." type="5" refreshedVersion="8" background="1" saveData="1">
    <dbPr connection="Provider=Microsoft.Mashup.OleDb.1;Data Source=$Workbook$;Location=&quot;Rel 2026 Ag 752&quot;;Extended Properties=&quot;&quot;" command="SELECT * FROM [Rel 2026 Ag 752]"/>
  </connection>
  <connection id="6" xr16:uid="{F10C5DC1-AEE1-4B6D-A1B1-48B1E2B6E50A}" keepAlive="1" name="Consulta - Rel 2026 Geral" description="Conexão com a consulta 'Rel 2026 Geral' na pasta de trabalho." type="5" refreshedVersion="8" background="1" saveData="1">
    <dbPr connection="Provider=Microsoft.Mashup.OleDb.1;Data Source=$Workbook$;Location=&quot;Rel 2026 Geral&quot;;Extended Properties=&quot;&quot;" command="SELECT * FROM [Rel 2026 Geral]"/>
  </connection>
</connections>
</file>

<file path=xl/sharedStrings.xml><?xml version="1.0" encoding="utf-8"?>
<sst xmlns="http://schemas.openxmlformats.org/spreadsheetml/2006/main" count="747" uniqueCount="138">
  <si>
    <t>nome_loja</t>
  </si>
  <si>
    <t>ag_pacb</t>
  </si>
  <si>
    <t>dt_inst_tablet</t>
  </si>
  <si>
    <t>uf</t>
  </si>
  <si>
    <t>municipio</t>
  </si>
  <si>
    <t>dt_clube</t>
  </si>
  <si>
    <t>dt_certificacao</t>
  </si>
  <si>
    <t>ger_regional</t>
  </si>
  <si>
    <t>data_ult_transacao</t>
  </si>
  <si>
    <t>qtd_TrxContabil</t>
  </si>
  <si>
    <t>qtd_contas</t>
  </si>
  <si>
    <t>qtd_contas_com_deposito</t>
  </si>
  <si>
    <t>qtd_cesta_serv</t>
  </si>
  <si>
    <t>QTD_CARTAO_EMITIDO</t>
  </si>
  <si>
    <t>vlr_lime</t>
  </si>
  <si>
    <t>QTD_CONTAS_PJ</t>
  </si>
  <si>
    <t>qtd_microsseguro</t>
  </si>
  <si>
    <t>QTD_SUPER_PROTEGIDO</t>
  </si>
  <si>
    <t>QTD_MICRO_VIVAVIDA</t>
  </si>
  <si>
    <t>QTD_PLANO_ODONTO</t>
  </si>
  <si>
    <t>QTD_SEG_RESIDENCIAL</t>
  </si>
  <si>
    <t>QTD_SEG_CARTAO_DEB</t>
  </si>
  <si>
    <t>CE</t>
  </si>
  <si>
    <t>Nao</t>
  </si>
  <si>
    <t>Desbloqueado</t>
  </si>
  <si>
    <t>TREINADO</t>
  </si>
  <si>
    <t>Sim</t>
  </si>
  <si>
    <t>FARMACIA MAIS SAUDE</t>
  </si>
  <si>
    <t>Pontuação</t>
  </si>
  <si>
    <t>Elegível</t>
  </si>
  <si>
    <t>Resumo</t>
  </si>
  <si>
    <t>Próximo</t>
  </si>
  <si>
    <t>Não</t>
  </si>
  <si>
    <t>Responsável</t>
  </si>
  <si>
    <t>RESIDENCIAL</t>
  </si>
  <si>
    <t>DENTAL</t>
  </si>
  <si>
    <t>MICRO</t>
  </si>
  <si>
    <t>TRANSACIONAL</t>
  </si>
  <si>
    <t>Agência</t>
  </si>
  <si>
    <t>VLR_EXP_SORTE</t>
  </si>
  <si>
    <t>Status</t>
  </si>
  <si>
    <t>REFERENCIA</t>
  </si>
  <si>
    <t>BLOQUEADO</t>
  </si>
  <si>
    <t>DT_BLOQUEADO</t>
  </si>
  <si>
    <t>TERESINA</t>
  </si>
  <si>
    <t>FORTALEZA OESTE</t>
  </si>
  <si>
    <t>FARMACIA VASCONCELOS</t>
  </si>
  <si>
    <t>0726/165</t>
  </si>
  <si>
    <t>TIANGUA</t>
  </si>
  <si>
    <t>0752/128</t>
  </si>
  <si>
    <t>IBIAPINA</t>
  </si>
  <si>
    <t>KAIO SUPERMERCADO</t>
  </si>
  <si>
    <t>0726/150</t>
  </si>
  <si>
    <t>FARMACIA PRO SAUDE</t>
  </si>
  <si>
    <t>0752/932</t>
  </si>
  <si>
    <t>UBAJARA</t>
  </si>
  <si>
    <t>Farmacia Fortvida</t>
  </si>
  <si>
    <t>0752/144</t>
  </si>
  <si>
    <t>MERCEARIA O NILTON</t>
  </si>
  <si>
    <t>VICOSA DO CEARA</t>
  </si>
  <si>
    <t>NEPOPHARMA</t>
  </si>
  <si>
    <t>0752/091</t>
  </si>
  <si>
    <t>JCL TELAS</t>
  </si>
  <si>
    <t>FARMACIA DONA BRANCA</t>
  </si>
  <si>
    <t>0726/158</t>
  </si>
  <si>
    <t>Connect+</t>
  </si>
  <si>
    <t>0726/175</t>
  </si>
  <si>
    <t>Mercadinho Cesar</t>
  </si>
  <si>
    <t>Supermercado Central</t>
  </si>
  <si>
    <t>0752/142</t>
  </si>
  <si>
    <t>Alencar Construcoes</t>
  </si>
  <si>
    <t>0726/179</t>
  </si>
  <si>
    <t>ELSON COMPUTADORES</t>
  </si>
  <si>
    <t>0458/389</t>
  </si>
  <si>
    <t>FRECHEIRINHA</t>
  </si>
  <si>
    <t>LOJA PONTO DOMINANTE</t>
  </si>
  <si>
    <t>0458/367</t>
  </si>
  <si>
    <t>MERCADINHO POPULAR</t>
  </si>
  <si>
    <t>0752/068</t>
  </si>
  <si>
    <t>SUPER BARATEIRO</t>
  </si>
  <si>
    <t>0458/393</t>
  </si>
  <si>
    <t>VITRINA MULTITUDO</t>
  </si>
  <si>
    <t>0458/384</t>
  </si>
  <si>
    <t>LL RACOES</t>
  </si>
  <si>
    <t>0752/124</t>
  </si>
  <si>
    <t>MERCADINHO SARAIVA</t>
  </si>
  <si>
    <t>Cantinho Baby</t>
  </si>
  <si>
    <t>0726/176</t>
  </si>
  <si>
    <t>Super Tio Augusto 0004</t>
  </si>
  <si>
    <t>0752/143</t>
  </si>
  <si>
    <t>TEM DE TUDO BOMBONIERE E EMBALAGENS</t>
  </si>
  <si>
    <t>0752/122</t>
  </si>
  <si>
    <t>PADARIA IZAACK PAES</t>
  </si>
  <si>
    <t>0752/134</t>
  </si>
  <si>
    <t>ALEX SIQUEIRA</t>
  </si>
  <si>
    <t>IMPERIO RACOES</t>
  </si>
  <si>
    <t>0726/249</t>
  </si>
  <si>
    <t>0726/268</t>
  </si>
  <si>
    <t>0726/255</t>
  </si>
  <si>
    <t>0726/266</t>
  </si>
  <si>
    <t>0726/274</t>
  </si>
  <si>
    <t>0726/270</t>
  </si>
  <si>
    <t>VLR_CREDITO_PARCEL</t>
  </si>
  <si>
    <t>Zero</t>
  </si>
  <si>
    <t>DROGARIA BRASIL POPULAR</t>
  </si>
  <si>
    <t>0726/273</t>
  </si>
  <si>
    <t>chave_loja</t>
  </si>
  <si>
    <t>vlr_consignado_total</t>
  </si>
  <si>
    <t>vlr_consignado_inss</t>
  </si>
  <si>
    <t>vlr_consignado_pub</t>
  </si>
  <si>
    <t>vlr_consignado_priv</t>
  </si>
  <si>
    <t>Style Variedades</t>
  </si>
  <si>
    <t>0752/145</t>
  </si>
  <si>
    <t>Bloqueado</t>
  </si>
  <si>
    <t>Super Tio Augusto 0005</t>
  </si>
  <si>
    <t>0752/147</t>
  </si>
  <si>
    <t>OFICINA DO CELULAR</t>
  </si>
  <si>
    <t>NUTRIMAX SUPLEMENTOS</t>
  </si>
  <si>
    <t>0752/146</t>
  </si>
  <si>
    <t>Posto De Medicamentos Sao Lucas</t>
  </si>
  <si>
    <t>0752/139</t>
  </si>
  <si>
    <t>EUCLIDES</t>
  </si>
  <si>
    <t>CASA DOS RECEPTORES</t>
  </si>
  <si>
    <t>0726/278</t>
  </si>
  <si>
    <t>MERCADINHO BOM PRECO</t>
  </si>
  <si>
    <t>0726/063</t>
  </si>
  <si>
    <t>Nutri Farma</t>
  </si>
  <si>
    <t>0726/213</t>
  </si>
  <si>
    <t>Mercadinho Cynara</t>
  </si>
  <si>
    <t>0726/214</t>
  </si>
  <si>
    <t>F C FARMACIA</t>
  </si>
  <si>
    <t>0726/198</t>
  </si>
  <si>
    <t>SUPER TIO AUGUSTO 0003</t>
  </si>
  <si>
    <t>0752/127</t>
  </si>
  <si>
    <t>MUCAMBO</t>
  </si>
  <si>
    <t>Pontuação2</t>
  </si>
  <si>
    <t>Elegível2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</si>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</sst>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0" fontId="0" fillId="0" borderId="1" xfId="1" applyNumberFormat="1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right"/>
    </xf>
    <xf numFmtId="10" fontId="0" fillId="0" borderId="6" xfId="1" applyNumberFormat="1" applyFont="1" applyBorder="1"/>
    <xf numFmtId="0" fontId="0" fillId="0" borderId="1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8" xfId="0" applyBorder="1" applyAlignment="1">
      <alignment horizontal="right"/>
    </xf>
  </cellXfs>
  <cellStyles count="2">
    <cellStyle name="Normal" xfId="0" builtinId="0"/>
    <cellStyle name="Porcentagem" xfId="1" builtinId="5"/>
  </cellStyles>
  <dxfs count="18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6B765C02-5533-4AEA-A8D0-AF5904B7F667}" autoFormatId="16" applyNumberFormats="0" applyBorderFormats="0" applyFontFormats="0" applyPatternFormats="0" applyAlignmentFormats="0" applyWidthHeightFormats="0">
  <queryTableRefresh nextId="110" unboundColumnsLeft="2" unboundColumnsRight="1">
    <queryTableFields count="37">
      <queryTableField id="42" dataBound="0" tableColumnId="42"/>
      <queryTableField id="48" dataBound="0" tableColumnId="48"/>
      <queryTableField id="83" name="chave_loja" tableColumnId="1"/>
      <queryTableField id="74" name="Responsável" tableColumnId="46"/>
      <queryTableField id="2" name="nome_loja" tableColumnId="2"/>
      <queryTableField id="3" name="ag_pacb" tableColumnId="3"/>
      <queryTableField id="4" name="dt_inst_tablet" tableColumnId="4"/>
      <queryTableField id="6" name="uf" tableColumnId="6"/>
      <queryTableField id="7" name="municipio" tableColumnId="7"/>
      <queryTableField id="8" name="dt_clube" tableColumnId="8"/>
      <queryTableField id="9" name="dt_certificacao" tableColumnId="9"/>
      <queryTableField id="10" name="ger_regional" tableColumnId="10"/>
      <queryTableField id="11" name="data_ult_transacao" tableColumnId="11"/>
      <queryTableField id="12" name="qtd_TrxContabil" tableColumnId="12"/>
      <queryTableField id="13" name="qtd_contas" tableColumnId="13"/>
      <queryTableField id="14" name="qtd_contas_com_deposito" tableColumnId="14"/>
      <queryTableField id="15" name="qtd_cesta_serv" tableColumnId="15"/>
      <queryTableField id="18" name="QTD_CARTAO_EMITIDO" tableColumnId="18"/>
      <queryTableField id="84" name="vlr_consignado_total" tableColumnId="5"/>
      <queryTableField id="85" name="vlr_consignado_inss" tableColumnId="16"/>
      <queryTableField id="86" name="vlr_consignado_pub" tableColumnId="17"/>
      <queryTableField id="87" name="vlr_consignado_priv" tableColumnId="19"/>
      <queryTableField id="78" name="VLR_CREDITO_PARCEL" tableColumnId="41"/>
      <queryTableField id="23" name="vlr_lime" tableColumnId="23"/>
      <queryTableField id="28" name="QTD_CONTAS_PJ" tableColumnId="28"/>
      <queryTableField id="30" name="qtd_microsseguro" tableColumnId="30"/>
      <queryTableField id="31" name="QTD_SUPER_PROTEGIDO" tableColumnId="31"/>
      <queryTableField id="32" name="QTD_MICRO_VIVAVIDA" tableColumnId="32"/>
      <queryTableField id="33" name="QTD_PLANO_ODONTO" tableColumnId="33"/>
      <queryTableField id="34" name="QTD_SEG_RESIDENCIAL" tableColumnId="34"/>
      <queryTableField id="35" name="QTD_SEG_CARTAO_DEB" tableColumnId="35"/>
      <queryTableField id="50" name="VLR_EXP_SORTE" tableColumnId="50"/>
      <queryTableField id="36" name="REFERENCIA" tableColumnId="36"/>
      <queryTableField id="37" name="BLOQUEADO" tableColumnId="37"/>
      <queryTableField id="68" name="DT_BLOQUEADO" tableColumnId="38"/>
      <queryTableField id="60" name="Status" tableColumnId="45"/>
      <queryTableField id="40" dataBound="0" tableColumnId="4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C1461F5E-C86E-48CD-97A5-1E58B84A5D64}" autoFormatId="16" applyNumberFormats="0" applyBorderFormats="0" applyFontFormats="0" applyPatternFormats="0" applyAlignmentFormats="0" applyWidthHeightFormats="0">
  <queryTableRefresh nextId="100" unboundColumnsLeft="3" unboundColumnsRight="1">
    <queryTableFields count="37">
      <queryTableField id="42" dataBound="0" tableColumnId="42"/>
      <queryTableField id="41" dataBound="0" tableColumnId="41"/>
      <queryTableField id="48" dataBound="0" tableColumnId="48"/>
      <queryTableField id="76" name="chave_loja" tableColumnId="1"/>
      <queryTableField id="2" name="nome_loja" tableColumnId="2"/>
      <queryTableField id="3" name="ag_pacb" tableColumnId="3"/>
      <queryTableField id="4" name="dt_inst_tablet" tableColumnId="4"/>
      <queryTableField id="6" name="uf" tableColumnId="6"/>
      <queryTableField id="7" name="municipio" tableColumnId="7"/>
      <queryTableField id="8" name="dt_clube" tableColumnId="8"/>
      <queryTableField id="9" name="dt_certificacao" tableColumnId="9"/>
      <queryTableField id="10" name="ger_regional" tableColumnId="10"/>
      <queryTableField id="11" name="data_ult_transacao" tableColumnId="11"/>
      <queryTableField id="12" name="qtd_TrxContabil" tableColumnId="12"/>
      <queryTableField id="13" name="qtd_contas" tableColumnId="13"/>
      <queryTableField id="14" name="qtd_contas_com_deposito" tableColumnId="14"/>
      <queryTableField id="15" name="qtd_cesta_serv" tableColumnId="15"/>
      <queryTableField id="18" name="QTD_CARTAO_EMITIDO" tableColumnId="18"/>
      <queryTableField id="23" name="vlr_lime" tableColumnId="23"/>
      <queryTableField id="77" name="vlr_consignado_total" tableColumnId="5"/>
      <queryTableField id="78" name="vlr_consignado_inss" tableColumnId="16"/>
      <queryTableField id="79" name="vlr_consignado_pub" tableColumnId="17"/>
      <queryTableField id="80" name="vlr_consignado_priv" tableColumnId="19"/>
      <queryTableField id="74" name="VLR_CREDITO_PARCEL" tableColumnId="44"/>
      <queryTableField id="28" name="QTD_CONTAS_PJ" tableColumnId="28"/>
      <queryTableField id="30" name="qtd_microsseguro" tableColumnId="30"/>
      <queryTableField id="31" name="QTD_SUPER_PROTEGIDO" tableColumnId="31"/>
      <queryTableField id="32" name="QTD_MICRO_VIVAVIDA" tableColumnId="32"/>
      <queryTableField id="33" name="QTD_PLANO_ODONTO" tableColumnId="33"/>
      <queryTableField id="34" name="QTD_SEG_RESIDENCIAL" tableColumnId="34"/>
      <queryTableField id="35" name="QTD_SEG_CARTAO_DEB" tableColumnId="35"/>
      <queryTableField id="50" name="VLR_EXP_SORTE" tableColumnId="50"/>
      <queryTableField id="36" name="REFERENCIA" tableColumnId="36"/>
      <queryTableField id="37" name="BLOQUEADO" tableColumnId="37"/>
      <queryTableField id="68" name="DT_BLOQUEADO" tableColumnId="38"/>
      <queryTableField id="60" name="Status" tableColumnId="45"/>
      <queryTableField id="40" dataBound="0" tableColumnId="4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669070D3-D56A-4620-AC18-D1797F2A90C5}" autoFormatId="16" applyNumberFormats="0" applyBorderFormats="0" applyFontFormats="0" applyPatternFormats="0" applyAlignmentFormats="0" applyWidthHeightFormats="0">
  <queryTableRefresh nextId="100" unboundColumnsLeft="3" unboundColumnsRight="1">
    <queryTableFields count="37">
      <queryTableField id="42" dataBound="0" tableColumnId="42"/>
      <queryTableField id="41" dataBound="0" tableColumnId="41"/>
      <queryTableField id="48" dataBound="0" tableColumnId="48"/>
      <queryTableField id="76" name="chave_loja" tableColumnId="1"/>
      <queryTableField id="2" name="nome_loja" tableColumnId="2"/>
      <queryTableField id="3" name="ag_pacb" tableColumnId="3"/>
      <queryTableField id="4" name="dt_inst_tablet" tableColumnId="4"/>
      <queryTableField id="6" name="uf" tableColumnId="6"/>
      <queryTableField id="7" name="municipio" tableColumnId="7"/>
      <queryTableField id="8" name="dt_clube" tableColumnId="8"/>
      <queryTableField id="9" name="dt_certificacao" tableColumnId="9"/>
      <queryTableField id="10" name="ger_regional" tableColumnId="10"/>
      <queryTableField id="11" name="data_ult_transacao" tableColumnId="11"/>
      <queryTableField id="12" name="qtd_TrxContabil" tableColumnId="12"/>
      <queryTableField id="13" name="qtd_contas" tableColumnId="13"/>
      <queryTableField id="14" name="qtd_contas_com_deposito" tableColumnId="14"/>
      <queryTableField id="15" name="qtd_cesta_serv" tableColumnId="15"/>
      <queryTableField id="18" name="QTD_CARTAO_EMITIDO" tableColumnId="18"/>
      <queryTableField id="23" name="vlr_lime" tableColumnId="23"/>
      <queryTableField id="77" name="vlr_consignado_total" tableColumnId="5"/>
      <queryTableField id="78" name="vlr_consignado_inss" tableColumnId="16"/>
      <queryTableField id="79" name="vlr_consignado_pub" tableColumnId="17"/>
      <queryTableField id="80" name="vlr_consignado_priv" tableColumnId="19"/>
      <queryTableField id="74" name="VLR_CREDITO_PARCEL" tableColumnId="44"/>
      <queryTableField id="28" name="QTD_CONTAS_PJ" tableColumnId="28"/>
      <queryTableField id="30" name="qtd_microsseguro" tableColumnId="30"/>
      <queryTableField id="31" name="QTD_SUPER_PROTEGIDO" tableColumnId="31"/>
      <queryTableField id="32" name="QTD_MICRO_VIVAVIDA" tableColumnId="32"/>
      <queryTableField id="33" name="QTD_PLANO_ODONTO" tableColumnId="33"/>
      <queryTableField id="34" name="QTD_SEG_RESIDENCIAL" tableColumnId="34"/>
      <queryTableField id="35" name="QTD_SEG_CARTAO_DEB" tableColumnId="35"/>
      <queryTableField id="50" name="VLR_EXP_SORTE" tableColumnId="50"/>
      <queryTableField id="36" name="REFERENCIA" tableColumnId="36"/>
      <queryTableField id="37" name="BLOQUEADO" tableColumnId="37"/>
      <queryTableField id="68" name="DT_BLOQUEADO" tableColumnId="38"/>
      <queryTableField id="60" name="Status" tableColumnId="45"/>
      <queryTableField id="40" dataBound="0" tableColumnId="4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16759B74-C0C9-425D-9E6C-0375E66DF169}" autoFormatId="16" applyNumberFormats="0" applyBorderFormats="0" applyFontFormats="0" applyPatternFormats="0" applyAlignmentFormats="0" applyWidthHeightFormats="0">
  <queryTableRefresh nextId="100" unboundColumnsLeft="3" unboundColumnsRight="1">
    <queryTableFields count="37">
      <queryTableField id="42" dataBound="0" tableColumnId="42"/>
      <queryTableField id="41" dataBound="0" tableColumnId="41"/>
      <queryTableField id="48" dataBound="0" tableColumnId="48"/>
      <queryTableField id="76" name="chave_loja" tableColumnId="1"/>
      <queryTableField id="2" name="nome_loja" tableColumnId="2"/>
      <queryTableField id="3" name="ag_pacb" tableColumnId="3"/>
      <queryTableField id="4" name="dt_inst_tablet" tableColumnId="4"/>
      <queryTableField id="6" name="uf" tableColumnId="6"/>
      <queryTableField id="7" name="municipio" tableColumnId="7"/>
      <queryTableField id="8" name="dt_clube" tableColumnId="8"/>
      <queryTableField id="9" name="dt_certificacao" tableColumnId="9"/>
      <queryTableField id="10" name="ger_regional" tableColumnId="10"/>
      <queryTableField id="11" name="data_ult_transacao" tableColumnId="11"/>
      <queryTableField id="12" name="qtd_TrxContabil" tableColumnId="12"/>
      <queryTableField id="13" name="qtd_contas" tableColumnId="13"/>
      <queryTableField id="14" name="qtd_contas_com_deposito" tableColumnId="14"/>
      <queryTableField id="15" name="qtd_cesta_serv" tableColumnId="15"/>
      <queryTableField id="18" name="QTD_CARTAO_EMITIDO" tableColumnId="18"/>
      <queryTableField id="23" name="vlr_lime" tableColumnId="23"/>
      <queryTableField id="77" name="vlr_consignado_total" tableColumnId="5"/>
      <queryTableField id="78" name="vlr_consignado_inss" tableColumnId="16"/>
      <queryTableField id="79" name="vlr_consignado_pub" tableColumnId="17"/>
      <queryTableField id="80" name="vlr_consignado_priv" tableColumnId="19"/>
      <queryTableField id="74" name="VLR_CREDITO_PARCEL" tableColumnId="44"/>
      <queryTableField id="28" name="QTD_CONTAS_PJ" tableColumnId="28"/>
      <queryTableField id="30" name="qtd_microsseguro" tableColumnId="30"/>
      <queryTableField id="31" name="QTD_SUPER_PROTEGIDO" tableColumnId="31"/>
      <queryTableField id="32" name="QTD_MICRO_VIVAVIDA" tableColumnId="32"/>
      <queryTableField id="33" name="QTD_PLANO_ODONTO" tableColumnId="33"/>
      <queryTableField id="34" name="QTD_SEG_RESIDENCIAL" tableColumnId="34"/>
      <queryTableField id="35" name="QTD_SEG_CARTAO_DEB" tableColumnId="35"/>
      <queryTableField id="50" name="VLR_EXP_SORTE" tableColumnId="50"/>
      <queryTableField id="36" name="REFERENCIA" tableColumnId="36"/>
      <queryTableField id="37" name="BLOQUEADO" tableColumnId="37"/>
      <queryTableField id="68" name="DT_BLOQUEADO" tableColumnId="38"/>
      <queryTableField id="60" name="Status" tableColumnId="45"/>
      <queryTableField id="40" dataBound="0" tableColumnId="4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51B5C2E-A508-456A-8C20-6A75FBF43E13}" autoFormatId="16" applyNumberFormats="0" applyBorderFormats="0" applyFontFormats="0" applyPatternFormats="0" applyAlignmentFormats="0" applyWidthHeightFormats="0">
  <queryTableRefresh nextId="113" unboundColumnsLeft="3" unboundColumnsRight="3">
    <queryTableFields count="40">
      <queryTableField id="42" dataBound="0" tableColumnId="42"/>
      <queryTableField id="112" dataBound="0" tableColumnId="21"/>
      <queryTableField id="48" dataBound="0" tableColumnId="48"/>
      <queryTableField id="84" name="chave_loja" tableColumnId="1"/>
      <queryTableField id="74" name="Responsável" tableColumnId="46"/>
      <queryTableField id="2" name="nome_loja" tableColumnId="2"/>
      <queryTableField id="3" name="ag_pacb" tableColumnId="3"/>
      <queryTableField id="4" name="dt_inst_tablet" tableColumnId="4"/>
      <queryTableField id="6" name="uf" tableColumnId="6"/>
      <queryTableField id="7" name="municipio" tableColumnId="7"/>
      <queryTableField id="8" name="dt_clube" tableColumnId="8"/>
      <queryTableField id="9" name="dt_certificacao" tableColumnId="9"/>
      <queryTableField id="10" name="ger_regional" tableColumnId="10"/>
      <queryTableField id="11" name="data_ult_transacao" tableColumnId="11"/>
      <queryTableField id="12" name="qtd_TrxContabil" tableColumnId="12"/>
      <queryTableField id="13" name="qtd_contas" tableColumnId="13"/>
      <queryTableField id="14" name="qtd_contas_com_deposito" tableColumnId="14"/>
      <queryTableField id="15" name="qtd_cesta_serv" tableColumnId="15"/>
      <queryTableField id="18" name="QTD_CARTAO_EMITIDO" tableColumnId="18"/>
      <queryTableField id="85" name="vlr_consignado_total" tableColumnId="5"/>
      <queryTableField id="86" name="vlr_consignado_inss" tableColumnId="16"/>
      <queryTableField id="87" name="vlr_consignado_pub" tableColumnId="17"/>
      <queryTableField id="88" name="vlr_consignado_priv" tableColumnId="19"/>
      <queryTableField id="78" name="VLR_CREDITO_PARCEL" tableColumnId="41"/>
      <queryTableField id="23" name="vlr_lime" tableColumnId="23"/>
      <queryTableField id="28" name="QTD_CONTAS_PJ" tableColumnId="28"/>
      <queryTableField id="30" name="qtd_microsseguro" tableColumnId="30"/>
      <queryTableField id="31" name="QTD_SUPER_PROTEGIDO" tableColumnId="31"/>
      <queryTableField id="32" name="QTD_MICRO_VIVAVIDA" tableColumnId="32"/>
      <queryTableField id="33" name="QTD_PLANO_ODONTO" tableColumnId="33"/>
      <queryTableField id="34" name="QTD_SEG_RESIDENCIAL" tableColumnId="34"/>
      <queryTableField id="35" name="QTD_SEG_CARTAO_DEB" tableColumnId="35"/>
      <queryTableField id="50" name="VLR_EXP_SORTE" tableColumnId="50"/>
      <queryTableField id="36" name="REFERENCIA" tableColumnId="36"/>
      <queryTableField id="37" name="BLOQUEADO" tableColumnId="37"/>
      <queryTableField id="68" name="DT_BLOQUEADO" tableColumnId="38"/>
      <queryTableField id="60" name="Status" tableColumnId="45"/>
      <queryTableField id="40" dataBound="0" tableColumnId="40"/>
      <queryTableField id="83" dataBound="0" tableColumnId="44"/>
      <queryTableField id="111" dataBound="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3215A3-8E0A-4A83-A210-614317CE70E4}" name="Rel_2026_Ag_458" displayName="Rel_2026_Ag_458" ref="A1:AK6" tableType="queryTable" totalsRowCount="1">
  <autoFilter ref="A1:AK5" xr:uid="{0B719F67-ACAE-495D-9050-807515292386}"/>
  <tableColumns count="37">
    <tableColumn id="42" xr3:uid="{5BFD7BD1-AB74-4C1C-BEFD-865529BA7268}" uniqueName="42" name="Elegível" queryTableFieldId="42" dataDxfId="144">
      <calculatedColumnFormula>IF(Rel_2026_Ag_458[[#This Row],[Pontuação]]&gt;=10,"Sim",IF(Rel_2026_Ag_458[[#This Row],[Pontuação]]&gt;=5,"Próximo","Não"))</calculatedColumnFormula>
    </tableColumn>
    <tableColumn id="48" xr3:uid="{0D71F403-E569-4A4F-B44D-EE8182219C7C}" uniqueName="48" name="Agência" queryTableFieldId="48" dataDxfId="143">
      <calculatedColumnFormula>LEFT(Rel_2026_Ag_458[[#This Row],[ag_pacb]],4)</calculatedColumnFormula>
    </tableColumn>
    <tableColumn id="1" xr3:uid="{DDDAB991-A1B4-43BD-9CA5-75F0BCE61194}" uniqueName="1" name="chave_loja" queryTableFieldId="83"/>
    <tableColumn id="46" xr3:uid="{9A13908D-77A0-485A-B4C5-D2A289A3EBE8}" uniqueName="46" name="Responsável" queryTableFieldId="74" dataDxfId="142"/>
    <tableColumn id="2" xr3:uid="{7B984FE8-6DEA-44A6-8FAF-E20F6F3A68DA}" uniqueName="2" name="nome_loja" queryTableFieldId="2" dataDxfId="141"/>
    <tableColumn id="3" xr3:uid="{067271D1-963D-4801-BEE8-5B25E5A13A1C}" uniqueName="3" name="ag_pacb" queryTableFieldId="3" dataDxfId="140"/>
    <tableColumn id="4" xr3:uid="{B5DE1282-3B46-4C5D-8082-D9A5E192FB72}" uniqueName="4" name="dt_inst_tablet" queryTableFieldId="4" dataDxfId="139" totalsRowDxfId="138"/>
    <tableColumn id="6" xr3:uid="{6F609F85-058C-4F24-8980-F731AC470CF7}" uniqueName="6" name="uf" queryTableFieldId="6" dataDxfId="137"/>
    <tableColumn id="7" xr3:uid="{32445F0B-B7B6-4B55-981D-9D248C927529}" uniqueName="7" name="municipio" queryTableFieldId="7" dataDxfId="136"/>
    <tableColumn id="8" xr3:uid="{34C0D0F5-A3BB-4B07-B549-413031FA0B1A}" uniqueName="8" name="dt_clube" queryTableFieldId="8" dataDxfId="135" totalsRowDxfId="134"/>
    <tableColumn id="9" xr3:uid="{BE109A19-9624-45F5-AE04-1E4C69122965}" uniqueName="9" name="dt_certificacao" queryTableFieldId="9" dataDxfId="133" totalsRowDxfId="132"/>
    <tableColumn id="10" xr3:uid="{C2B09FD9-AD82-4F01-8647-DF9A8891CB01}" uniqueName="10" name="ger_regional" queryTableFieldId="10" dataDxfId="131"/>
    <tableColumn id="11" xr3:uid="{CDCBF5AC-0A2A-4885-90F1-426C032504C4}" uniqueName="11" name="data_ult_transacao" queryTableFieldId="11" dataDxfId="130" totalsRowDxfId="129"/>
    <tableColumn id="12" xr3:uid="{EE96A40B-333B-433F-8AAE-46D79D36D863}" uniqueName="12" name="qtd_TrxContabil" queryTableFieldId="12" dataDxfId="128"/>
    <tableColumn id="13" xr3:uid="{1B8D9F41-50B4-4942-80AA-9B3B2A431F2C}" uniqueName="13" name="qtd_contas" totalsRowFunction="custom" queryTableFieldId="13" dataDxfId="127">
      <totalsRowFormula>SUBTOTAL(9,Rel_2026_Ag_458[qtd_contas])</totalsRowFormula>
    </tableColumn>
    <tableColumn id="14" xr3:uid="{8D8097EF-A3B2-4AAB-A298-C833F8932F79}" uniqueName="14" name="qtd_contas_com_deposito" totalsRowFunction="custom" queryTableFieldId="14" dataDxfId="126">
      <totalsRowFormula>SUBTOTAL(9,Rel_2026_Ag_458[qtd_contas_com_deposito])</totalsRowFormula>
    </tableColumn>
    <tableColumn id="15" xr3:uid="{E38F8E28-452D-4968-A20B-C83A999C5C7D}" uniqueName="15" name="qtd_cesta_serv" totalsRowFunction="custom" queryTableFieldId="15" dataDxfId="125">
      <totalsRowFormula>SUBTOTAL(9,Rel_2026_Ag_458[qtd_cesta_serv])</totalsRowFormula>
    </tableColumn>
    <tableColumn id="18" xr3:uid="{3D6FF73B-AC1C-4359-804C-E3D39397FE47}" uniqueName="18" name="QTD_CARTAO_EMITIDO" totalsRowFunction="custom" queryTableFieldId="18" dataDxfId="124">
      <totalsRowFormula>SUBTOTAL(9,Rel_2026_Ag_458[QTD_CARTAO_EMITIDO])</totalsRowFormula>
    </tableColumn>
    <tableColumn id="5" xr3:uid="{B2FED304-7592-473D-8BA1-CE4B49A422EE}" uniqueName="5" name="vlr_consignado_total" queryTableFieldId="84" dataDxfId="123"/>
    <tableColumn id="16" xr3:uid="{C0AFA6C9-CED1-471A-8564-07F5E0823B1C}" uniqueName="16" name="vlr_consignado_inss" queryTableFieldId="85" dataDxfId="122"/>
    <tableColumn id="17" xr3:uid="{3ACE31E4-9976-4D86-BFCE-988F16F12DBC}" uniqueName="17" name="vlr_consignado_pub" queryTableFieldId="86" dataDxfId="121"/>
    <tableColumn id="19" xr3:uid="{7F585324-FD4B-4FFF-B4AD-D6D4EB3CD7EA}" uniqueName="19" name="vlr_consignado_priv" queryTableFieldId="87" dataDxfId="120"/>
    <tableColumn id="41" xr3:uid="{7420F5DF-6C0A-4C43-A3CB-C380EFC6222F}" uniqueName="41" name="VLR_CREDITO_PARCEL" queryTableFieldId="78" dataDxfId="119"/>
    <tableColumn id="23" xr3:uid="{D24DD3E1-527E-48B3-BD72-71D1BC5D6701}" uniqueName="23" name="vlr_lime" queryTableFieldId="23" dataDxfId="118"/>
    <tableColumn id="28" xr3:uid="{D880C71D-1E02-46D5-B248-425519E44507}" uniqueName="28" name="QTD_CONTAS_PJ" totalsRowFunction="custom" queryTableFieldId="28" dataDxfId="117">
      <totalsRowFormula>SUBTOTAL(9,Rel_2026_Ag_458[QTD_CONTAS_PJ])</totalsRowFormula>
    </tableColumn>
    <tableColumn id="30" xr3:uid="{6C8CFED6-AF07-4D66-B6B0-63C7B9A3B48C}" uniqueName="30" name="qtd_microsseguro" totalsRowFunction="custom" queryTableFieldId="30" dataDxfId="116">
      <totalsRowFormula>SUBTOTAL(9,Rel_2026_Ag_458[qtd_microsseguro])</totalsRowFormula>
    </tableColumn>
    <tableColumn id="31" xr3:uid="{5B012ACC-C38B-4A4C-9DE7-49101B6672D8}" uniqueName="31" name="QTD_SUPER_PROTEGIDO" totalsRowFunction="custom" queryTableFieldId="31" dataDxfId="115">
      <totalsRowFormula>SUBTOTAL(9,Rel_2026_Ag_458[QTD_SUPER_PROTEGIDO])</totalsRowFormula>
    </tableColumn>
    <tableColumn id="32" xr3:uid="{B56BF851-32E9-4245-B49F-6B9D1BDAC609}" uniqueName="32" name="QTD_MICRO_VIVAVIDA" totalsRowFunction="custom" queryTableFieldId="32" dataDxfId="114">
      <totalsRowFormula>SUBTOTAL(9,Rel_2026_Ag_458[QTD_MICRO_VIVAVIDA])</totalsRowFormula>
    </tableColumn>
    <tableColumn id="33" xr3:uid="{60BEDC53-B3C4-4813-87F1-0FEBC72BDAE9}" uniqueName="33" name="QTD_PLANO_ODONTO" totalsRowFunction="custom" queryTableFieldId="33" dataDxfId="113">
      <totalsRowFormula>SUBTOTAL(9,Rel_2026_Ag_458[QTD_PLANO_ODONTO])</totalsRowFormula>
    </tableColumn>
    <tableColumn id="34" xr3:uid="{81FBD2E8-196A-4A30-979A-ADD73677A97E}" uniqueName="34" name="QTD_SEG_RESIDENCIAL" totalsRowFunction="custom" queryTableFieldId="34" dataDxfId="112">
      <totalsRowFormula>SUBTOTAL(9,Rel_2026_Ag_458[QTD_SEG_RESIDENCIAL])</totalsRowFormula>
    </tableColumn>
    <tableColumn id="35" xr3:uid="{7ED0C608-63F9-4EB0-9068-0A857CB5C99B}" uniqueName="35" name="QTD_SEG_CARTAO_DEB" totalsRowFunction="custom" queryTableFieldId="35" dataDxfId="111">
      <totalsRowFormula>SUBTOTAL(9,Rel_2026_Ag_458[QTD_SEG_CARTAO_DEB])</totalsRowFormula>
    </tableColumn>
    <tableColumn id="50" xr3:uid="{5A06B8EE-BEBF-46C0-963A-17BA26AEBE1A}" uniqueName="50" name="VLR_EXP_SORTE" queryTableFieldId="50" dataDxfId="110"/>
    <tableColumn id="36" xr3:uid="{78E6216F-1583-423E-8CED-050436640910}" uniqueName="36" name="REFERENCIA" queryTableFieldId="36" dataDxfId="109"/>
    <tableColumn id="37" xr3:uid="{2705F5E3-70BA-49B5-9E62-3928452C0132}" uniqueName="37" name="BLOQUEADO" queryTableFieldId="37" dataDxfId="108"/>
    <tableColumn id="38" xr3:uid="{F93189C2-EE23-43A6-9C3B-1576744D40E2}" uniqueName="38" name="DT_BLOQUEADO" queryTableFieldId="68" dataDxfId="107"/>
    <tableColumn id="45" xr3:uid="{387D860B-9837-48E4-84C0-A07CF3F88ECE}" uniqueName="45" name="Status" queryTableFieldId="60" dataDxfId="106"/>
    <tableColumn id="40" xr3:uid="{C86D8526-FB5C-4B4C-91FF-A3035F08D8EE}" uniqueName="40" name="Pontuação" queryTableFieldId="40" dataDxfId="105">
      <calculatedColumnFormula>IF(Rel_2026_Ag_458[[#This Row],[qtd_contas_com_deposito]]&gt;0,7*Rel_2026_Ag_458[[#This Row],[qtd_contas_com_deposito]])+IF((Rel_2026_Ag_458[[#This Row],[qtd_contas]]-Rel_2026_Ag_458[[#This Row],[qtd_contas_com_deposito]])&gt;0,(Rel_2026_Ag_458[[#This Row],[qtd_contas]]-Rel_2026_Ag_458[[#This Row],[qtd_contas_com_deposito]])*3)+IF(Rel_2026_Ag_458[[#This Row],[qtd_cesta_serv]]&gt;0,3*Rel_2026_Ag_458[[#This Row],[qtd_cesta_serv]])+IF(Rel_2026_Ag_458[[#This Row],[QTD_CARTAO_EMITIDO]]&gt;0,0*Rel_2026_Ag_458[[#This Row],[QTD_CARTAO_EMITIDO]])+IF(Rel_2026_Ag_458[[#This Row],[QTD_SUPER_PROTEGIDO]]&gt;0,0*Rel_2026_Ag_458[[#This Row],[QTD_SUPER_PROTEGIDO]])+IF(Rel_2026_Ag_458[[#This Row],[QTD_CONTAS_PJ]]&gt;0,0*Rel_2026_Ag_458[[#This Row],[QTD_CONTAS_PJ]])+IF(Rel_2026_Ag_458[[#This Row],[QTD_MICRO_VIVAVIDA]]&gt;0,1*Rel_2026_Ag_458[[#This Row],[QTD_MICRO_VIVAVIDA]])+IF(Rel_2026_Ag_458[[#This Row],[qtd_microsseguro]]&gt;0,1*Rel_2026_Ag_458[[#This Row],[qtd_microsseguro]])+IF(Rel_2026_Ag_458[[#This Row],[QTD_SEG_RESIDENCIAL]]&gt;0,1*Rel_2026_Ag_458[[#This Row],[QTD_SEG_RESIDENCIAL]])+IF(Rel_2026_Ag_458[[#This Row],[QTD_PLANO_ODONTO]]&gt;0,1*Rel_2026_Ag_458[[#This Row],[QTD_PLANO_ODONTO]])+IF(Rel_2026_Ag_458[[#This Row],[vlr_lime]]&gt;0,1*ROUND(Rel_2026_Ag_458[[#This Row],[vlr_lime]]/100,0))+ROUND(IF(Rel_2026_Ag_458[[#This Row],[VLR_CREDITO_PARCEL]]&gt;500,1*Rel_2026_Ag_458[[#This Row],[VLR_CREDITO_PARCEL]]/500),0)+ROUND(Rel_2026_Ag_458[[#This Row],[vlr_consignado_total]]/1000,0)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19F33C-153F-42F2-9155-D7B459228AA6}" name="Rel_2026_Ag_726" displayName="Rel_2026_Ag_726" ref="A1:AK13" tableType="queryTable" totalsRowCount="1" headerRowDxfId="104">
  <autoFilter ref="A1:AK12" xr:uid="{0B719F67-ACAE-495D-9050-807515292386}"/>
  <tableColumns count="37">
    <tableColumn id="42" xr3:uid="{49BE82DE-8AC7-4BE7-98A3-6784F66694B9}" uniqueName="42" name="Elegível" queryTableFieldId="42" dataDxfId="103">
      <calculatedColumnFormula>IF(Rel_2026_Ag_726[[#This Row],[Pontuação]]&gt;=10,"Sim",IF(Rel_2026_Ag_726[[#This Row],[Pontuação]]&gt;=5,"Próximo","Não"))</calculatedColumnFormula>
    </tableColumn>
    <tableColumn id="41" xr3:uid="{648EF061-BB89-43B9-ABCB-7EB3C9EF9D89}" uniqueName="41" name="Responsável" queryTableFieldId="41" dataDxfId="102"/>
    <tableColumn id="48" xr3:uid="{87FD954C-FA2D-4E67-89F4-ABD2130CDCE6}" uniqueName="48" name="Agência" queryTableFieldId="48" dataDxfId="101">
      <calculatedColumnFormula>LEFT(Rel_2026_Ag_726[[#This Row],[ag_pacb]],4)</calculatedColumnFormula>
    </tableColumn>
    <tableColumn id="1" xr3:uid="{16FC5AD5-DD16-4776-8055-E0A9D8799D27}" uniqueName="1" name="chave_loja" queryTableFieldId="76"/>
    <tableColumn id="2" xr3:uid="{01A4811C-E239-48E7-BD91-37F3C1F52BDF}" uniqueName="2" name="nome_loja" queryTableFieldId="2" dataDxfId="100"/>
    <tableColumn id="3" xr3:uid="{12908481-53A4-4230-B942-2374D3938948}" uniqueName="3" name="ag_pacb" queryTableFieldId="3" dataDxfId="99"/>
    <tableColumn id="4" xr3:uid="{A153FFCC-9F91-42E0-9C7C-381C725A7153}" uniqueName="4" name="dt_inst_tablet" queryTableFieldId="4" dataDxfId="98" totalsRowDxfId="97"/>
    <tableColumn id="6" xr3:uid="{0B8FE887-ACC3-46F4-AFFB-127DEF4D48FF}" uniqueName="6" name="uf" queryTableFieldId="6" dataDxfId="96"/>
    <tableColumn id="7" xr3:uid="{B1B6262D-DAC8-4D81-BAA1-624C778FE93E}" uniqueName="7" name="municipio" queryTableFieldId="7" dataDxfId="95"/>
    <tableColumn id="8" xr3:uid="{9038CEAC-DE29-4262-B661-BC2C4A76211A}" uniqueName="8" name="dt_clube" queryTableFieldId="8" dataDxfId="94" totalsRowDxfId="93"/>
    <tableColumn id="9" xr3:uid="{FD56FC52-87DB-476C-9CF3-FBAA3A1B5B01}" uniqueName="9" name="dt_certificacao" queryTableFieldId="9" dataDxfId="92" totalsRowDxfId="91"/>
    <tableColumn id="10" xr3:uid="{4A63C3E1-8AD4-49C3-957B-343DA3345577}" uniqueName="10" name="ger_regional" queryTableFieldId="10" dataDxfId="90"/>
    <tableColumn id="11" xr3:uid="{3341CDA7-5B1D-4A69-9859-A34400901F01}" uniqueName="11" name="data_ult_transacao" queryTableFieldId="11" dataDxfId="89" totalsRowDxfId="88"/>
    <tableColumn id="12" xr3:uid="{598CEC3C-B90B-4A3A-A422-AA77FE4EE327}" uniqueName="12" name="qtd_TrxContabil" queryTableFieldId="12" dataDxfId="87"/>
    <tableColumn id="13" xr3:uid="{5C8E56A9-3D46-4CBF-B00B-8C151C6AAC94}" uniqueName="13" name="qtd_contas" totalsRowFunction="custom" queryTableFieldId="13" dataDxfId="86">
      <totalsRowFormula>SUBTOTAL(9,Rel_2026_Ag_726[qtd_contas])</totalsRowFormula>
    </tableColumn>
    <tableColumn id="14" xr3:uid="{09B05E52-0985-42C2-9167-9686CA21D48D}" uniqueName="14" name="qtd_contas_com_deposito" totalsRowFunction="custom" queryTableFieldId="14" dataDxfId="85">
      <totalsRowFormula>SUBTOTAL(9,Rel_2026_Ag_726[qtd_contas_com_deposito])</totalsRowFormula>
    </tableColumn>
    <tableColumn id="15" xr3:uid="{373B2126-4C86-4CA6-8919-979DEED7FBE0}" uniqueName="15" name="qtd_cesta_serv" totalsRowFunction="custom" queryTableFieldId="15" dataDxfId="84">
      <totalsRowFormula>SUBTOTAL(9,Rel_2026_Ag_726[qtd_cesta_serv])</totalsRowFormula>
    </tableColumn>
    <tableColumn id="18" xr3:uid="{75CFEDDD-C3F3-4F83-BB19-BB2E41C712E2}" uniqueName="18" name="QTD_CARTAO_EMITIDO" totalsRowFunction="custom" queryTableFieldId="18" dataDxfId="83">
      <totalsRowFormula>SUBTOTAL(9,Rel_2026_Ag_726[QTD_CARTAO_EMITIDO])</totalsRowFormula>
    </tableColumn>
    <tableColumn id="23" xr3:uid="{C74778CA-F652-4B8C-9554-B84C5DCCE3CC}" uniqueName="23" name="vlr_lime" queryTableFieldId="23" dataDxfId="82"/>
    <tableColumn id="5" xr3:uid="{CA2624F7-58CC-4C16-80BA-E24D6201602D}" uniqueName="5" name="vlr_consignado_total" queryTableFieldId="77" dataDxfId="81"/>
    <tableColumn id="16" xr3:uid="{21FFAE4B-3C9D-4ACD-A393-21A496993C6B}" uniqueName="16" name="vlr_consignado_inss" queryTableFieldId="78" dataDxfId="80"/>
    <tableColumn id="17" xr3:uid="{8AB9417D-E962-4973-9914-71A57CB82E06}" uniqueName="17" name="vlr_consignado_pub" queryTableFieldId="79" dataDxfId="79"/>
    <tableColumn id="19" xr3:uid="{BF37B9A7-C388-4500-B229-1485E25EE9FD}" uniqueName="19" name="vlr_consignado_priv" queryTableFieldId="80" dataDxfId="78"/>
    <tableColumn id="44" xr3:uid="{5CD43A5F-1E8B-4FF7-BD6A-FB9F95219193}" uniqueName="44" name="VLR_CREDITO_PARCEL" queryTableFieldId="74" dataDxfId="77"/>
    <tableColumn id="28" xr3:uid="{E5FA2351-41B7-4A1D-9BDB-8A342EB5E6AD}" uniqueName="28" name="QTD_CONTAS_PJ" totalsRowFunction="custom" queryTableFieldId="28" dataDxfId="76">
      <totalsRowFormula>SUBTOTAL(9,Rel_2026_Ag_726[QTD_CONTAS_PJ])</totalsRowFormula>
    </tableColumn>
    <tableColumn id="30" xr3:uid="{80E08ED5-B3B1-4625-A4E3-0AEB4E3747CF}" uniqueName="30" name="qtd_microsseguro" totalsRowFunction="custom" queryTableFieldId="30" dataDxfId="75">
      <totalsRowFormula>SUBTOTAL(9,Rel_2026_Ag_726[qtd_microsseguro])</totalsRowFormula>
    </tableColumn>
    <tableColumn id="31" xr3:uid="{B875357C-E7D6-4C35-96DA-995956054D48}" uniqueName="31" name="QTD_SUPER_PROTEGIDO" totalsRowFunction="custom" queryTableFieldId="31" dataDxfId="74">
      <totalsRowFormula>SUBTOTAL(9,Rel_2026_Ag_726[QTD_SUPER_PROTEGIDO])</totalsRowFormula>
    </tableColumn>
    <tableColumn id="32" xr3:uid="{8AC49834-77D8-4790-91D6-8195044E2A98}" uniqueName="32" name="QTD_MICRO_VIVAVIDA" totalsRowFunction="custom" queryTableFieldId="32" dataDxfId="73">
      <totalsRowFormula>SUBTOTAL(9,Rel_2026_Ag_726[QTD_MICRO_VIVAVIDA])</totalsRowFormula>
    </tableColumn>
    <tableColumn id="33" xr3:uid="{8B39E8EA-49DF-49DC-BC67-6B95C45E420E}" uniqueName="33" name="QTD_PLANO_ODONTO" totalsRowFunction="custom" queryTableFieldId="33" dataDxfId="72">
      <totalsRowFormula>SUBTOTAL(9,Rel_2026_Ag_726[QTD_PLANO_ODONTO])</totalsRowFormula>
    </tableColumn>
    <tableColumn id="34" xr3:uid="{A0614CC8-E5FC-41DD-BEAD-CEBF3424F9FE}" uniqueName="34" name="QTD_SEG_RESIDENCIAL" totalsRowFunction="custom" queryTableFieldId="34" dataDxfId="71">
      <totalsRowFormula>SUBTOTAL(9,Rel_2026_Ag_726[QTD_SEG_RESIDENCIAL])</totalsRowFormula>
    </tableColumn>
    <tableColumn id="35" xr3:uid="{B8E49E70-AE5E-4C0F-A947-5AFE8963B4BC}" uniqueName="35" name="QTD_SEG_CARTAO_DEB" totalsRowFunction="custom" queryTableFieldId="35" dataDxfId="70">
      <totalsRowFormula>SUBTOTAL(9,Rel_2026_Ag_726[QTD_SEG_CARTAO_DEB])</totalsRowFormula>
    </tableColumn>
    <tableColumn id="50" xr3:uid="{86A72948-82AA-49D0-BDC8-9536CB825BF8}" uniqueName="50" name="VLR_EXP_SORTE" queryTableFieldId="50" dataDxfId="69"/>
    <tableColumn id="36" xr3:uid="{D1F1D95A-CA24-48F5-BD45-BCD5D8ECA4C3}" uniqueName="36" name="REFERENCIA" queryTableFieldId="36" dataDxfId="68"/>
    <tableColumn id="37" xr3:uid="{E1757C57-38F0-4A3A-A651-077C7F8F1029}" uniqueName="37" name="BLOQUEADO" queryTableFieldId="37" dataDxfId="67"/>
    <tableColumn id="38" xr3:uid="{A7B12241-6B2A-4174-BE29-0FC26A1C2A8B}" uniqueName="38" name="DT_BLOQUEADO" queryTableFieldId="68" dataDxfId="66"/>
    <tableColumn id="45" xr3:uid="{AAC46FF4-970E-4F1F-BD12-8EA41D1D7F43}" uniqueName="45" name="Status" queryTableFieldId="60" dataDxfId="65"/>
    <tableColumn id="40" xr3:uid="{5402AF9D-97B1-4098-8298-DAC146CE0566}" uniqueName="40" name="Pontuação" queryTableFieldId="40" dataDxfId="64">
      <calculatedColumnFormula>IF(Rel_2026_Ag_726[[#This Row],[qtd_contas_com_deposito]]&gt;0,7*Rel_2026_Ag_726[[#This Row],[qtd_contas_com_deposito]])+IF((Rel_2026_Ag_726[[#This Row],[qtd_contas]]-Rel_2026_Ag_726[[#This Row],[qtd_contas_com_deposito]])&gt;0,(Rel_2026_Ag_726[[#This Row],[qtd_contas]]-Rel_2026_Ag_726[[#This Row],[qtd_contas_com_deposito]])*3)+IF(Rel_2026_Ag_726[[#This Row],[qtd_cesta_serv]]&gt;0,3*Rel_2026_Ag_726[[#This Row],[qtd_cesta_serv]])+IF(Rel_2026_Ag_726[[#This Row],[QTD_CARTAO_EMITIDO]]&gt;0,0*Rel_2026_Ag_726[[#This Row],[QTD_CARTAO_EMITIDO]])+IF(Rel_2026_Ag_726[[#This Row],[QTD_SUPER_PROTEGIDO]]&gt;0,0*Rel_2026_Ag_726[[#This Row],[QTD_SUPER_PROTEGIDO]])+IF(Rel_2026_Ag_726[[#This Row],[QTD_CONTAS_PJ]]&gt;0,0*Rel_2026_Ag_726[[#This Row],[QTD_CONTAS_PJ]])+IF(Rel_2026_Ag_726[[#This Row],[QTD_MICRO_VIVAVIDA]]&gt;0,1*Rel_2026_Ag_726[[#This Row],[QTD_MICRO_VIVAVIDA]])+IF(Rel_2026_Ag_726[[#This Row],[qtd_microsseguro]]&gt;0,1*Rel_2026_Ag_726[[#This Row],[qtd_microsseguro]])+IF(Rel_2026_Ag_726[[#This Row],[QTD_SEG_RESIDENCIAL]]&gt;0,1*Rel_2026_Ag_726[[#This Row],[QTD_SEG_RESIDENCIAL]])+IF(Rel_2026_Ag_726[[#This Row],[QTD_PLANO_ODONTO]]&gt;0,1*Rel_2026_Ag_726[[#This Row],[QTD_PLANO_ODONTO]])+IF(Rel_2026_Ag_726[[#This Row],[vlr_lime]]&gt;0,1*ROUND(Rel_2026_Ag_726[[#This Row],[vlr_lime]]/100,0))+ROUND(IF(Rel_2026_Ag_726[[#This Row],[VLR_CREDITO_PARCEL]]&gt;500,1*Rel_2026_Ag_726[[#This Row],[VLR_CREDITO_PARCEL]]/500),0)+ROUND(Rel_2026_Ag_726[[#This Row],[vlr_consignado_total]]/1000,0)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0C17FD-3934-4837-BA90-242600644A4C}" name="Rel_2026_Ag_727" displayName="Rel_2026_Ag_727" ref="A1:AK3" tableType="queryTable" insertRow="1" totalsRowCount="1">
  <autoFilter ref="A1:AK2" xr:uid="{0B719F67-ACAE-495D-9050-807515292386}"/>
  <tableColumns count="37">
    <tableColumn id="42" xr3:uid="{97DE16AD-A7C6-4923-A0A8-B5A7C9FB36F2}" uniqueName="42" name="Elegível" queryTableFieldId="42">
      <calculatedColumnFormula>IF(Rel_2026_Ag_727[[#This Row],[Pontuação]]&gt;=10,"Sim",IF(Rel_2026_Ag_727[[#This Row],[Pontuação]]&gt;=5,"Próximo","Não"))</calculatedColumnFormula>
    </tableColumn>
    <tableColumn id="41" xr3:uid="{84D4FF7C-A315-4E68-A4B9-5932980D361A}" uniqueName="41" name="Responsável" queryTableFieldId="41"/>
    <tableColumn id="48" xr3:uid="{6A69D0D7-57D8-4B53-BE9B-9780BA3FC422}" uniqueName="48" name="Agência" queryTableFieldId="48">
      <calculatedColumnFormula>LEFT(Rel_2026_Ag_727[[#This Row],[ag_pacb]],4)</calculatedColumnFormula>
    </tableColumn>
    <tableColumn id="1" xr3:uid="{A18BEB37-A536-4B7C-9D9C-85ABAE5315FF}" uniqueName="1" name="chave_loja" queryTableFieldId="76"/>
    <tableColumn id="2" xr3:uid="{C25BCE28-3716-4B73-AFB6-9288CFF0814F}" uniqueName="2" name="nome_loja" queryTableFieldId="2"/>
    <tableColumn id="3" xr3:uid="{C2A182B8-C146-4EF6-89DD-CBFC9854826F}" uniqueName="3" name="ag_pacb" queryTableFieldId="3"/>
    <tableColumn id="4" xr3:uid="{E37697F6-48EC-4C90-AB37-982481304EAF}" uniqueName="4" name="dt_inst_tablet" queryTableFieldId="4" totalsRowDxfId="63"/>
    <tableColumn id="6" xr3:uid="{2B6EC1FC-D9EE-468C-9188-5BBCEADE5C24}" uniqueName="6" name="uf" queryTableFieldId="6"/>
    <tableColumn id="7" xr3:uid="{6C9D54A6-B00B-4391-9A1F-EBDA337E04E6}" uniqueName="7" name="municipio" queryTableFieldId="7"/>
    <tableColumn id="8" xr3:uid="{933CE49D-5846-4A0F-9088-5B07D8A8192A}" uniqueName="8" name="dt_clube" queryTableFieldId="8" totalsRowDxfId="62"/>
    <tableColumn id="9" xr3:uid="{0F0B5924-0903-4213-B465-30907D9D9BD4}" uniqueName="9" name="dt_certificacao" queryTableFieldId="9" totalsRowDxfId="61"/>
    <tableColumn id="10" xr3:uid="{EB3E353A-2D58-4E58-B119-AE7D808716FA}" uniqueName="10" name="ger_regional" queryTableFieldId="10"/>
    <tableColumn id="11" xr3:uid="{E35ED8D2-6FE9-46E8-B244-D744337AF242}" uniqueName="11" name="data_ult_transacao" queryTableFieldId="11" totalsRowDxfId="60"/>
    <tableColumn id="12" xr3:uid="{EDC9BAC0-D678-42D4-AF0E-B28B03F0839B}" uniqueName="12" name="qtd_TrxContabil" queryTableFieldId="12"/>
    <tableColumn id="13" xr3:uid="{C7C679CA-3C13-4F43-ACC6-0BD1B5A40FD5}" uniqueName="13" name="qtd_contas" totalsRowFunction="custom" queryTableFieldId="13">
      <totalsRowFormula>SUBTOTAL(9,Rel_2026_Ag_727[qtd_contas])</totalsRowFormula>
    </tableColumn>
    <tableColumn id="14" xr3:uid="{FA10AFB0-040E-4C5C-AE7A-23C4C9898A20}" uniqueName="14" name="qtd_contas_com_deposito" totalsRowFunction="custom" queryTableFieldId="14">
      <totalsRowFormula>SUBTOTAL(9,Rel_2026_Ag_727[qtd_contas_com_deposito])</totalsRowFormula>
    </tableColumn>
    <tableColumn id="15" xr3:uid="{18F15DDB-39EF-4C78-BA6A-820E43B406AC}" uniqueName="15" name="qtd_cesta_serv" totalsRowFunction="custom" queryTableFieldId="15">
      <totalsRowFormula>SUBTOTAL(9,Rel_2026_Ag_727[qtd_cesta_serv])</totalsRowFormula>
    </tableColumn>
    <tableColumn id="18" xr3:uid="{4359D2C3-6F25-4C8B-AC60-2D50C4264CBC}" uniqueName="18" name="QTD_CARTAO_EMITIDO" totalsRowFunction="custom" queryTableFieldId="18">
      <totalsRowFormula>SUBTOTAL(9,Rel_2026_Ag_727[QTD_CARTAO_EMITIDO])</totalsRowFormula>
    </tableColumn>
    <tableColumn id="23" xr3:uid="{C4887A5C-3514-4F7A-B98B-6E4F89BA23C2}" uniqueName="23" name="vlr_lime" queryTableFieldId="23"/>
    <tableColumn id="5" xr3:uid="{FF4B109A-35DE-4DDC-9303-89F466966AB6}" uniqueName="5" name="vlr_consignado_total" queryTableFieldId="77"/>
    <tableColumn id="16" xr3:uid="{EBE96AF5-366B-4AF3-88EB-4BFBFA144F3C}" uniqueName="16" name="vlr_consignado_inss" queryTableFieldId="78"/>
    <tableColumn id="17" xr3:uid="{34AADE5D-872F-4279-A2A8-D2CBCF738971}" uniqueName="17" name="vlr_consignado_pub" queryTableFieldId="79"/>
    <tableColumn id="19" xr3:uid="{69D4EDD5-4AF1-4FE4-B7FE-546BCD476799}" uniqueName="19" name="vlr_consignado_priv" queryTableFieldId="80"/>
    <tableColumn id="44" xr3:uid="{BE173658-21D4-43D5-B8C3-B9ED93E869D9}" uniqueName="44" name="VLR_CREDITO_PARCEL" queryTableFieldId="74"/>
    <tableColumn id="28" xr3:uid="{A4801D8F-BEAE-4801-98FC-5D7D300155AF}" uniqueName="28" name="QTD_CONTAS_PJ" totalsRowFunction="custom" queryTableFieldId="28">
      <totalsRowFormula>SUBTOTAL(9,Rel_2026_Ag_727[QTD_CONTAS_PJ])</totalsRowFormula>
    </tableColumn>
    <tableColumn id="30" xr3:uid="{564935D5-E6D1-41A8-9903-7F8AF53C6B9A}" uniqueName="30" name="qtd_microsseguro" totalsRowFunction="custom" queryTableFieldId="30">
      <totalsRowFormula>SUBTOTAL(9,Rel_2026_Ag_727[qtd_microsseguro])</totalsRowFormula>
    </tableColumn>
    <tableColumn id="31" xr3:uid="{7F0C774C-C9B5-447F-A8AD-4148BE9E4427}" uniqueName="31" name="QTD_SUPER_PROTEGIDO" totalsRowFunction="custom" queryTableFieldId="31">
      <totalsRowFormula>SUBTOTAL(9,Rel_2026_Ag_727[QTD_SUPER_PROTEGIDO])</totalsRowFormula>
    </tableColumn>
    <tableColumn id="32" xr3:uid="{802B0890-E523-4826-B5B6-E340252EA9C0}" uniqueName="32" name="QTD_MICRO_VIVAVIDA" totalsRowFunction="custom" queryTableFieldId="32">
      <totalsRowFormula>SUBTOTAL(9,Rel_2026_Ag_727[QTD_MICRO_VIVAVIDA])</totalsRowFormula>
    </tableColumn>
    <tableColumn id="33" xr3:uid="{A87C770B-7738-4DE2-8255-71B4DF91D9B5}" uniqueName="33" name="QTD_PLANO_ODONTO" totalsRowFunction="custom" queryTableFieldId="33">
      <totalsRowFormula>SUBTOTAL(9,Rel_2026_Ag_727[QTD_PLANO_ODONTO])</totalsRowFormula>
    </tableColumn>
    <tableColumn id="34" xr3:uid="{E6160C70-E99C-4F55-BCDA-45277B39468F}" uniqueName="34" name="QTD_SEG_RESIDENCIAL" totalsRowFunction="custom" queryTableFieldId="34">
      <totalsRowFormula>SUBTOTAL(9,Rel_2026_Ag_727[QTD_SEG_RESIDENCIAL])</totalsRowFormula>
    </tableColumn>
    <tableColumn id="35" xr3:uid="{D83DAE89-AAB2-478F-A0DD-30B2CFD02354}" uniqueName="35" name="QTD_SEG_CARTAO_DEB" totalsRowFunction="custom" queryTableFieldId="35">
      <totalsRowFormula>SUBTOTAL(9,Rel_2026_Ag_727[QTD_SEG_CARTAO_DEB])</totalsRowFormula>
    </tableColumn>
    <tableColumn id="50" xr3:uid="{C06B37E0-BB76-45D1-AD9B-F40C4DE01343}" uniqueName="50" name="VLR_EXP_SORTE" queryTableFieldId="50"/>
    <tableColumn id="36" xr3:uid="{7E82E868-7D14-4C76-8AD1-3FB8AAB9B3EA}" uniqueName="36" name="REFERENCIA" queryTableFieldId="36"/>
    <tableColumn id="37" xr3:uid="{85237C1C-515E-4975-B08D-028E4E627AAF}" uniqueName="37" name="BLOQUEADO" queryTableFieldId="37"/>
    <tableColumn id="38" xr3:uid="{908932C4-2B58-44FE-960E-12130D4472D7}" uniqueName="38" name="DT_BLOQUEADO" queryTableFieldId="68"/>
    <tableColumn id="45" xr3:uid="{0B889183-C37D-42F3-A6E0-CA237BCA0AE5}" uniqueName="45" name="Status" queryTableFieldId="60"/>
    <tableColumn id="40" xr3:uid="{EF262905-79AE-457E-B84A-3CD60B2293D3}" uniqueName="40" name="Pontuação" queryTableFieldId="40">
      <calculatedColumnFormula>IF(Rel_2026_Ag_727[[#This Row],[qtd_contas_com_deposito]]&gt;0,7*Rel_2026_Ag_727[[#This Row],[qtd_contas_com_deposito]])+IF((Rel_2026_Ag_727[[#This Row],[qtd_contas]]-Rel_2026_Ag_727[[#This Row],[qtd_contas_com_deposito]])&gt;0,(Rel_2026_Ag_727[[#This Row],[qtd_contas]]-Rel_2026_Ag_727[[#This Row],[qtd_contas_com_deposito]])*3)+IF(Rel_2026_Ag_727[[#This Row],[qtd_cesta_serv]]&gt;0,3*Rel_2026_Ag_727[[#This Row],[qtd_cesta_serv]])+IF(Rel_2026_Ag_727[[#This Row],[QTD_CARTAO_EMITIDO]]&gt;0,3*Rel_2026_Ag_727[[#This Row],[QTD_CARTAO_EMITIDO]])+IF(Rel_2026_Ag_727[[#This Row],[QTD_SUPER_PROTEGIDO]]&gt;0,0*Rel_2026_Ag_727[[#This Row],[QTD_SUPER_PROTEGIDO]])+IF(#REF!&gt;0,0*#REF!)+IF(Rel_2026_Ag_727[[#This Row],[QTD_CONTAS_PJ]]&gt;0,0*Rel_2026_Ag_727[[#This Row],[QTD_CONTAS_PJ]])+IF(#REF!&gt;0,0*#REF!)+IF(#REF!&gt;0,0*#REF!)+IF(#REF!&gt;0,0*#REF!)+IF(#REF!&gt;0,0*#REF!)+IF(Rel_2026_Ag_727[[#This Row],[QTD_MICRO_VIVAVIDA]]&gt;0,1*Rel_2026_Ag_727[[#This Row],[QTD_MICRO_VIVAVIDA]])+IF(Rel_2026_Ag_727[[#This Row],[qtd_microsseguro]]&gt;0,1*Rel_2026_Ag_727[[#This Row],[qtd_microsseguro]])+IF(Rel_2026_Ag_727[[#This Row],[QTD_SEG_RESIDENCIAL]]&gt;0,1*Rel_2026_Ag_727[[#This Row],[QTD_SEG_RESIDENCIAL]])+IF(Rel_2026_Ag_727[[#This Row],[QTD_PLANO_ODONTO]]&gt;0,1*Rel_2026_Ag_727[[#This Row],[QTD_PLANO_ODONTO]])+IF(#REF!&gt;0,1*#REF!)+IF(Rel_2026_Ag_727[[#This Row],[vlr_lime]]&gt;0,1*ROUND(Rel_2026_Ag_727[[#This Row],[vlr_lime]]/100,0))+IF(#REF!&gt;0,1*ROUND(#REF!/1000,0))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9515E0B-765E-460E-9812-CC17D275D35F}" name="Rel_2026_Ag_752" displayName="Rel_2026_Ag_752" ref="A1:AK12" tableType="queryTable" totalsRowCount="1">
  <autoFilter ref="A1:AK11" xr:uid="{0B719F67-ACAE-495D-9050-807515292386}"/>
  <tableColumns count="37">
    <tableColumn id="42" xr3:uid="{57782291-9CE8-4536-9F1B-BF13E7401B85}" uniqueName="42" name="Elegível" queryTableFieldId="42" dataDxfId="59">
      <calculatedColumnFormula>IF(Rel_2026_Ag_752[[#This Row],[Pontuação]]&gt;=10,"Sim",IF(Rel_2026_Ag_752[[#This Row],[Pontuação]]&gt;=5,"Próximo","Não"))</calculatedColumnFormula>
    </tableColumn>
    <tableColumn id="41" xr3:uid="{9B6D2C03-2AEB-41B1-9FD4-BFF31BE96398}" uniqueName="41" name="Responsável" queryTableFieldId="41" dataDxfId="58"/>
    <tableColumn id="48" xr3:uid="{FE08BBDB-785B-49B4-8505-FB112EF878B6}" uniqueName="48" name="Agência" queryTableFieldId="48" dataDxfId="57">
      <calculatedColumnFormula>LEFT(Rel_2026_Ag_752[[#This Row],[ag_pacb]],4)</calculatedColumnFormula>
    </tableColumn>
    <tableColumn id="1" xr3:uid="{54EEE3F8-D1E0-4AE9-B1D6-C6E269431CB7}" uniqueName="1" name="chave_loja" queryTableFieldId="76"/>
    <tableColumn id="2" xr3:uid="{B9E58D6E-B70B-4F0E-B200-4E475A0D4D8D}" uniqueName="2" name="nome_loja" queryTableFieldId="2" dataDxfId="56"/>
    <tableColumn id="3" xr3:uid="{C28EEFD9-73E0-42B0-8647-CDBADB4D3AAF}" uniqueName="3" name="ag_pacb" queryTableFieldId="3" dataDxfId="55"/>
    <tableColumn id="4" xr3:uid="{D2A686D2-756E-4DB6-9F37-B4A8D6F930A0}" uniqueName="4" name="dt_inst_tablet" queryTableFieldId="4" dataDxfId="54" totalsRowDxfId="53"/>
    <tableColumn id="6" xr3:uid="{EEB17F4B-A060-4F40-B2AD-90F3849F812E}" uniqueName="6" name="uf" queryTableFieldId="6" dataDxfId="52"/>
    <tableColumn id="7" xr3:uid="{45C1B173-847B-4DE0-9E04-CBA11F3878CF}" uniqueName="7" name="municipio" queryTableFieldId="7" dataDxfId="51"/>
    <tableColumn id="8" xr3:uid="{5CC2F2EC-7A71-4D02-88D4-902257398D98}" uniqueName="8" name="dt_clube" queryTableFieldId="8" dataDxfId="50" totalsRowDxfId="49"/>
    <tableColumn id="9" xr3:uid="{6FB610FD-7C0F-41AB-9143-9E872720D6D3}" uniqueName="9" name="dt_certificacao" queryTableFieldId="9" dataDxfId="48" totalsRowDxfId="47"/>
    <tableColumn id="10" xr3:uid="{5B76D9FD-30B7-4CEC-8FFC-B88543AFBF94}" uniqueName="10" name="ger_regional" queryTableFieldId="10" dataDxfId="46"/>
    <tableColumn id="11" xr3:uid="{82B50AF9-1401-4534-9ADC-C5C7A096276D}" uniqueName="11" name="data_ult_transacao" queryTableFieldId="11" dataDxfId="45" totalsRowDxfId="44"/>
    <tableColumn id="12" xr3:uid="{1E7C8DE8-8CEE-4381-82E2-3AC8BD52AB7A}" uniqueName="12" name="qtd_TrxContabil" queryTableFieldId="12" dataDxfId="43"/>
    <tableColumn id="13" xr3:uid="{D2DBC12B-824B-46BB-8EF9-9C5AE5568E0B}" uniqueName="13" name="qtd_contas" totalsRowFunction="custom" queryTableFieldId="13" dataDxfId="42">
      <totalsRowFormula>SUBTOTAL(9,Rel_2026_Ag_752[qtd_contas])</totalsRowFormula>
    </tableColumn>
    <tableColumn id="14" xr3:uid="{5F195616-C1F3-4F1C-BCDB-39F9CE2153D0}" uniqueName="14" name="qtd_contas_com_deposito" totalsRowFunction="custom" queryTableFieldId="14" dataDxfId="41">
      <totalsRowFormula>SUBTOTAL(9,Rel_2026_Ag_752[qtd_contas_com_deposito])</totalsRowFormula>
    </tableColumn>
    <tableColumn id="15" xr3:uid="{18D6FB0C-6525-40E2-BF69-C19A97FA23A5}" uniqueName="15" name="qtd_cesta_serv" totalsRowFunction="custom" queryTableFieldId="15" dataDxfId="40">
      <totalsRowFormula>SUBTOTAL(9,Rel_2026_Ag_752[qtd_cesta_serv])</totalsRowFormula>
    </tableColumn>
    <tableColumn id="18" xr3:uid="{AD9FC0CB-9524-4065-8F11-6F91C0FDE99B}" uniqueName="18" name="QTD_CARTAO_EMITIDO" totalsRowFunction="custom" queryTableFieldId="18" dataDxfId="39">
      <totalsRowFormula>SUBTOTAL(9,Rel_2026_Ag_752[QTD_CARTAO_EMITIDO])</totalsRowFormula>
    </tableColumn>
    <tableColumn id="23" xr3:uid="{47EC6D77-C1E3-4403-8758-99BD7BC52493}" uniqueName="23" name="vlr_lime" queryTableFieldId="23" dataDxfId="38"/>
    <tableColumn id="5" xr3:uid="{035DF3CA-3498-4383-BE4A-0DE3E35F8018}" uniqueName="5" name="vlr_consignado_total" queryTableFieldId="77" dataDxfId="37"/>
    <tableColumn id="16" xr3:uid="{3C30E9CD-F44C-49D1-9D89-E843C0429413}" uniqueName="16" name="vlr_consignado_inss" queryTableFieldId="78" dataDxfId="36"/>
    <tableColumn id="17" xr3:uid="{97347607-B3D3-463B-B8B3-C0256341815D}" uniqueName="17" name="vlr_consignado_pub" queryTableFieldId="79" dataDxfId="35"/>
    <tableColumn id="19" xr3:uid="{E0BAB199-CD60-4C7D-8ADA-1C104E234F03}" uniqueName="19" name="vlr_consignado_priv" queryTableFieldId="80" dataDxfId="34"/>
    <tableColumn id="44" xr3:uid="{2D57D9A7-F45D-4244-A208-945668990D0D}" uniqueName="44" name="VLR_CREDITO_PARCEL" queryTableFieldId="74" dataDxfId="33"/>
    <tableColumn id="28" xr3:uid="{F6640C9D-748A-4F93-9989-4EE58AD3E8E5}" uniqueName="28" name="QTD_CONTAS_PJ" totalsRowFunction="custom" queryTableFieldId="28" dataDxfId="32">
      <totalsRowFormula>SUBTOTAL(9,Rel_2026_Ag_752[QTD_CONTAS_PJ])</totalsRowFormula>
    </tableColumn>
    <tableColumn id="30" xr3:uid="{5CCADEAF-72EF-4937-AC25-9C2B445D6DAF}" uniqueName="30" name="qtd_microsseguro" totalsRowFunction="custom" queryTableFieldId="30" dataDxfId="31">
      <totalsRowFormula>SUBTOTAL(9,Rel_2026_Ag_752[qtd_microsseguro])</totalsRowFormula>
    </tableColumn>
    <tableColumn id="31" xr3:uid="{5808E967-DFFF-4733-B6A3-9FC73B63B606}" uniqueName="31" name="QTD_SUPER_PROTEGIDO" totalsRowFunction="custom" queryTableFieldId="31" dataDxfId="30">
      <totalsRowFormula>SUBTOTAL(9,Rel_2026_Ag_752[QTD_SUPER_PROTEGIDO])</totalsRowFormula>
    </tableColumn>
    <tableColumn id="32" xr3:uid="{E86DAE1D-C0D5-409D-954F-7F6389BCD8D5}" uniqueName="32" name="QTD_MICRO_VIVAVIDA" totalsRowFunction="custom" queryTableFieldId="32" dataDxfId="29">
      <totalsRowFormula>SUBTOTAL(9,Rel_2026_Ag_752[QTD_MICRO_VIVAVIDA])</totalsRowFormula>
    </tableColumn>
    <tableColumn id="33" xr3:uid="{F42A17D9-8502-4FEA-97A9-17A4E561B11F}" uniqueName="33" name="QTD_PLANO_ODONTO" totalsRowFunction="custom" queryTableFieldId="33" dataDxfId="28">
      <totalsRowFormula>SUBTOTAL(9,Rel_2026_Ag_752[QTD_PLANO_ODONTO])</totalsRowFormula>
    </tableColumn>
    <tableColumn id="34" xr3:uid="{5B288259-3E29-4CB4-9752-BB3A9FAF0336}" uniqueName="34" name="QTD_SEG_RESIDENCIAL" totalsRowFunction="custom" queryTableFieldId="34" dataDxfId="27">
      <totalsRowFormula>SUBTOTAL(9,Rel_2026_Ag_752[QTD_SEG_RESIDENCIAL])</totalsRowFormula>
    </tableColumn>
    <tableColumn id="35" xr3:uid="{94EE67E2-4A1B-4CA5-B76D-BD14B50C3BEC}" uniqueName="35" name="QTD_SEG_CARTAO_DEB" totalsRowFunction="custom" queryTableFieldId="35" dataDxfId="26">
      <totalsRowFormula>SUBTOTAL(9,Rel_2026_Ag_752[QTD_SEG_CARTAO_DEB])</totalsRowFormula>
    </tableColumn>
    <tableColumn id="50" xr3:uid="{1021A8DE-B17F-42DA-A0E0-82BD898BEC27}" uniqueName="50" name="VLR_EXP_SORTE" queryTableFieldId="50" dataDxfId="25"/>
    <tableColumn id="36" xr3:uid="{563490EA-12F5-43A3-93E9-4F131623045B}" uniqueName="36" name="REFERENCIA" queryTableFieldId="36" dataDxfId="24"/>
    <tableColumn id="37" xr3:uid="{4E292CE9-1742-48AA-ABFA-C49CAF7E865F}" uniqueName="37" name="BLOQUEADO" queryTableFieldId="37" dataDxfId="23"/>
    <tableColumn id="38" xr3:uid="{0D7624C9-201E-4368-B5DB-3B95D1C52D81}" uniqueName="38" name="DT_BLOQUEADO" queryTableFieldId="68" dataDxfId="22"/>
    <tableColumn id="45" xr3:uid="{0F149068-FF08-4350-990A-2035C8FD92F4}" uniqueName="45" name="Status" queryTableFieldId="60" dataDxfId="21"/>
    <tableColumn id="40" xr3:uid="{1BE6B4A3-B057-44A7-AA2B-346FD62A9B71}" uniqueName="40" name="Pontuação" queryTableFieldId="40" dataDxfId="20">
      <calculatedColumnFormula>IF(Rel_2026_Ag_752[[#This Row],[qtd_contas_com_deposito]]&gt;0,7*Rel_2026_Ag_752[[#This Row],[qtd_contas_com_deposito]])+IF((Rel_2026_Ag_752[[#This Row],[qtd_contas]]-Rel_2026_Ag_752[[#This Row],[qtd_contas_com_deposito]])&gt;0,(Rel_2026_Ag_752[[#This Row],[qtd_contas]]-Rel_2026_Ag_752[[#This Row],[qtd_contas_com_deposito]])*3)+IF(Rel_2026_Ag_752[[#This Row],[qtd_cesta_serv]]&gt;0,3*Rel_2026_Ag_752[[#This Row],[qtd_cesta_serv]])+IF(Rel_2026_Ag_752[[#This Row],[QTD_CARTAO_EMITIDO]]&gt;0,0*Rel_2026_Ag_752[[#This Row],[QTD_CARTAO_EMITIDO]])+IF(Rel_2026_Ag_752[[#This Row],[QTD_SUPER_PROTEGIDO]]&gt;0,0*Rel_2026_Ag_752[[#This Row],[QTD_SUPER_PROTEGIDO]])+IF(Rel_2026_Ag_752[[#This Row],[QTD_CONTAS_PJ]]&gt;0,0*Rel_2026_Ag_752[[#This Row],[QTD_CONTAS_PJ]])+IF(Rel_2026_Ag_752[[#This Row],[QTD_MICRO_VIVAVIDA]]&gt;0,1*Rel_2026_Ag_752[[#This Row],[QTD_MICRO_VIVAVIDA]])+IF(Rel_2026_Ag_752[[#This Row],[qtd_microsseguro]]&gt;0,1*Rel_2026_Ag_752[[#This Row],[qtd_microsseguro]])+IF(Rel_2026_Ag_752[[#This Row],[QTD_SEG_RESIDENCIAL]]&gt;0,1*Rel_2026_Ag_752[[#This Row],[QTD_SEG_RESIDENCIAL]])+IF(Rel_2026_Ag_752[[#This Row],[QTD_PLANO_ODONTO]]&gt;0,1*Rel_2026_Ag_752[[#This Row],[QTD_PLANO_ODONTO]])+IF(Rel_2026_Ag_752[[#This Row],[vlr_lime]]&gt;0,1*ROUND(Rel_2026_Ag_752[[#This Row],[vlr_lime]]/100,0))+ROUND(IF(Rel_2026_Ag_752[[#This Row],[VLR_CREDITO_PARCEL]]&gt;500,1*Rel_2026_Ag_752[[#This Row],[VLR_CREDITO_PARCEL]]/500),0)+ROUND(Rel_2026_Ag_752[[#This Row],[vlr_consignado_total]]/1000,0)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719F67-ACAE-495D-9050-807515292386}" name="Rel_2026" displayName="Rel_2026" ref="A1:AN38" tableType="queryTable" totalsRowCount="1">
  <autoFilter ref="A1:AN37" xr:uid="{0B719F67-ACAE-495D-9050-807515292386}"/>
  <tableColumns count="40">
    <tableColumn id="42" xr3:uid="{F213EA82-5E15-4D45-8B93-BEEBE0EF9515}" uniqueName="42" name="Elegível" queryTableFieldId="42" dataDxfId="187">
      <calculatedColumnFormula>IF(Rel_2026[[#This Row],[Zero]]=0,"Zero",IF(Rel_2026[[#This Row],[Pontuação]]&gt;=10,"Sim",IF(Rel_2026[[#This Row],[Pontuação]]&gt;=5,"Próximo","Não")))</calculatedColumnFormula>
    </tableColumn>
    <tableColumn id="21" xr3:uid="{90873576-761B-4113-9F62-F130886AED61}" uniqueName="21" name="Elegível2" queryTableFieldId="112" dataDxfId="186">
      <calculatedColumnFormula>IF(Rel_2026[[#This Row],[Zero]]=0,"Zero",IF(Rel_2026[[#This Row],[Pontuação2]]&gt;=10,"Sim",IF(Rel_2026[[#This Row],[Pontuação2]]&gt;=5,"Próximo","Não")))</calculatedColumnFormula>
    </tableColumn>
    <tableColumn id="48" xr3:uid="{8518D775-916C-4F4F-AF5A-6AE1C8C0EC9C}" uniqueName="48" name="Agência" queryTableFieldId="48" dataDxfId="185">
      <calculatedColumnFormula>LEFT(Rel_2026[[#This Row],[ag_pacb]],4)</calculatedColumnFormula>
    </tableColumn>
    <tableColumn id="1" xr3:uid="{7AB7D411-6932-491D-8747-20A0F2F35F0D}" uniqueName="1" name="chave_loja" queryTableFieldId="84"/>
    <tableColumn id="46" xr3:uid="{56F0B694-DC8F-4005-A1E7-C74DA8522156}" uniqueName="46" name="Responsável" queryTableFieldId="74" dataDxfId="184"/>
    <tableColumn id="2" xr3:uid="{4333F821-10E6-4B9A-A4F6-B88CB2A4D147}" uniqueName="2" name="nome_loja" queryTableFieldId="2" dataDxfId="183"/>
    <tableColumn id="3" xr3:uid="{2380DCC2-F693-4A44-A4F0-F0E73DD0C3C2}" uniqueName="3" name="ag_pacb" queryTableFieldId="3" dataDxfId="182"/>
    <tableColumn id="4" xr3:uid="{C7FB53EB-B78A-44EC-856D-6872DB55B826}" uniqueName="4" name="dt_inst_tablet" queryTableFieldId="4" dataDxfId="181" totalsRowDxfId="180"/>
    <tableColumn id="6" xr3:uid="{351B8D73-7C04-4E6D-B852-65982FB49CEA}" uniqueName="6" name="uf" queryTableFieldId="6" dataDxfId="179"/>
    <tableColumn id="7" xr3:uid="{168B68D1-F18A-4629-9A93-F998BF1123EB}" uniqueName="7" name="municipio" queryTableFieldId="7" dataDxfId="178"/>
    <tableColumn id="8" xr3:uid="{01E9D10E-4E54-474F-B8A8-00EBB86F2D87}" uniqueName="8" name="dt_clube" queryTableFieldId="8" dataDxfId="177" totalsRowDxfId="176"/>
    <tableColumn id="9" xr3:uid="{92B0D46D-2407-434D-BB39-8486C47FC3AC}" uniqueName="9" name="dt_certificacao" queryTableFieldId="9" dataDxfId="175" totalsRowDxfId="174"/>
    <tableColumn id="10" xr3:uid="{72170234-B156-48EC-B8D8-FEE657C1D2A6}" uniqueName="10" name="ger_regional" queryTableFieldId="10" dataDxfId="173"/>
    <tableColumn id="11" xr3:uid="{C1FA43C4-018C-4601-8285-75F3C8037A91}" uniqueName="11" name="data_ult_transacao" queryTableFieldId="11" dataDxfId="172" totalsRowDxfId="171"/>
    <tableColumn id="12" xr3:uid="{80142388-B33B-4439-9AD3-45D163647649}" uniqueName="12" name="qtd_TrxContabil" queryTableFieldId="12" dataDxfId="170"/>
    <tableColumn id="13" xr3:uid="{45E76A5D-E99B-4116-8260-CA99B77B61BC}" uniqueName="13" name="qtd_contas" totalsRowFunction="custom" queryTableFieldId="13" dataDxfId="169">
      <totalsRowFormula>SUBTOTAL(9,Rel_2026[qtd_contas])</totalsRowFormula>
    </tableColumn>
    <tableColumn id="14" xr3:uid="{90D31989-BEDE-47D4-A601-B18FC45E35F0}" uniqueName="14" name="qtd_contas_com_deposito" totalsRowFunction="custom" queryTableFieldId="14" dataDxfId="168">
      <totalsRowFormula>SUBTOTAL(9,Rel_2026[qtd_contas_com_deposito])</totalsRowFormula>
    </tableColumn>
    <tableColumn id="15" xr3:uid="{203B1ACA-754B-4521-9390-99BD5C4E5182}" uniqueName="15" name="qtd_cesta_serv" totalsRowFunction="custom" queryTableFieldId="15" dataDxfId="167">
      <totalsRowFormula>SUBTOTAL(9,Rel_2026[qtd_cesta_serv])</totalsRowFormula>
    </tableColumn>
    <tableColumn id="18" xr3:uid="{52D869F3-A191-468A-A6EF-1B55DC783CD4}" uniqueName="18" name="QTD_CARTAO_EMITIDO" totalsRowFunction="custom" queryTableFieldId="18" dataDxfId="166">
      <totalsRowFormula>SUBTOTAL(9,Rel_2026[QTD_CARTAO_EMITIDO])</totalsRowFormula>
    </tableColumn>
    <tableColumn id="5" xr3:uid="{D8F87653-E7A1-4F15-8B45-8258DF46B67C}" uniqueName="5" name="vlr_consignado_total" queryTableFieldId="85" dataDxfId="165"/>
    <tableColumn id="16" xr3:uid="{C49AA417-9859-4807-837E-F940E2E22EE5}" uniqueName="16" name="vlr_consignado_inss" queryTableFieldId="86" dataDxfId="164"/>
    <tableColumn id="17" xr3:uid="{E78A2F9B-8F01-4304-B3F6-4D287DDD75B0}" uniqueName="17" name="vlr_consignado_pub" queryTableFieldId="87" dataDxfId="163"/>
    <tableColumn id="19" xr3:uid="{FA39CF19-C160-4B12-9BA2-314D70E90C98}" uniqueName="19" name="vlr_consignado_priv" queryTableFieldId="88" dataDxfId="162"/>
    <tableColumn id="41" xr3:uid="{7C51CD0C-8185-4339-8E42-E899C4D9986A}" uniqueName="41" name="VLR_CREDITO_PARCEL" queryTableFieldId="78" dataDxfId="161"/>
    <tableColumn id="23" xr3:uid="{4BC1396A-D09F-401E-8C9A-13BE54F3EF34}" uniqueName="23" name="vlr_lime" queryTableFieldId="23" dataDxfId="160"/>
    <tableColumn id="28" xr3:uid="{77CC64CD-A8DE-4640-9423-52C9EE8065FB}" uniqueName="28" name="QTD_CONTAS_PJ" totalsRowFunction="custom" queryTableFieldId="28" dataDxfId="159">
      <totalsRowFormula>SUBTOTAL(9,Rel_2026[QTD_CONTAS_PJ])</totalsRowFormula>
    </tableColumn>
    <tableColumn id="30" xr3:uid="{D6F679B5-D006-453B-A135-9153EA381DB8}" uniqueName="30" name="qtd_microsseguro" totalsRowFunction="custom" queryTableFieldId="30" dataDxfId="158">
      <totalsRowFormula>SUBTOTAL(9,Rel_2026[qtd_microsseguro])</totalsRowFormula>
    </tableColumn>
    <tableColumn id="31" xr3:uid="{C43256DB-1020-43C3-AC6E-4D2B9ED56D2C}" uniqueName="31" name="QTD_SUPER_PROTEGIDO" totalsRowFunction="custom" queryTableFieldId="31" dataDxfId="157">
      <totalsRowFormula>SUBTOTAL(9,Rel_2026[QTD_SUPER_PROTEGIDO])</totalsRowFormula>
    </tableColumn>
    <tableColumn id="32" xr3:uid="{1E31FC76-92BC-4FE7-AC38-95E4094C8181}" uniqueName="32" name="QTD_MICRO_VIVAVIDA" totalsRowFunction="custom" queryTableFieldId="32" dataDxfId="156">
      <totalsRowFormula>SUBTOTAL(9,Rel_2026[QTD_MICRO_VIVAVIDA])</totalsRowFormula>
    </tableColumn>
    <tableColumn id="33" xr3:uid="{B686DD7E-2A3C-4D73-9859-9C182EC79FFF}" uniqueName="33" name="QTD_PLANO_ODONTO" totalsRowFunction="custom" queryTableFieldId="33" dataDxfId="155">
      <totalsRowFormula>SUBTOTAL(9,Rel_2026[QTD_PLANO_ODONTO])</totalsRowFormula>
    </tableColumn>
    <tableColumn id="34" xr3:uid="{3AC1A9AC-361C-4A01-94B9-FC972CD7D5AF}" uniqueName="34" name="QTD_SEG_RESIDENCIAL" totalsRowFunction="custom" queryTableFieldId="34" dataDxfId="154">
      <totalsRowFormula>SUBTOTAL(9,Rel_2026[QTD_SEG_RESIDENCIAL])</totalsRowFormula>
    </tableColumn>
    <tableColumn id="35" xr3:uid="{0F54B178-1E94-4EC0-BC2B-93F993DD5D37}" uniqueName="35" name="QTD_SEG_CARTAO_DEB" totalsRowFunction="custom" queryTableFieldId="35" dataDxfId="153">
      <totalsRowFormula>SUBTOTAL(9,Rel_2026[QTD_SEG_CARTAO_DEB])</totalsRowFormula>
    </tableColumn>
    <tableColumn id="50" xr3:uid="{080E0007-D422-410E-B638-DBECD21D78E6}" uniqueName="50" name="VLR_EXP_SORTE" queryTableFieldId="50" dataDxfId="152"/>
    <tableColumn id="36" xr3:uid="{54AEAC9D-6F30-4BFD-8A27-645045663925}" uniqueName="36" name="REFERENCIA" queryTableFieldId="36" dataDxfId="151"/>
    <tableColumn id="37" xr3:uid="{32F61529-7F38-4986-AC7B-CB4A572E4DD5}" uniqueName="37" name="BLOQUEADO" queryTableFieldId="37" dataDxfId="150"/>
    <tableColumn id="38" xr3:uid="{63454402-BE17-431E-B1A6-D0918D74FE83}" uniqueName="38" name="DT_BLOQUEADO" queryTableFieldId="68" dataDxfId="149"/>
    <tableColumn id="45" xr3:uid="{44CE5991-D127-4B6B-A77A-BEEFB225BF4F}" uniqueName="45" name="Status" queryTableFieldId="60" dataDxfId="148"/>
    <tableColumn id="40" xr3:uid="{6295212B-0E3B-4C3E-97CD-1F6D523D6E97}" uniqueName="40" name="Pontuação" queryTableFieldId="40" dataDxfId="147">
      <calculatedColumnFormula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calculatedColumnFormula>
    </tableColumn>
    <tableColumn id="44" xr3:uid="{4EC634AA-7D57-4F9E-AD65-C7D4AF000F67}" uniqueName="44" name="Zero" queryTableFieldId="83" dataDxfId="146">
      <calculatedColumnFormula>SUM(Rel_2026[[#This Row],[qtd_TrxContabil]:[VLR_EXP_SORTE]])</calculatedColumnFormula>
    </tableColumn>
    <tableColumn id="20" xr3:uid="{A6CAF2D8-6AF0-4F2A-9687-95BFF68AC19B}" uniqueName="20" name="Pontuação2" queryTableFieldId="111" dataDxfId="145">
      <calculatedColumnFormula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F01F0-6045-4C55-936A-5D18C2266872}">
  <dimension ref="A1:AK6"/>
  <sheetViews>
    <sheetView workbookViewId="0"/>
  </sheetViews>
  <sheetFormatPr defaultRowHeight="14.4" x14ac:dyDescent="0.3"/>
  <cols>
    <col min="1" max="1" width="9.6640625" bestFit="1" customWidth="1"/>
    <col min="2" max="2" width="9.77734375" bestFit="1" customWidth="1"/>
    <col min="3" max="3" width="12" bestFit="1" customWidth="1"/>
    <col min="4" max="4" width="13.6640625" bestFit="1" customWidth="1"/>
    <col min="5" max="5" width="22.109375" bestFit="1" customWidth="1"/>
    <col min="6" max="6" width="10.109375" bestFit="1" customWidth="1"/>
    <col min="7" max="7" width="14.6640625" bestFit="1" customWidth="1"/>
    <col min="8" max="8" width="4.77734375" bestFit="1" customWidth="1"/>
    <col min="9" max="9" width="13.5546875" bestFit="1" customWidth="1"/>
    <col min="10" max="10" width="10.44140625" bestFit="1" customWidth="1"/>
    <col min="11" max="11" width="15.88671875" bestFit="1" customWidth="1"/>
    <col min="12" max="12" width="16" bestFit="1" customWidth="1"/>
    <col min="13" max="13" width="19.109375" bestFit="1" customWidth="1"/>
    <col min="14" max="14" width="16.5546875" bestFit="1" customWidth="1"/>
    <col min="15" max="15" width="12.44140625" bestFit="1" customWidth="1"/>
    <col min="16" max="16" width="25.33203125" bestFit="1" customWidth="1"/>
    <col min="17" max="17" width="15.77734375" bestFit="1" customWidth="1"/>
    <col min="18" max="18" width="22.21875" bestFit="1" customWidth="1"/>
    <col min="19" max="19" width="20.44140625" bestFit="1" customWidth="1"/>
    <col min="20" max="20" width="19.88671875" bestFit="1" customWidth="1"/>
    <col min="21" max="22" width="19.77734375" bestFit="1" customWidth="1"/>
    <col min="23" max="23" width="21.88671875" bestFit="1" customWidth="1"/>
    <col min="24" max="24" width="9.88671875" bestFit="1" customWidth="1"/>
    <col min="25" max="25" width="17.109375" bestFit="1" customWidth="1"/>
    <col min="26" max="26" width="18.21875" bestFit="1" customWidth="1"/>
    <col min="27" max="27" width="24" bestFit="1" customWidth="1"/>
    <col min="28" max="28" width="22" bestFit="1" customWidth="1"/>
    <col min="29" max="29" width="21.6640625" bestFit="1" customWidth="1"/>
    <col min="30" max="30" width="23" bestFit="1" customWidth="1"/>
    <col min="31" max="31" width="22.77734375" bestFit="1" customWidth="1"/>
    <col min="32" max="32" width="16.6640625" bestFit="1" customWidth="1"/>
    <col min="33" max="33" width="13.6640625" bestFit="1" customWidth="1"/>
    <col min="34" max="34" width="13.77734375" bestFit="1" customWidth="1"/>
    <col min="35" max="35" width="16.77734375" bestFit="1" customWidth="1"/>
    <col min="36" max="36" width="14" bestFit="1" customWidth="1"/>
    <col min="37" max="37" width="12" bestFit="1" customWidth="1"/>
    <col min="38" max="38" width="5" bestFit="1" customWidth="1"/>
    <col min="39" max="47" width="6" bestFit="1" customWidth="1"/>
    <col min="48" max="48" width="14" bestFit="1" customWidth="1"/>
    <col min="49" max="49" width="12" bestFit="1" customWidth="1"/>
    <col min="50" max="50" width="23" bestFit="1" customWidth="1"/>
    <col min="51" max="51" width="22.6640625" bestFit="1" customWidth="1"/>
    <col min="52" max="52" width="17" bestFit="1" customWidth="1"/>
    <col min="53" max="53" width="21.88671875" bestFit="1" customWidth="1"/>
    <col min="54" max="54" width="16.6640625" bestFit="1" customWidth="1"/>
    <col min="55" max="56" width="13.6640625" bestFit="1" customWidth="1"/>
    <col min="57" max="57" width="16.6640625" bestFit="1" customWidth="1"/>
    <col min="58" max="59" width="5" bestFit="1" customWidth="1"/>
    <col min="60" max="60" width="6" bestFit="1" customWidth="1"/>
    <col min="61" max="61" width="14" bestFit="1" customWidth="1"/>
    <col min="62" max="64" width="12" bestFit="1" customWidth="1"/>
    <col min="65" max="65" width="12.5546875" bestFit="1" customWidth="1"/>
    <col min="66" max="66" width="14.6640625" bestFit="1" customWidth="1"/>
    <col min="67" max="67" width="16.5546875" bestFit="1" customWidth="1"/>
    <col min="68" max="68" width="9.44140625" bestFit="1" customWidth="1"/>
    <col min="69" max="69" width="12" bestFit="1" customWidth="1"/>
    <col min="70" max="71" width="13.6640625" bestFit="1" customWidth="1"/>
    <col min="72" max="72" width="16.6640625" bestFit="1" customWidth="1"/>
    <col min="73" max="73" width="17.5546875" customWidth="1"/>
    <col min="74" max="74" width="12" bestFit="1" customWidth="1"/>
  </cols>
  <sheetData>
    <row r="1" spans="1:37" x14ac:dyDescent="0.3">
      <c r="A1" t="s">
        <v>29</v>
      </c>
      <c r="B1" t="s">
        <v>38</v>
      </c>
      <c r="C1" t="s">
        <v>106</v>
      </c>
      <c r="D1" t="s">
        <v>33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107</v>
      </c>
      <c r="T1" t="s">
        <v>108</v>
      </c>
      <c r="U1" t="s">
        <v>109</v>
      </c>
      <c r="V1" t="s">
        <v>110</v>
      </c>
      <c r="W1" t="s">
        <v>102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39</v>
      </c>
      <c r="AG1" t="s">
        <v>41</v>
      </c>
      <c r="AH1" t="s">
        <v>42</v>
      </c>
      <c r="AI1" t="s">
        <v>43</v>
      </c>
      <c r="AJ1" t="s">
        <v>40</v>
      </c>
      <c r="AK1" t="s">
        <v>28</v>
      </c>
    </row>
    <row r="2" spans="1:37" x14ac:dyDescent="0.3">
      <c r="A2" t="str">
        <f>IF(Rel_2026_Ag_458[[#This Row],[Pontuação]]&gt;=10,"Sim",IF(Rel_2026_Ag_458[[#This Row],[Pontuação]]&gt;=5,"Próximo","Não"))</f>
        <v>Sim</v>
      </c>
      <c r="B2" t="str">
        <f>LEFT(Rel_2026_Ag_458[[#This Row],[ag_pacb]],4)</f>
        <v>0458</v>
      </c>
      <c r="C2">
        <v>100026</v>
      </c>
      <c r="D2" t="s">
        <v>94</v>
      </c>
      <c r="E2" t="s">
        <v>75</v>
      </c>
      <c r="F2" t="s">
        <v>76</v>
      </c>
      <c r="G2">
        <v>45405</v>
      </c>
      <c r="H2" t="s">
        <v>22</v>
      </c>
      <c r="I2" t="s">
        <v>74</v>
      </c>
      <c r="J2">
        <v>42122</v>
      </c>
      <c r="K2">
        <v>45495</v>
      </c>
      <c r="L2" t="s">
        <v>45</v>
      </c>
      <c r="M2">
        <v>46254</v>
      </c>
      <c r="N2">
        <v>436</v>
      </c>
      <c r="O2">
        <v>3</v>
      </c>
      <c r="P2">
        <v>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 t="s">
        <v>23</v>
      </c>
      <c r="AH2" t="s">
        <v>24</v>
      </c>
      <c r="AJ2" t="s">
        <v>25</v>
      </c>
      <c r="AK2">
        <f>IF(Rel_2026_Ag_458[[#This Row],[qtd_contas_com_deposito]]&gt;0,7*Rel_2026_Ag_458[[#This Row],[qtd_contas_com_deposito]])+IF((Rel_2026_Ag_458[[#This Row],[qtd_contas]]-Rel_2026_Ag_458[[#This Row],[qtd_contas_com_deposito]])&gt;0,(Rel_2026_Ag_458[[#This Row],[qtd_contas]]-Rel_2026_Ag_458[[#This Row],[qtd_contas_com_deposito]])*3)+IF(Rel_2026_Ag_458[[#This Row],[qtd_cesta_serv]]&gt;0,3*Rel_2026_Ag_458[[#This Row],[qtd_cesta_serv]])+IF(Rel_2026_Ag_458[[#This Row],[QTD_CARTAO_EMITIDO]]&gt;0,0*Rel_2026_Ag_458[[#This Row],[QTD_CARTAO_EMITIDO]])+IF(Rel_2026_Ag_458[[#This Row],[QTD_SUPER_PROTEGIDO]]&gt;0,0*Rel_2026_Ag_458[[#This Row],[QTD_SUPER_PROTEGIDO]])+IF(Rel_2026_Ag_458[[#This Row],[QTD_CONTAS_PJ]]&gt;0,0*Rel_2026_Ag_458[[#This Row],[QTD_CONTAS_PJ]])+IF(Rel_2026_Ag_458[[#This Row],[QTD_MICRO_VIVAVIDA]]&gt;0,1*Rel_2026_Ag_458[[#This Row],[QTD_MICRO_VIVAVIDA]])+IF(Rel_2026_Ag_458[[#This Row],[qtd_microsseguro]]&gt;0,1*Rel_2026_Ag_458[[#This Row],[qtd_microsseguro]])+IF(Rel_2026_Ag_458[[#This Row],[QTD_SEG_RESIDENCIAL]]&gt;0,1*Rel_2026_Ag_458[[#This Row],[QTD_SEG_RESIDENCIAL]])+IF(Rel_2026_Ag_458[[#This Row],[QTD_PLANO_ODONTO]]&gt;0,1*Rel_2026_Ag_458[[#This Row],[QTD_PLANO_ODONTO]])+IF(Rel_2026_Ag_458[[#This Row],[vlr_lime]]&gt;0,1*ROUND(Rel_2026_Ag_458[[#This Row],[vlr_lime]]/100,0))+ROUND(IF(Rel_2026_Ag_458[[#This Row],[VLR_CREDITO_PARCEL]]&gt;500,1*Rel_2026_Ag_458[[#This Row],[VLR_CREDITO_PARCEL]]/500),0)+ROUND(Rel_2026_Ag_458[[#This Row],[vlr_consignado_total]]/1000,0)</f>
        <v>18</v>
      </c>
    </row>
    <row r="3" spans="1:37" x14ac:dyDescent="0.3">
      <c r="A3" t="str">
        <f>IF(Rel_2026_Ag_458[[#This Row],[Pontuação]]&gt;=10,"Sim",IF(Rel_2026_Ag_458[[#This Row],[Pontuação]]&gt;=5,"Próximo","Não"))</f>
        <v>Não</v>
      </c>
      <c r="B3" t="str">
        <f>LEFT(Rel_2026_Ag_458[[#This Row],[ag_pacb]],4)</f>
        <v>0458</v>
      </c>
      <c r="C3">
        <v>176543</v>
      </c>
      <c r="D3" t="s">
        <v>94</v>
      </c>
      <c r="E3" t="s">
        <v>81</v>
      </c>
      <c r="F3" t="s">
        <v>82</v>
      </c>
      <c r="G3">
        <v>45427</v>
      </c>
      <c r="H3" t="s">
        <v>22</v>
      </c>
      <c r="I3" t="s">
        <v>74</v>
      </c>
      <c r="J3">
        <v>43745</v>
      </c>
      <c r="K3">
        <v>45506</v>
      </c>
      <c r="L3" t="s">
        <v>45</v>
      </c>
      <c r="M3">
        <v>46254</v>
      </c>
      <c r="N3">
        <v>406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t="s">
        <v>26</v>
      </c>
      <c r="AH3" t="s">
        <v>24</v>
      </c>
      <c r="AJ3" t="s">
        <v>25</v>
      </c>
      <c r="AK3">
        <f>IF(Rel_2026_Ag_458[[#This Row],[qtd_contas_com_deposito]]&gt;0,7*Rel_2026_Ag_458[[#This Row],[qtd_contas_com_deposito]])+IF((Rel_2026_Ag_458[[#This Row],[qtd_contas]]-Rel_2026_Ag_458[[#This Row],[qtd_contas_com_deposito]])&gt;0,(Rel_2026_Ag_458[[#This Row],[qtd_contas]]-Rel_2026_Ag_458[[#This Row],[qtd_contas_com_deposito]])*3)+IF(Rel_2026_Ag_458[[#This Row],[qtd_cesta_serv]]&gt;0,3*Rel_2026_Ag_458[[#This Row],[qtd_cesta_serv]])+IF(Rel_2026_Ag_458[[#This Row],[QTD_CARTAO_EMITIDO]]&gt;0,0*Rel_2026_Ag_458[[#This Row],[QTD_CARTAO_EMITIDO]])+IF(Rel_2026_Ag_458[[#This Row],[QTD_SUPER_PROTEGIDO]]&gt;0,0*Rel_2026_Ag_458[[#This Row],[QTD_SUPER_PROTEGIDO]])+IF(Rel_2026_Ag_458[[#This Row],[QTD_CONTAS_PJ]]&gt;0,0*Rel_2026_Ag_458[[#This Row],[QTD_CONTAS_PJ]])+IF(Rel_2026_Ag_458[[#This Row],[QTD_MICRO_VIVAVIDA]]&gt;0,1*Rel_2026_Ag_458[[#This Row],[QTD_MICRO_VIVAVIDA]])+IF(Rel_2026_Ag_458[[#This Row],[qtd_microsseguro]]&gt;0,1*Rel_2026_Ag_458[[#This Row],[qtd_microsseguro]])+IF(Rel_2026_Ag_458[[#This Row],[QTD_SEG_RESIDENCIAL]]&gt;0,1*Rel_2026_Ag_458[[#This Row],[QTD_SEG_RESIDENCIAL]])+IF(Rel_2026_Ag_458[[#This Row],[QTD_PLANO_ODONTO]]&gt;0,1*Rel_2026_Ag_458[[#This Row],[QTD_PLANO_ODONTO]])+IF(Rel_2026_Ag_458[[#This Row],[vlr_lime]]&gt;0,1*ROUND(Rel_2026_Ag_458[[#This Row],[vlr_lime]]/100,0))+ROUND(IF(Rel_2026_Ag_458[[#This Row],[VLR_CREDITO_PARCEL]]&gt;500,1*Rel_2026_Ag_458[[#This Row],[VLR_CREDITO_PARCEL]]/500),0)+ROUND(Rel_2026_Ag_458[[#This Row],[vlr_consignado_total]]/1000,0)</f>
        <v>0</v>
      </c>
    </row>
    <row r="4" spans="1:37" x14ac:dyDescent="0.3">
      <c r="A4" t="str">
        <f>IF(Rel_2026_Ag_458[[#This Row],[Pontuação]]&gt;=10,"Sim",IF(Rel_2026_Ag_458[[#This Row],[Pontuação]]&gt;=5,"Próximo","Não"))</f>
        <v>Sim</v>
      </c>
      <c r="B4" t="str">
        <f>LEFT(Rel_2026_Ag_458[[#This Row],[ag_pacb]],4)</f>
        <v>0458</v>
      </c>
      <c r="C4">
        <v>218083</v>
      </c>
      <c r="D4" t="s">
        <v>94</v>
      </c>
      <c r="E4" t="s">
        <v>72</v>
      </c>
      <c r="F4" t="s">
        <v>73</v>
      </c>
      <c r="G4">
        <v>45174</v>
      </c>
      <c r="H4" t="s">
        <v>22</v>
      </c>
      <c r="I4" t="s">
        <v>74</v>
      </c>
      <c r="J4">
        <v>44308</v>
      </c>
      <c r="K4">
        <v>44337</v>
      </c>
      <c r="L4" t="s">
        <v>45</v>
      </c>
      <c r="M4">
        <v>46253</v>
      </c>
      <c r="N4">
        <v>14</v>
      </c>
      <c r="O4">
        <v>1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t="s">
        <v>23</v>
      </c>
      <c r="AH4" t="s">
        <v>24</v>
      </c>
      <c r="AJ4" t="s">
        <v>25</v>
      </c>
      <c r="AK4">
        <f>IF(Rel_2026_Ag_458[[#This Row],[qtd_contas_com_deposito]]&gt;0,7*Rel_2026_Ag_458[[#This Row],[qtd_contas_com_deposito]])+IF((Rel_2026_Ag_458[[#This Row],[qtd_contas]]-Rel_2026_Ag_458[[#This Row],[qtd_contas_com_deposito]])&gt;0,(Rel_2026_Ag_458[[#This Row],[qtd_contas]]-Rel_2026_Ag_458[[#This Row],[qtd_contas_com_deposito]])*3)+IF(Rel_2026_Ag_458[[#This Row],[qtd_cesta_serv]]&gt;0,3*Rel_2026_Ag_458[[#This Row],[qtd_cesta_serv]])+IF(Rel_2026_Ag_458[[#This Row],[QTD_CARTAO_EMITIDO]]&gt;0,0*Rel_2026_Ag_458[[#This Row],[QTD_CARTAO_EMITIDO]])+IF(Rel_2026_Ag_458[[#This Row],[QTD_SUPER_PROTEGIDO]]&gt;0,0*Rel_2026_Ag_458[[#This Row],[QTD_SUPER_PROTEGIDO]])+IF(Rel_2026_Ag_458[[#This Row],[QTD_CONTAS_PJ]]&gt;0,0*Rel_2026_Ag_458[[#This Row],[QTD_CONTAS_PJ]])+IF(Rel_2026_Ag_458[[#This Row],[QTD_MICRO_VIVAVIDA]]&gt;0,1*Rel_2026_Ag_458[[#This Row],[QTD_MICRO_VIVAVIDA]])+IF(Rel_2026_Ag_458[[#This Row],[qtd_microsseguro]]&gt;0,1*Rel_2026_Ag_458[[#This Row],[qtd_microsseguro]])+IF(Rel_2026_Ag_458[[#This Row],[QTD_SEG_RESIDENCIAL]]&gt;0,1*Rel_2026_Ag_458[[#This Row],[QTD_SEG_RESIDENCIAL]])+IF(Rel_2026_Ag_458[[#This Row],[QTD_PLANO_ODONTO]]&gt;0,1*Rel_2026_Ag_458[[#This Row],[QTD_PLANO_ODONTO]])+IF(Rel_2026_Ag_458[[#This Row],[vlr_lime]]&gt;0,1*ROUND(Rel_2026_Ag_458[[#This Row],[vlr_lime]]/100,0))+ROUND(IF(Rel_2026_Ag_458[[#This Row],[VLR_CREDITO_PARCEL]]&gt;500,1*Rel_2026_Ag_458[[#This Row],[VLR_CREDITO_PARCEL]]/500),0)+ROUND(Rel_2026_Ag_458[[#This Row],[vlr_consignado_total]]/1000,0)</f>
        <v>10</v>
      </c>
    </row>
    <row r="5" spans="1:37" x14ac:dyDescent="0.3">
      <c r="A5" t="str">
        <f>IF(Rel_2026_Ag_458[[#This Row],[Pontuação]]&gt;=10,"Sim",IF(Rel_2026_Ag_458[[#This Row],[Pontuação]]&gt;=5,"Próximo","Não"))</f>
        <v>Não</v>
      </c>
      <c r="B5" t="str">
        <f>LEFT(Rel_2026_Ag_458[[#This Row],[ag_pacb]],4)</f>
        <v>0458</v>
      </c>
      <c r="C5">
        <v>231393</v>
      </c>
      <c r="D5" t="s">
        <v>94</v>
      </c>
      <c r="E5" t="s">
        <v>79</v>
      </c>
      <c r="F5" t="s">
        <v>80</v>
      </c>
      <c r="G5">
        <v>44655</v>
      </c>
      <c r="H5" t="s">
        <v>22</v>
      </c>
      <c r="I5" t="s">
        <v>74</v>
      </c>
      <c r="J5">
        <v>45155</v>
      </c>
      <c r="K5">
        <v>44285</v>
      </c>
      <c r="L5" t="s">
        <v>45</v>
      </c>
      <c r="M5">
        <v>46181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23</v>
      </c>
      <c r="AH5" t="s">
        <v>113</v>
      </c>
      <c r="AI5">
        <v>46183</v>
      </c>
      <c r="AJ5" t="s">
        <v>37</v>
      </c>
      <c r="AK5">
        <f>IF(Rel_2026_Ag_458[[#This Row],[qtd_contas_com_deposito]]&gt;0,7*Rel_2026_Ag_458[[#This Row],[qtd_contas_com_deposito]])+IF((Rel_2026_Ag_458[[#This Row],[qtd_contas]]-Rel_2026_Ag_458[[#This Row],[qtd_contas_com_deposito]])&gt;0,(Rel_2026_Ag_458[[#This Row],[qtd_contas]]-Rel_2026_Ag_458[[#This Row],[qtd_contas_com_deposito]])*3)+IF(Rel_2026_Ag_458[[#This Row],[qtd_cesta_serv]]&gt;0,3*Rel_2026_Ag_458[[#This Row],[qtd_cesta_serv]])+IF(Rel_2026_Ag_458[[#This Row],[QTD_CARTAO_EMITIDO]]&gt;0,0*Rel_2026_Ag_458[[#This Row],[QTD_CARTAO_EMITIDO]])+IF(Rel_2026_Ag_458[[#This Row],[QTD_SUPER_PROTEGIDO]]&gt;0,0*Rel_2026_Ag_458[[#This Row],[QTD_SUPER_PROTEGIDO]])+IF(Rel_2026_Ag_458[[#This Row],[QTD_CONTAS_PJ]]&gt;0,0*Rel_2026_Ag_458[[#This Row],[QTD_CONTAS_PJ]])+IF(Rel_2026_Ag_458[[#This Row],[QTD_MICRO_VIVAVIDA]]&gt;0,1*Rel_2026_Ag_458[[#This Row],[QTD_MICRO_VIVAVIDA]])+IF(Rel_2026_Ag_458[[#This Row],[qtd_microsseguro]]&gt;0,1*Rel_2026_Ag_458[[#This Row],[qtd_microsseguro]])+IF(Rel_2026_Ag_458[[#This Row],[QTD_SEG_RESIDENCIAL]]&gt;0,1*Rel_2026_Ag_458[[#This Row],[QTD_SEG_RESIDENCIAL]])+IF(Rel_2026_Ag_458[[#This Row],[QTD_PLANO_ODONTO]]&gt;0,1*Rel_2026_Ag_458[[#This Row],[QTD_PLANO_ODONTO]])+IF(Rel_2026_Ag_458[[#This Row],[vlr_lime]]&gt;0,1*ROUND(Rel_2026_Ag_458[[#This Row],[vlr_lime]]/100,0))+ROUND(IF(Rel_2026_Ag_458[[#This Row],[VLR_CREDITO_PARCEL]]&gt;500,1*Rel_2026_Ag_458[[#This Row],[VLR_CREDITO_PARCEL]]/500),0)+ROUND(Rel_2026_Ag_458[[#This Row],[vlr_consignado_total]]/1000,0)</f>
        <v>0</v>
      </c>
    </row>
    <row r="6" spans="1:37" x14ac:dyDescent="0.3">
      <c r="G6" s="1"/>
      <c r="J6" s="1"/>
      <c r="K6" s="1"/>
      <c r="M6" s="1"/>
      <c r="O6">
        <f>SUBTOTAL(9,Rel_2026_Ag_458[qtd_contas])</f>
        <v>4</v>
      </c>
      <c r="P6">
        <f>SUBTOTAL(9,Rel_2026_Ag_458[qtd_contas_com_deposito])</f>
        <v>3</v>
      </c>
      <c r="Q6">
        <f>SUBTOTAL(9,Rel_2026_Ag_458[qtd_cesta_serv])</f>
        <v>1</v>
      </c>
      <c r="R6">
        <f>SUBTOTAL(9,Rel_2026_Ag_458[QTD_CARTAO_EMITIDO])</f>
        <v>0</v>
      </c>
      <c r="Y6">
        <f>SUBTOTAL(9,Rel_2026_Ag_458[QTD_CONTAS_PJ])</f>
        <v>0</v>
      </c>
      <c r="Z6">
        <f>SUBTOTAL(9,Rel_2026_Ag_458[qtd_microsseguro])</f>
        <v>0</v>
      </c>
      <c r="AA6">
        <f>SUBTOTAL(9,Rel_2026_Ag_458[QTD_SUPER_PROTEGIDO])</f>
        <v>0</v>
      </c>
      <c r="AB6">
        <f>SUBTOTAL(9,Rel_2026_Ag_458[QTD_MICRO_VIVAVIDA])</f>
        <v>0</v>
      </c>
      <c r="AC6">
        <f>SUBTOTAL(9,Rel_2026_Ag_458[QTD_PLANO_ODONTO])</f>
        <v>0</v>
      </c>
      <c r="AD6">
        <f>SUBTOTAL(9,Rel_2026_Ag_458[QTD_SEG_RESIDENCIAL])</f>
        <v>1</v>
      </c>
      <c r="AE6">
        <f>SUBTOTAL(9,Rel_2026_Ag_458[QTD_SEG_CARTAO_DEB])</f>
        <v>0</v>
      </c>
    </row>
  </sheetData>
  <phoneticPr fontId="2" type="noConversion"/>
  <conditionalFormatting sqref="A2:AJ5">
    <cfRule type="expression" dxfId="19" priority="1">
      <formula>$A2="Não"</formula>
    </cfRule>
    <cfRule type="expression" dxfId="18" priority="2">
      <formula>$A2="Próximo"</formula>
    </cfRule>
  </conditionalFormatting>
  <conditionalFormatting sqref="D8:E9">
    <cfRule type="expression" dxfId="17" priority="3">
      <formula>"SE(B2&gt;10)"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0169B-D5A8-47CE-B78D-3CC56974A8FC}">
  <dimension ref="A1:AK13"/>
  <sheetViews>
    <sheetView workbookViewId="0"/>
  </sheetViews>
  <sheetFormatPr defaultRowHeight="14.4" x14ac:dyDescent="0.3"/>
  <cols>
    <col min="1" max="1" width="9.6640625" bestFit="1" customWidth="1"/>
    <col min="2" max="2" width="13.6640625" bestFit="1" customWidth="1"/>
    <col min="3" max="3" width="9.77734375" bestFit="1" customWidth="1"/>
    <col min="4" max="4" width="12" bestFit="1" customWidth="1"/>
    <col min="5" max="5" width="23.21875" bestFit="1" customWidth="1"/>
    <col min="6" max="6" width="10.109375" bestFit="1" customWidth="1"/>
    <col min="7" max="7" width="14.6640625" bestFit="1" customWidth="1"/>
    <col min="8" max="8" width="4.77734375" bestFit="1" customWidth="1"/>
    <col min="9" max="9" width="16.109375" bestFit="1" customWidth="1"/>
    <col min="10" max="10" width="10.44140625" bestFit="1" customWidth="1"/>
    <col min="11" max="11" width="15.88671875" bestFit="1" customWidth="1"/>
    <col min="12" max="12" width="13.21875" bestFit="1" customWidth="1"/>
    <col min="13" max="13" width="19.109375" bestFit="1" customWidth="1"/>
    <col min="14" max="14" width="16.5546875" bestFit="1" customWidth="1"/>
    <col min="15" max="15" width="12.44140625" bestFit="1" customWidth="1"/>
    <col min="16" max="16" width="25.33203125" bestFit="1" customWidth="1"/>
    <col min="17" max="17" width="15.77734375" bestFit="1" customWidth="1"/>
    <col min="18" max="18" width="22.21875" bestFit="1" customWidth="1"/>
    <col min="19" max="19" width="9.88671875" bestFit="1" customWidth="1"/>
    <col min="20" max="20" width="20.44140625" bestFit="1" customWidth="1"/>
    <col min="21" max="21" width="19.88671875" bestFit="1" customWidth="1"/>
    <col min="22" max="23" width="19.77734375" bestFit="1" customWidth="1"/>
    <col min="24" max="24" width="21.88671875" bestFit="1" customWidth="1"/>
    <col min="25" max="25" width="17.109375" bestFit="1" customWidth="1"/>
    <col min="26" max="26" width="18.21875" bestFit="1" customWidth="1"/>
    <col min="27" max="27" width="24" bestFit="1" customWidth="1"/>
    <col min="28" max="28" width="22" bestFit="1" customWidth="1"/>
    <col min="29" max="29" width="21.6640625" bestFit="1" customWidth="1"/>
    <col min="30" max="30" width="23" bestFit="1" customWidth="1"/>
    <col min="31" max="31" width="22.77734375" bestFit="1" customWidth="1"/>
    <col min="32" max="32" width="16.6640625" bestFit="1" customWidth="1"/>
    <col min="33" max="33" width="13.6640625" bestFit="1" customWidth="1"/>
    <col min="34" max="34" width="13.77734375" bestFit="1" customWidth="1"/>
    <col min="35" max="35" width="16.77734375" bestFit="1" customWidth="1"/>
    <col min="36" max="36" width="9.44140625" bestFit="1" customWidth="1"/>
    <col min="37" max="37" width="12" bestFit="1" customWidth="1"/>
    <col min="38" max="38" width="5" bestFit="1" customWidth="1"/>
    <col min="39" max="47" width="6" bestFit="1" customWidth="1"/>
    <col min="48" max="48" width="12" bestFit="1" customWidth="1"/>
    <col min="49" max="49" width="21.6640625" bestFit="1" customWidth="1"/>
    <col min="50" max="50" width="23" bestFit="1" customWidth="1"/>
    <col min="51" max="51" width="22.6640625" bestFit="1" customWidth="1"/>
    <col min="52" max="52" width="17" bestFit="1" customWidth="1"/>
    <col min="53" max="53" width="16.6640625" bestFit="1" customWidth="1"/>
    <col min="54" max="54" width="21.88671875" bestFit="1" customWidth="1"/>
    <col min="55" max="56" width="13.6640625" bestFit="1" customWidth="1"/>
    <col min="57" max="57" width="16.6640625" bestFit="1" customWidth="1"/>
    <col min="58" max="58" width="9.44140625" bestFit="1" customWidth="1"/>
    <col min="59" max="59" width="5" bestFit="1" customWidth="1"/>
    <col min="60" max="60" width="6" bestFit="1" customWidth="1"/>
    <col min="61" max="62" width="12" bestFit="1" customWidth="1"/>
    <col min="63" max="63" width="12.5546875" bestFit="1" customWidth="1"/>
    <col min="64" max="64" width="14.6640625" bestFit="1" customWidth="1"/>
    <col min="65" max="65" width="16.5546875" bestFit="1" customWidth="1"/>
    <col min="66" max="66" width="9.44140625" bestFit="1" customWidth="1"/>
    <col min="67" max="67" width="12" bestFit="1" customWidth="1"/>
    <col min="68" max="69" width="13.6640625" bestFit="1" customWidth="1"/>
    <col min="70" max="70" width="16.6640625" bestFit="1" customWidth="1"/>
    <col min="71" max="71" width="17.5546875" customWidth="1"/>
    <col min="72" max="72" width="12" bestFit="1" customWidth="1"/>
  </cols>
  <sheetData>
    <row r="1" spans="1:37" x14ac:dyDescent="0.3">
      <c r="A1" t="s">
        <v>29</v>
      </c>
      <c r="B1" t="s">
        <v>33</v>
      </c>
      <c r="C1" t="s">
        <v>38</v>
      </c>
      <c r="D1" t="s">
        <v>106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107</v>
      </c>
      <c r="U1" t="s">
        <v>108</v>
      </c>
      <c r="V1" t="s">
        <v>109</v>
      </c>
      <c r="W1" t="s">
        <v>110</v>
      </c>
      <c r="X1" t="s">
        <v>102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39</v>
      </c>
      <c r="AG1" t="s">
        <v>41</v>
      </c>
      <c r="AH1" t="s">
        <v>42</v>
      </c>
      <c r="AI1" t="s">
        <v>43</v>
      </c>
      <c r="AJ1" t="s">
        <v>40</v>
      </c>
      <c r="AK1" t="s">
        <v>28</v>
      </c>
    </row>
    <row r="2" spans="1:37" x14ac:dyDescent="0.3">
      <c r="A2" t="str">
        <f>IF(Rel_2026_Ag_726[[#This Row],[Pontuação]]&gt;=10,"Sim",IF(Rel_2026_Ag_726[[#This Row],[Pontuação]]&gt;=5,"Próximo","Não"))</f>
        <v>Sim</v>
      </c>
      <c r="B2" t="s">
        <v>121</v>
      </c>
      <c r="C2" t="str">
        <f>LEFT(Rel_2026_Ag_726[[#This Row],[ag_pacb]],4)</f>
        <v>0726</v>
      </c>
      <c r="D2">
        <v>227270</v>
      </c>
      <c r="E2" t="s">
        <v>95</v>
      </c>
      <c r="F2" t="s">
        <v>98</v>
      </c>
      <c r="G2">
        <v>44525</v>
      </c>
      <c r="H2" t="s">
        <v>22</v>
      </c>
      <c r="I2" t="s">
        <v>59</v>
      </c>
      <c r="J2">
        <v>44532</v>
      </c>
      <c r="K2">
        <v>44540</v>
      </c>
      <c r="L2" t="s">
        <v>44</v>
      </c>
      <c r="M2">
        <v>46254</v>
      </c>
      <c r="N2">
        <v>1782</v>
      </c>
      <c r="O2">
        <v>3</v>
      </c>
      <c r="P2">
        <v>3</v>
      </c>
      <c r="Q2">
        <v>3</v>
      </c>
      <c r="R2">
        <v>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2</v>
      </c>
      <c r="AB2">
        <v>0</v>
      </c>
      <c r="AC2">
        <v>0</v>
      </c>
      <c r="AD2">
        <v>0</v>
      </c>
      <c r="AE2">
        <v>3</v>
      </c>
      <c r="AF2">
        <v>0</v>
      </c>
      <c r="AG2" t="s">
        <v>26</v>
      </c>
      <c r="AH2" t="s">
        <v>24</v>
      </c>
      <c r="AJ2" t="s">
        <v>25</v>
      </c>
      <c r="AK2">
        <f>IF(Rel_2026_Ag_726[[#This Row],[qtd_contas_com_deposito]]&gt;0,7*Rel_2026_Ag_726[[#This Row],[qtd_contas_com_deposito]])+IF((Rel_2026_Ag_726[[#This Row],[qtd_contas]]-Rel_2026_Ag_726[[#This Row],[qtd_contas_com_deposito]])&gt;0,(Rel_2026_Ag_726[[#This Row],[qtd_contas]]-Rel_2026_Ag_726[[#This Row],[qtd_contas_com_deposito]])*3)+IF(Rel_2026_Ag_726[[#This Row],[qtd_cesta_serv]]&gt;0,3*Rel_2026_Ag_726[[#This Row],[qtd_cesta_serv]])+IF(Rel_2026_Ag_726[[#This Row],[QTD_CARTAO_EMITIDO]]&gt;0,0*Rel_2026_Ag_726[[#This Row],[QTD_CARTAO_EMITIDO]])+IF(Rel_2026_Ag_726[[#This Row],[QTD_SUPER_PROTEGIDO]]&gt;0,0*Rel_2026_Ag_726[[#This Row],[QTD_SUPER_PROTEGIDO]])+IF(Rel_2026_Ag_726[[#This Row],[QTD_CONTAS_PJ]]&gt;0,0*Rel_2026_Ag_726[[#This Row],[QTD_CONTAS_PJ]])+IF(Rel_2026_Ag_726[[#This Row],[QTD_MICRO_VIVAVIDA]]&gt;0,1*Rel_2026_Ag_726[[#This Row],[QTD_MICRO_VIVAVIDA]])+IF(Rel_2026_Ag_726[[#This Row],[qtd_microsseguro]]&gt;0,1*Rel_2026_Ag_726[[#This Row],[qtd_microsseguro]])+IF(Rel_2026_Ag_726[[#This Row],[QTD_SEG_RESIDENCIAL]]&gt;0,1*Rel_2026_Ag_726[[#This Row],[QTD_SEG_RESIDENCIAL]])+IF(Rel_2026_Ag_726[[#This Row],[QTD_PLANO_ODONTO]]&gt;0,1*Rel_2026_Ag_726[[#This Row],[QTD_PLANO_ODONTO]])+IF(Rel_2026_Ag_726[[#This Row],[vlr_lime]]&gt;0,1*ROUND(Rel_2026_Ag_726[[#This Row],[vlr_lime]]/100,0))+ROUND(IF(Rel_2026_Ag_726[[#This Row],[VLR_CREDITO_PARCEL]]&gt;500,1*Rel_2026_Ag_726[[#This Row],[VLR_CREDITO_PARCEL]]/500),0)+ROUND(Rel_2026_Ag_726[[#This Row],[vlr_consignado_total]]/1000,0)</f>
        <v>30</v>
      </c>
    </row>
    <row r="3" spans="1:37" x14ac:dyDescent="0.3">
      <c r="A3" t="str">
        <f>IF(Rel_2026_Ag_726[[#This Row],[Pontuação]]&gt;=10,"Sim",IF(Rel_2026_Ag_726[[#This Row],[Pontuação]]&gt;=5,"Próximo","Não"))</f>
        <v>Sim</v>
      </c>
      <c r="B3" t="s">
        <v>121</v>
      </c>
      <c r="C3" t="str">
        <f>LEFT(Rel_2026_Ag_726[[#This Row],[ag_pacb]],4)</f>
        <v>0726</v>
      </c>
      <c r="D3">
        <v>37098</v>
      </c>
      <c r="E3" t="s">
        <v>124</v>
      </c>
      <c r="F3" t="s">
        <v>125</v>
      </c>
      <c r="G3">
        <v>45202</v>
      </c>
      <c r="H3" t="s">
        <v>22</v>
      </c>
      <c r="I3" t="s">
        <v>48</v>
      </c>
      <c r="J3">
        <v>44102</v>
      </c>
      <c r="K3">
        <v>44119</v>
      </c>
      <c r="L3" t="s">
        <v>44</v>
      </c>
      <c r="M3">
        <v>46254</v>
      </c>
      <c r="N3">
        <v>105</v>
      </c>
      <c r="O3">
        <v>3</v>
      </c>
      <c r="P3">
        <v>0</v>
      </c>
      <c r="Q3">
        <v>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3</v>
      </c>
      <c r="AF3">
        <v>0</v>
      </c>
      <c r="AG3" t="s">
        <v>23</v>
      </c>
      <c r="AH3" t="s">
        <v>24</v>
      </c>
      <c r="AJ3" t="s">
        <v>25</v>
      </c>
      <c r="AK3">
        <f>IF(Rel_2026_Ag_726[[#This Row],[qtd_contas_com_deposito]]&gt;0,7*Rel_2026_Ag_726[[#This Row],[qtd_contas_com_deposito]])+IF((Rel_2026_Ag_726[[#This Row],[qtd_contas]]-Rel_2026_Ag_726[[#This Row],[qtd_contas_com_deposito]])&gt;0,(Rel_2026_Ag_726[[#This Row],[qtd_contas]]-Rel_2026_Ag_726[[#This Row],[qtd_contas_com_deposito]])*3)+IF(Rel_2026_Ag_726[[#This Row],[qtd_cesta_serv]]&gt;0,3*Rel_2026_Ag_726[[#This Row],[qtd_cesta_serv]])+IF(Rel_2026_Ag_726[[#This Row],[QTD_CARTAO_EMITIDO]]&gt;0,0*Rel_2026_Ag_726[[#This Row],[QTD_CARTAO_EMITIDO]])+IF(Rel_2026_Ag_726[[#This Row],[QTD_SUPER_PROTEGIDO]]&gt;0,0*Rel_2026_Ag_726[[#This Row],[QTD_SUPER_PROTEGIDO]])+IF(Rel_2026_Ag_726[[#This Row],[QTD_CONTAS_PJ]]&gt;0,0*Rel_2026_Ag_726[[#This Row],[QTD_CONTAS_PJ]])+IF(Rel_2026_Ag_726[[#This Row],[QTD_MICRO_VIVAVIDA]]&gt;0,1*Rel_2026_Ag_726[[#This Row],[QTD_MICRO_VIVAVIDA]])+IF(Rel_2026_Ag_726[[#This Row],[qtd_microsseguro]]&gt;0,1*Rel_2026_Ag_726[[#This Row],[qtd_microsseguro]])+IF(Rel_2026_Ag_726[[#This Row],[QTD_SEG_RESIDENCIAL]]&gt;0,1*Rel_2026_Ag_726[[#This Row],[QTD_SEG_RESIDENCIAL]])+IF(Rel_2026_Ag_726[[#This Row],[QTD_PLANO_ODONTO]]&gt;0,1*Rel_2026_Ag_726[[#This Row],[QTD_PLANO_ODONTO]])+IF(Rel_2026_Ag_726[[#This Row],[vlr_lime]]&gt;0,1*ROUND(Rel_2026_Ag_726[[#This Row],[vlr_lime]]/100,0))+ROUND(IF(Rel_2026_Ag_726[[#This Row],[VLR_CREDITO_PARCEL]]&gt;500,1*Rel_2026_Ag_726[[#This Row],[VLR_CREDITO_PARCEL]]/500),0)+ROUND(Rel_2026_Ag_726[[#This Row],[vlr_consignado_total]]/1000,0)</f>
        <v>18</v>
      </c>
    </row>
    <row r="4" spans="1:37" x14ac:dyDescent="0.3">
      <c r="A4" t="str">
        <f>IF(Rel_2026_Ag_726[[#This Row],[Pontuação]]&gt;=10,"Sim",IF(Rel_2026_Ag_726[[#This Row],[Pontuação]]&gt;=5,"Próximo","Não"))</f>
        <v>Sim</v>
      </c>
      <c r="B4" t="s">
        <v>121</v>
      </c>
      <c r="C4" t="str">
        <f>LEFT(Rel_2026_Ag_726[[#This Row],[ag_pacb]],4)</f>
        <v>0726</v>
      </c>
      <c r="D4">
        <v>245240</v>
      </c>
      <c r="E4" t="s">
        <v>116</v>
      </c>
      <c r="F4" t="s">
        <v>99</v>
      </c>
      <c r="G4">
        <v>45142</v>
      </c>
      <c r="H4" t="s">
        <v>22</v>
      </c>
      <c r="I4" t="s">
        <v>59</v>
      </c>
      <c r="J4">
        <v>45306</v>
      </c>
      <c r="K4">
        <v>45008</v>
      </c>
      <c r="L4" t="s">
        <v>44</v>
      </c>
      <c r="M4">
        <v>46254</v>
      </c>
      <c r="N4">
        <v>409</v>
      </c>
      <c r="O4">
        <v>1</v>
      </c>
      <c r="P4">
        <v>1</v>
      </c>
      <c r="Q4">
        <v>1</v>
      </c>
      <c r="R4">
        <v>0</v>
      </c>
      <c r="S4">
        <v>300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t="s">
        <v>23</v>
      </c>
      <c r="AH4" t="s">
        <v>24</v>
      </c>
      <c r="AJ4" t="s">
        <v>25</v>
      </c>
      <c r="AK4">
        <f>IF(Rel_2026_Ag_726[[#This Row],[qtd_contas_com_deposito]]&gt;0,7*Rel_2026_Ag_726[[#This Row],[qtd_contas_com_deposito]])+IF((Rel_2026_Ag_726[[#This Row],[qtd_contas]]-Rel_2026_Ag_726[[#This Row],[qtd_contas_com_deposito]])&gt;0,(Rel_2026_Ag_726[[#This Row],[qtd_contas]]-Rel_2026_Ag_726[[#This Row],[qtd_contas_com_deposito]])*3)+IF(Rel_2026_Ag_726[[#This Row],[qtd_cesta_serv]]&gt;0,3*Rel_2026_Ag_726[[#This Row],[qtd_cesta_serv]])+IF(Rel_2026_Ag_726[[#This Row],[QTD_CARTAO_EMITIDO]]&gt;0,0*Rel_2026_Ag_726[[#This Row],[QTD_CARTAO_EMITIDO]])+IF(Rel_2026_Ag_726[[#This Row],[QTD_SUPER_PROTEGIDO]]&gt;0,0*Rel_2026_Ag_726[[#This Row],[QTD_SUPER_PROTEGIDO]])+IF(Rel_2026_Ag_726[[#This Row],[QTD_CONTAS_PJ]]&gt;0,0*Rel_2026_Ag_726[[#This Row],[QTD_CONTAS_PJ]])+IF(Rel_2026_Ag_726[[#This Row],[QTD_MICRO_VIVAVIDA]]&gt;0,1*Rel_2026_Ag_726[[#This Row],[QTD_MICRO_VIVAVIDA]])+IF(Rel_2026_Ag_726[[#This Row],[qtd_microsseguro]]&gt;0,1*Rel_2026_Ag_726[[#This Row],[qtd_microsseguro]])+IF(Rel_2026_Ag_726[[#This Row],[QTD_SEG_RESIDENCIAL]]&gt;0,1*Rel_2026_Ag_726[[#This Row],[QTD_SEG_RESIDENCIAL]])+IF(Rel_2026_Ag_726[[#This Row],[QTD_PLANO_ODONTO]]&gt;0,1*Rel_2026_Ag_726[[#This Row],[QTD_PLANO_ODONTO]])+IF(Rel_2026_Ag_726[[#This Row],[vlr_lime]]&gt;0,1*ROUND(Rel_2026_Ag_726[[#This Row],[vlr_lime]]/100,0))+ROUND(IF(Rel_2026_Ag_726[[#This Row],[VLR_CREDITO_PARCEL]]&gt;500,1*Rel_2026_Ag_726[[#This Row],[VLR_CREDITO_PARCEL]]/500),0)+ROUND(Rel_2026_Ag_726[[#This Row],[vlr_consignado_total]]/1000,0)</f>
        <v>13</v>
      </c>
    </row>
    <row r="5" spans="1:37" x14ac:dyDescent="0.3">
      <c r="A5" t="str">
        <f>IF(Rel_2026_Ag_726[[#This Row],[Pontuação]]&gt;=10,"Sim",IF(Rel_2026_Ag_726[[#This Row],[Pontuação]]&gt;=5,"Próximo","Não"))</f>
        <v>Sim</v>
      </c>
      <c r="B5" t="s">
        <v>121</v>
      </c>
      <c r="C5" t="str">
        <f>LEFT(Rel_2026_Ag_726[[#This Row],[ag_pacb]],4)</f>
        <v>0726</v>
      </c>
      <c r="D5">
        <v>236683</v>
      </c>
      <c r="E5" t="s">
        <v>51</v>
      </c>
      <c r="F5" t="s">
        <v>52</v>
      </c>
      <c r="G5">
        <v>45118</v>
      </c>
      <c r="H5" t="s">
        <v>22</v>
      </c>
      <c r="I5" t="s">
        <v>48</v>
      </c>
      <c r="J5">
        <v>44823</v>
      </c>
      <c r="K5">
        <v>44827</v>
      </c>
      <c r="L5" t="s">
        <v>44</v>
      </c>
      <c r="M5">
        <v>46254</v>
      </c>
      <c r="N5">
        <v>599</v>
      </c>
      <c r="O5">
        <v>1</v>
      </c>
      <c r="P5">
        <v>1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1</v>
      </c>
      <c r="AF5">
        <v>0</v>
      </c>
      <c r="AG5" t="s">
        <v>23</v>
      </c>
      <c r="AH5" t="s">
        <v>24</v>
      </c>
      <c r="AJ5" t="s">
        <v>25</v>
      </c>
      <c r="AK5">
        <f>IF(Rel_2026_Ag_726[[#This Row],[qtd_contas_com_deposito]]&gt;0,7*Rel_2026_Ag_726[[#This Row],[qtd_contas_com_deposito]])+IF((Rel_2026_Ag_726[[#This Row],[qtd_contas]]-Rel_2026_Ag_726[[#This Row],[qtd_contas_com_deposito]])&gt;0,(Rel_2026_Ag_726[[#This Row],[qtd_contas]]-Rel_2026_Ag_726[[#This Row],[qtd_contas_com_deposito]])*3)+IF(Rel_2026_Ag_726[[#This Row],[qtd_cesta_serv]]&gt;0,3*Rel_2026_Ag_726[[#This Row],[qtd_cesta_serv]])+IF(Rel_2026_Ag_726[[#This Row],[QTD_CARTAO_EMITIDO]]&gt;0,0*Rel_2026_Ag_726[[#This Row],[QTD_CARTAO_EMITIDO]])+IF(Rel_2026_Ag_726[[#This Row],[QTD_SUPER_PROTEGIDO]]&gt;0,0*Rel_2026_Ag_726[[#This Row],[QTD_SUPER_PROTEGIDO]])+IF(Rel_2026_Ag_726[[#This Row],[QTD_CONTAS_PJ]]&gt;0,0*Rel_2026_Ag_726[[#This Row],[QTD_CONTAS_PJ]])+IF(Rel_2026_Ag_726[[#This Row],[QTD_MICRO_VIVAVIDA]]&gt;0,1*Rel_2026_Ag_726[[#This Row],[QTD_MICRO_VIVAVIDA]])+IF(Rel_2026_Ag_726[[#This Row],[qtd_microsseguro]]&gt;0,1*Rel_2026_Ag_726[[#This Row],[qtd_microsseguro]])+IF(Rel_2026_Ag_726[[#This Row],[QTD_SEG_RESIDENCIAL]]&gt;0,1*Rel_2026_Ag_726[[#This Row],[QTD_SEG_RESIDENCIAL]])+IF(Rel_2026_Ag_726[[#This Row],[QTD_PLANO_ODONTO]]&gt;0,1*Rel_2026_Ag_726[[#This Row],[QTD_PLANO_ODONTO]])+IF(Rel_2026_Ag_726[[#This Row],[vlr_lime]]&gt;0,1*ROUND(Rel_2026_Ag_726[[#This Row],[vlr_lime]]/100,0))+ROUND(IF(Rel_2026_Ag_726[[#This Row],[VLR_CREDITO_PARCEL]]&gt;500,1*Rel_2026_Ag_726[[#This Row],[VLR_CREDITO_PARCEL]]/500),0)+ROUND(Rel_2026_Ag_726[[#This Row],[vlr_consignado_total]]/1000,0)</f>
        <v>10</v>
      </c>
    </row>
    <row r="6" spans="1:37" x14ac:dyDescent="0.3">
      <c r="A6" t="str">
        <f>IF(Rel_2026_Ag_726[[#This Row],[Pontuação]]&gt;=10,"Sim",IF(Rel_2026_Ag_726[[#This Row],[Pontuação]]&gt;=5,"Próximo","Não"))</f>
        <v>Próximo</v>
      </c>
      <c r="B6" t="s">
        <v>121</v>
      </c>
      <c r="C6" t="str">
        <f>LEFT(Rel_2026_Ag_726[[#This Row],[ag_pacb]],4)</f>
        <v>0726</v>
      </c>
      <c r="D6">
        <v>419816</v>
      </c>
      <c r="E6" t="s">
        <v>86</v>
      </c>
      <c r="F6" t="s">
        <v>87</v>
      </c>
      <c r="G6">
        <v>46006</v>
      </c>
      <c r="H6" t="s">
        <v>22</v>
      </c>
      <c r="I6" t="s">
        <v>48</v>
      </c>
      <c r="J6">
        <v>45985</v>
      </c>
      <c r="K6">
        <v>46049</v>
      </c>
      <c r="L6" t="s">
        <v>44</v>
      </c>
      <c r="M6">
        <v>46240</v>
      </c>
      <c r="N6">
        <v>0</v>
      </c>
      <c r="O6">
        <v>1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 t="s">
        <v>23</v>
      </c>
      <c r="AH6" t="s">
        <v>24</v>
      </c>
      <c r="AJ6" t="s">
        <v>25</v>
      </c>
      <c r="AK6">
        <f>IF(Rel_2026_Ag_726[[#This Row],[qtd_contas_com_deposito]]&gt;0,7*Rel_2026_Ag_726[[#This Row],[qtd_contas_com_deposito]])+IF((Rel_2026_Ag_726[[#This Row],[qtd_contas]]-Rel_2026_Ag_726[[#This Row],[qtd_contas_com_deposito]])&gt;0,(Rel_2026_Ag_726[[#This Row],[qtd_contas]]-Rel_2026_Ag_726[[#This Row],[qtd_contas_com_deposito]])*3)+IF(Rel_2026_Ag_726[[#This Row],[qtd_cesta_serv]]&gt;0,3*Rel_2026_Ag_726[[#This Row],[qtd_cesta_serv]])+IF(Rel_2026_Ag_726[[#This Row],[QTD_CARTAO_EMITIDO]]&gt;0,0*Rel_2026_Ag_726[[#This Row],[QTD_CARTAO_EMITIDO]])+IF(Rel_2026_Ag_726[[#This Row],[QTD_SUPER_PROTEGIDO]]&gt;0,0*Rel_2026_Ag_726[[#This Row],[QTD_SUPER_PROTEGIDO]])+IF(Rel_2026_Ag_726[[#This Row],[QTD_CONTAS_PJ]]&gt;0,0*Rel_2026_Ag_726[[#This Row],[QTD_CONTAS_PJ]])+IF(Rel_2026_Ag_726[[#This Row],[QTD_MICRO_VIVAVIDA]]&gt;0,1*Rel_2026_Ag_726[[#This Row],[QTD_MICRO_VIVAVIDA]])+IF(Rel_2026_Ag_726[[#This Row],[qtd_microsseguro]]&gt;0,1*Rel_2026_Ag_726[[#This Row],[qtd_microsseguro]])+IF(Rel_2026_Ag_726[[#This Row],[QTD_SEG_RESIDENCIAL]]&gt;0,1*Rel_2026_Ag_726[[#This Row],[QTD_SEG_RESIDENCIAL]])+IF(Rel_2026_Ag_726[[#This Row],[QTD_PLANO_ODONTO]]&gt;0,1*Rel_2026_Ag_726[[#This Row],[QTD_PLANO_ODONTO]])+IF(Rel_2026_Ag_726[[#This Row],[vlr_lime]]&gt;0,1*ROUND(Rel_2026_Ag_726[[#This Row],[vlr_lime]]/100,0))+ROUND(IF(Rel_2026_Ag_726[[#This Row],[VLR_CREDITO_PARCEL]]&gt;500,1*Rel_2026_Ag_726[[#This Row],[VLR_CREDITO_PARCEL]]/500),0)+ROUND(Rel_2026_Ag_726[[#This Row],[vlr_consignado_total]]/1000,0)</f>
        <v>6</v>
      </c>
    </row>
    <row r="7" spans="1:37" x14ac:dyDescent="0.3">
      <c r="A7" t="str">
        <f>IF(Rel_2026_Ag_726[[#This Row],[Pontuação]]&gt;=10,"Sim",IF(Rel_2026_Ag_726[[#This Row],[Pontuação]]&gt;=5,"Próximo","Não"))</f>
        <v>Não</v>
      </c>
      <c r="B7" t="s">
        <v>121</v>
      </c>
      <c r="C7" t="str">
        <f>LEFT(Rel_2026_Ag_726[[#This Row],[ag_pacb]],4)</f>
        <v>0726</v>
      </c>
      <c r="D7">
        <v>249697</v>
      </c>
      <c r="E7" t="s">
        <v>58</v>
      </c>
      <c r="F7" t="s">
        <v>97</v>
      </c>
      <c r="G7">
        <v>45132</v>
      </c>
      <c r="H7" t="s">
        <v>22</v>
      </c>
      <c r="I7" t="s">
        <v>59</v>
      </c>
      <c r="J7">
        <v>45306</v>
      </c>
      <c r="K7">
        <v>45145</v>
      </c>
      <c r="L7" t="s">
        <v>44</v>
      </c>
      <c r="M7">
        <v>46254</v>
      </c>
      <c r="N7">
        <v>448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26</v>
      </c>
      <c r="AH7" t="s">
        <v>24</v>
      </c>
      <c r="AJ7" t="s">
        <v>25</v>
      </c>
      <c r="AK7">
        <f>IF(Rel_2026_Ag_726[[#This Row],[qtd_contas_com_deposito]]&gt;0,7*Rel_2026_Ag_726[[#This Row],[qtd_contas_com_deposito]])+IF((Rel_2026_Ag_726[[#This Row],[qtd_contas]]-Rel_2026_Ag_726[[#This Row],[qtd_contas_com_deposito]])&gt;0,(Rel_2026_Ag_726[[#This Row],[qtd_contas]]-Rel_2026_Ag_726[[#This Row],[qtd_contas_com_deposito]])*3)+IF(Rel_2026_Ag_726[[#This Row],[qtd_cesta_serv]]&gt;0,3*Rel_2026_Ag_726[[#This Row],[qtd_cesta_serv]])+IF(Rel_2026_Ag_726[[#This Row],[QTD_CARTAO_EMITIDO]]&gt;0,0*Rel_2026_Ag_726[[#This Row],[QTD_CARTAO_EMITIDO]])+IF(Rel_2026_Ag_726[[#This Row],[QTD_SUPER_PROTEGIDO]]&gt;0,0*Rel_2026_Ag_726[[#This Row],[QTD_SUPER_PROTEGIDO]])+IF(Rel_2026_Ag_726[[#This Row],[QTD_CONTAS_PJ]]&gt;0,0*Rel_2026_Ag_726[[#This Row],[QTD_CONTAS_PJ]])+IF(Rel_2026_Ag_726[[#This Row],[QTD_MICRO_VIVAVIDA]]&gt;0,1*Rel_2026_Ag_726[[#This Row],[QTD_MICRO_VIVAVIDA]])+IF(Rel_2026_Ag_726[[#This Row],[qtd_microsseguro]]&gt;0,1*Rel_2026_Ag_726[[#This Row],[qtd_microsseguro]])+IF(Rel_2026_Ag_726[[#This Row],[QTD_SEG_RESIDENCIAL]]&gt;0,1*Rel_2026_Ag_726[[#This Row],[QTD_SEG_RESIDENCIAL]])+IF(Rel_2026_Ag_726[[#This Row],[QTD_PLANO_ODONTO]]&gt;0,1*Rel_2026_Ag_726[[#This Row],[QTD_PLANO_ODONTO]])+IF(Rel_2026_Ag_726[[#This Row],[vlr_lime]]&gt;0,1*ROUND(Rel_2026_Ag_726[[#This Row],[vlr_lime]]/100,0))+ROUND(IF(Rel_2026_Ag_726[[#This Row],[VLR_CREDITO_PARCEL]]&gt;500,1*Rel_2026_Ag_726[[#This Row],[VLR_CREDITO_PARCEL]]/500),0)+ROUND(Rel_2026_Ag_726[[#This Row],[vlr_consignado_total]]/1000,0)</f>
        <v>0</v>
      </c>
    </row>
    <row r="8" spans="1:37" x14ac:dyDescent="0.3">
      <c r="A8" t="str">
        <f>IF(Rel_2026_Ag_726[[#This Row],[Pontuação]]&gt;=10,"Sim",IF(Rel_2026_Ag_726[[#This Row],[Pontuação]]&gt;=5,"Próximo","Não"))</f>
        <v>Sim</v>
      </c>
      <c r="B8" t="s">
        <v>121</v>
      </c>
      <c r="C8" t="str">
        <f>LEFT(Rel_2026_Ag_726[[#This Row],[ag_pacb]],4)</f>
        <v>0726</v>
      </c>
      <c r="D8">
        <v>407090</v>
      </c>
      <c r="E8" t="s">
        <v>46</v>
      </c>
      <c r="F8" t="s">
        <v>47</v>
      </c>
      <c r="G8">
        <v>45653</v>
      </c>
      <c r="H8" t="s">
        <v>22</v>
      </c>
      <c r="I8" t="s">
        <v>48</v>
      </c>
      <c r="J8">
        <v>45584</v>
      </c>
      <c r="K8">
        <v>45755</v>
      </c>
      <c r="L8" t="s">
        <v>44</v>
      </c>
      <c r="M8">
        <v>46254</v>
      </c>
      <c r="N8">
        <v>1743</v>
      </c>
      <c r="O8">
        <v>4</v>
      </c>
      <c r="P8">
        <v>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2</v>
      </c>
      <c r="AF8">
        <v>0</v>
      </c>
      <c r="AG8" t="s">
        <v>23</v>
      </c>
      <c r="AH8" t="s">
        <v>24</v>
      </c>
      <c r="AJ8" t="s">
        <v>25</v>
      </c>
      <c r="AK8">
        <f>IF(Rel_2026_Ag_726[[#This Row],[qtd_contas_com_deposito]]&gt;0,7*Rel_2026_Ag_726[[#This Row],[qtd_contas_com_deposito]])+IF((Rel_2026_Ag_726[[#This Row],[qtd_contas]]-Rel_2026_Ag_726[[#This Row],[qtd_contas_com_deposito]])&gt;0,(Rel_2026_Ag_726[[#This Row],[qtd_contas]]-Rel_2026_Ag_726[[#This Row],[qtd_contas_com_deposito]])*3)+IF(Rel_2026_Ag_726[[#This Row],[qtd_cesta_serv]]&gt;0,3*Rel_2026_Ag_726[[#This Row],[qtd_cesta_serv]])+IF(Rel_2026_Ag_726[[#This Row],[QTD_CARTAO_EMITIDO]]&gt;0,0*Rel_2026_Ag_726[[#This Row],[QTD_CARTAO_EMITIDO]])+IF(Rel_2026_Ag_726[[#This Row],[QTD_SUPER_PROTEGIDO]]&gt;0,0*Rel_2026_Ag_726[[#This Row],[QTD_SUPER_PROTEGIDO]])+IF(Rel_2026_Ag_726[[#This Row],[QTD_CONTAS_PJ]]&gt;0,0*Rel_2026_Ag_726[[#This Row],[QTD_CONTAS_PJ]])+IF(Rel_2026_Ag_726[[#This Row],[QTD_MICRO_VIVAVIDA]]&gt;0,1*Rel_2026_Ag_726[[#This Row],[QTD_MICRO_VIVAVIDA]])+IF(Rel_2026_Ag_726[[#This Row],[qtd_microsseguro]]&gt;0,1*Rel_2026_Ag_726[[#This Row],[qtd_microsseguro]])+IF(Rel_2026_Ag_726[[#This Row],[QTD_SEG_RESIDENCIAL]]&gt;0,1*Rel_2026_Ag_726[[#This Row],[QTD_SEG_RESIDENCIAL]])+IF(Rel_2026_Ag_726[[#This Row],[QTD_PLANO_ODONTO]]&gt;0,1*Rel_2026_Ag_726[[#This Row],[QTD_PLANO_ODONTO]])+IF(Rel_2026_Ag_726[[#This Row],[vlr_lime]]&gt;0,1*ROUND(Rel_2026_Ag_726[[#This Row],[vlr_lime]]/100,0))+ROUND(IF(Rel_2026_Ag_726[[#This Row],[VLR_CREDITO_PARCEL]]&gt;500,1*Rel_2026_Ag_726[[#This Row],[VLR_CREDITO_PARCEL]]/500),0)+ROUND(Rel_2026_Ag_726[[#This Row],[vlr_consignado_total]]/1000,0)</f>
        <v>24</v>
      </c>
    </row>
    <row r="9" spans="1:37" x14ac:dyDescent="0.3">
      <c r="A9" t="str">
        <f>IF(Rel_2026_Ag_726[[#This Row],[Pontuação]]&gt;=10,"Sim",IF(Rel_2026_Ag_726[[#This Row],[Pontuação]]&gt;=5,"Próximo","Não"))</f>
        <v>Sim</v>
      </c>
      <c r="B9" t="s">
        <v>121</v>
      </c>
      <c r="C9" t="str">
        <f>LEFT(Rel_2026_Ag_726[[#This Row],[ag_pacb]],4)</f>
        <v>0726</v>
      </c>
      <c r="D9">
        <v>248018</v>
      </c>
      <c r="E9" t="s">
        <v>63</v>
      </c>
      <c r="F9" t="s">
        <v>64</v>
      </c>
      <c r="G9">
        <v>45093</v>
      </c>
      <c r="H9" t="s">
        <v>22</v>
      </c>
      <c r="I9" t="s">
        <v>48</v>
      </c>
      <c r="J9">
        <v>45103</v>
      </c>
      <c r="K9">
        <v>45100</v>
      </c>
      <c r="L9" t="s">
        <v>44</v>
      </c>
      <c r="M9">
        <v>46254</v>
      </c>
      <c r="N9">
        <v>692</v>
      </c>
      <c r="O9">
        <v>8</v>
      </c>
      <c r="P9">
        <v>8</v>
      </c>
      <c r="Q9">
        <v>7</v>
      </c>
      <c r="R9">
        <v>1</v>
      </c>
      <c r="S9">
        <v>1000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6</v>
      </c>
      <c r="AF9">
        <v>0</v>
      </c>
      <c r="AG9" t="s">
        <v>23</v>
      </c>
      <c r="AH9" t="s">
        <v>24</v>
      </c>
      <c r="AJ9" t="s">
        <v>25</v>
      </c>
      <c r="AK9">
        <f>IF(Rel_2026_Ag_726[[#This Row],[qtd_contas_com_deposito]]&gt;0,7*Rel_2026_Ag_726[[#This Row],[qtd_contas_com_deposito]])+IF((Rel_2026_Ag_726[[#This Row],[qtd_contas]]-Rel_2026_Ag_726[[#This Row],[qtd_contas_com_deposito]])&gt;0,(Rel_2026_Ag_726[[#This Row],[qtd_contas]]-Rel_2026_Ag_726[[#This Row],[qtd_contas_com_deposito]])*3)+IF(Rel_2026_Ag_726[[#This Row],[qtd_cesta_serv]]&gt;0,3*Rel_2026_Ag_726[[#This Row],[qtd_cesta_serv]])+IF(Rel_2026_Ag_726[[#This Row],[QTD_CARTAO_EMITIDO]]&gt;0,0*Rel_2026_Ag_726[[#This Row],[QTD_CARTAO_EMITIDO]])+IF(Rel_2026_Ag_726[[#This Row],[QTD_SUPER_PROTEGIDO]]&gt;0,0*Rel_2026_Ag_726[[#This Row],[QTD_SUPER_PROTEGIDO]])+IF(Rel_2026_Ag_726[[#This Row],[QTD_CONTAS_PJ]]&gt;0,0*Rel_2026_Ag_726[[#This Row],[QTD_CONTAS_PJ]])+IF(Rel_2026_Ag_726[[#This Row],[QTD_MICRO_VIVAVIDA]]&gt;0,1*Rel_2026_Ag_726[[#This Row],[QTD_MICRO_VIVAVIDA]])+IF(Rel_2026_Ag_726[[#This Row],[qtd_microsseguro]]&gt;0,1*Rel_2026_Ag_726[[#This Row],[qtd_microsseguro]])+IF(Rel_2026_Ag_726[[#This Row],[QTD_SEG_RESIDENCIAL]]&gt;0,1*Rel_2026_Ag_726[[#This Row],[QTD_SEG_RESIDENCIAL]])+IF(Rel_2026_Ag_726[[#This Row],[QTD_PLANO_ODONTO]]&gt;0,1*Rel_2026_Ag_726[[#This Row],[QTD_PLANO_ODONTO]])+IF(Rel_2026_Ag_726[[#This Row],[vlr_lime]]&gt;0,1*ROUND(Rel_2026_Ag_726[[#This Row],[vlr_lime]]/100,0))+ROUND(IF(Rel_2026_Ag_726[[#This Row],[VLR_CREDITO_PARCEL]]&gt;500,1*Rel_2026_Ag_726[[#This Row],[VLR_CREDITO_PARCEL]]/500),0)+ROUND(Rel_2026_Ag_726[[#This Row],[vlr_consignado_total]]/1000,0)</f>
        <v>87</v>
      </c>
    </row>
    <row r="10" spans="1:37" x14ac:dyDescent="0.3">
      <c r="A10" t="str">
        <f>IF(Rel_2026_Ag_726[[#This Row],[Pontuação]]&gt;=10,"Sim",IF(Rel_2026_Ag_726[[#This Row],[Pontuação]]&gt;=5,"Próximo","Não"))</f>
        <v>Sim</v>
      </c>
      <c r="B10" t="s">
        <v>121</v>
      </c>
      <c r="C10" t="str">
        <f>LEFT(Rel_2026_Ag_726[[#This Row],[ag_pacb]],4)</f>
        <v>0726</v>
      </c>
      <c r="D10">
        <v>422116</v>
      </c>
      <c r="E10" t="s">
        <v>70</v>
      </c>
      <c r="F10" t="s">
        <v>71</v>
      </c>
      <c r="G10">
        <v>46050</v>
      </c>
      <c r="H10" t="s">
        <v>22</v>
      </c>
      <c r="I10" t="s">
        <v>48</v>
      </c>
      <c r="J10">
        <v>46046</v>
      </c>
      <c r="K10">
        <v>46059</v>
      </c>
      <c r="L10" t="s">
        <v>44</v>
      </c>
      <c r="M10">
        <v>46254</v>
      </c>
      <c r="N10">
        <v>42</v>
      </c>
      <c r="O10">
        <v>1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23</v>
      </c>
      <c r="AH10" t="s">
        <v>24</v>
      </c>
      <c r="AJ10" t="s">
        <v>25</v>
      </c>
      <c r="AK10">
        <f>IF(Rel_2026_Ag_726[[#This Row],[qtd_contas_com_deposito]]&gt;0,7*Rel_2026_Ag_726[[#This Row],[qtd_contas_com_deposito]])+IF((Rel_2026_Ag_726[[#This Row],[qtd_contas]]-Rel_2026_Ag_726[[#This Row],[qtd_contas_com_deposito]])&gt;0,(Rel_2026_Ag_726[[#This Row],[qtd_contas]]-Rel_2026_Ag_726[[#This Row],[qtd_contas_com_deposito]])*3)+IF(Rel_2026_Ag_726[[#This Row],[qtd_cesta_serv]]&gt;0,3*Rel_2026_Ag_726[[#This Row],[qtd_cesta_serv]])+IF(Rel_2026_Ag_726[[#This Row],[QTD_CARTAO_EMITIDO]]&gt;0,0*Rel_2026_Ag_726[[#This Row],[QTD_CARTAO_EMITIDO]])+IF(Rel_2026_Ag_726[[#This Row],[QTD_SUPER_PROTEGIDO]]&gt;0,0*Rel_2026_Ag_726[[#This Row],[QTD_SUPER_PROTEGIDO]])+IF(Rel_2026_Ag_726[[#This Row],[QTD_CONTAS_PJ]]&gt;0,0*Rel_2026_Ag_726[[#This Row],[QTD_CONTAS_PJ]])+IF(Rel_2026_Ag_726[[#This Row],[QTD_MICRO_VIVAVIDA]]&gt;0,1*Rel_2026_Ag_726[[#This Row],[QTD_MICRO_VIVAVIDA]])+IF(Rel_2026_Ag_726[[#This Row],[qtd_microsseguro]]&gt;0,1*Rel_2026_Ag_726[[#This Row],[qtd_microsseguro]])+IF(Rel_2026_Ag_726[[#This Row],[QTD_SEG_RESIDENCIAL]]&gt;0,1*Rel_2026_Ag_726[[#This Row],[QTD_SEG_RESIDENCIAL]])+IF(Rel_2026_Ag_726[[#This Row],[QTD_PLANO_ODONTO]]&gt;0,1*Rel_2026_Ag_726[[#This Row],[QTD_PLANO_ODONTO]])+IF(Rel_2026_Ag_726[[#This Row],[vlr_lime]]&gt;0,1*ROUND(Rel_2026_Ag_726[[#This Row],[vlr_lime]]/100,0))+ROUND(IF(Rel_2026_Ag_726[[#This Row],[VLR_CREDITO_PARCEL]]&gt;500,1*Rel_2026_Ag_726[[#This Row],[VLR_CREDITO_PARCEL]]/500),0)+ROUND(Rel_2026_Ag_726[[#This Row],[vlr_consignado_total]]/1000,0)</f>
        <v>10</v>
      </c>
    </row>
    <row r="11" spans="1:37" x14ac:dyDescent="0.3">
      <c r="A11" t="str">
        <f>IF(Rel_2026_Ag_726[[#This Row],[Pontuação]]&gt;=10,"Sim",IF(Rel_2026_Ag_726[[#This Row],[Pontuação]]&gt;=5,"Próximo","Não"))</f>
        <v>Sim</v>
      </c>
      <c r="C11" t="str">
        <f>LEFT(Rel_2026_Ag_726[[#This Row],[ag_pacb]],4)</f>
        <v>0726</v>
      </c>
      <c r="D11">
        <v>418015</v>
      </c>
      <c r="E11" t="s">
        <v>65</v>
      </c>
      <c r="F11" t="s">
        <v>66</v>
      </c>
      <c r="G11">
        <v>45927</v>
      </c>
      <c r="H11" t="s">
        <v>22</v>
      </c>
      <c r="I11" t="s">
        <v>48</v>
      </c>
      <c r="J11">
        <v>45923</v>
      </c>
      <c r="K11">
        <v>45939</v>
      </c>
      <c r="L11" t="s">
        <v>44</v>
      </c>
      <c r="M11">
        <v>46254</v>
      </c>
      <c r="N11">
        <v>182</v>
      </c>
      <c r="O11">
        <v>9</v>
      </c>
      <c r="P11">
        <v>1</v>
      </c>
      <c r="Q11">
        <v>9</v>
      </c>
      <c r="R11">
        <v>1</v>
      </c>
      <c r="S11">
        <v>0</v>
      </c>
      <c r="T11">
        <v>37869</v>
      </c>
      <c r="U11">
        <v>37869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1</v>
      </c>
      <c r="AE11">
        <v>9</v>
      </c>
      <c r="AF11">
        <v>0</v>
      </c>
      <c r="AG11" t="s">
        <v>23</v>
      </c>
      <c r="AH11" t="s">
        <v>24</v>
      </c>
      <c r="AJ11" t="s">
        <v>25</v>
      </c>
      <c r="AK11">
        <f>IF(Rel_2026_Ag_726[[#This Row],[qtd_contas_com_deposito]]&gt;0,7*Rel_2026_Ag_726[[#This Row],[qtd_contas_com_deposito]])+IF((Rel_2026_Ag_726[[#This Row],[qtd_contas]]-Rel_2026_Ag_726[[#This Row],[qtd_contas_com_deposito]])&gt;0,(Rel_2026_Ag_726[[#This Row],[qtd_contas]]-Rel_2026_Ag_726[[#This Row],[qtd_contas_com_deposito]])*3)+IF(Rel_2026_Ag_726[[#This Row],[qtd_cesta_serv]]&gt;0,3*Rel_2026_Ag_726[[#This Row],[qtd_cesta_serv]])+IF(Rel_2026_Ag_726[[#This Row],[QTD_CARTAO_EMITIDO]]&gt;0,0*Rel_2026_Ag_726[[#This Row],[QTD_CARTAO_EMITIDO]])+IF(Rel_2026_Ag_726[[#This Row],[QTD_SUPER_PROTEGIDO]]&gt;0,0*Rel_2026_Ag_726[[#This Row],[QTD_SUPER_PROTEGIDO]])+IF(Rel_2026_Ag_726[[#This Row],[QTD_CONTAS_PJ]]&gt;0,0*Rel_2026_Ag_726[[#This Row],[QTD_CONTAS_PJ]])+IF(Rel_2026_Ag_726[[#This Row],[QTD_MICRO_VIVAVIDA]]&gt;0,1*Rel_2026_Ag_726[[#This Row],[QTD_MICRO_VIVAVIDA]])+IF(Rel_2026_Ag_726[[#This Row],[qtd_microsseguro]]&gt;0,1*Rel_2026_Ag_726[[#This Row],[qtd_microsseguro]])+IF(Rel_2026_Ag_726[[#This Row],[QTD_SEG_RESIDENCIAL]]&gt;0,1*Rel_2026_Ag_726[[#This Row],[QTD_SEG_RESIDENCIAL]])+IF(Rel_2026_Ag_726[[#This Row],[QTD_PLANO_ODONTO]]&gt;0,1*Rel_2026_Ag_726[[#This Row],[QTD_PLANO_ODONTO]])+IF(Rel_2026_Ag_726[[#This Row],[vlr_lime]]&gt;0,1*ROUND(Rel_2026_Ag_726[[#This Row],[vlr_lime]]/100,0))+ROUND(IF(Rel_2026_Ag_726[[#This Row],[VLR_CREDITO_PARCEL]]&gt;500,1*Rel_2026_Ag_726[[#This Row],[VLR_CREDITO_PARCEL]]/500),0)+ROUND(Rel_2026_Ag_726[[#This Row],[vlr_consignado_total]]/1000,0)</f>
        <v>97</v>
      </c>
    </row>
    <row r="12" spans="1:37" x14ac:dyDescent="0.3">
      <c r="A12" t="str">
        <f>IF(Rel_2026_Ag_726[[#This Row],[Pontuação]]&gt;=10,"Sim",IF(Rel_2026_Ag_726[[#This Row],[Pontuação]]&gt;=5,"Próximo","Não"))</f>
        <v>Sim</v>
      </c>
      <c r="B12" t="s">
        <v>121</v>
      </c>
      <c r="C12" t="str">
        <f>LEFT(Rel_2026_Ag_726[[#This Row],[ag_pacb]],4)</f>
        <v>0726</v>
      </c>
      <c r="D12">
        <v>204623</v>
      </c>
      <c r="E12" t="s">
        <v>85</v>
      </c>
      <c r="F12" t="s">
        <v>96</v>
      </c>
      <c r="G12">
        <v>44564</v>
      </c>
      <c r="H12" t="s">
        <v>22</v>
      </c>
      <c r="I12" t="s">
        <v>59</v>
      </c>
      <c r="J12">
        <v>44270</v>
      </c>
      <c r="K12">
        <v>46107</v>
      </c>
      <c r="L12" t="s">
        <v>44</v>
      </c>
      <c r="M12">
        <v>46254</v>
      </c>
      <c r="N12">
        <v>614</v>
      </c>
      <c r="O12">
        <v>1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26</v>
      </c>
      <c r="AH12" t="s">
        <v>24</v>
      </c>
      <c r="AJ12" t="s">
        <v>25</v>
      </c>
      <c r="AK12">
        <f>IF(Rel_2026_Ag_726[[#This Row],[qtd_contas_com_deposito]]&gt;0,7*Rel_2026_Ag_726[[#This Row],[qtd_contas_com_deposito]])+IF((Rel_2026_Ag_726[[#This Row],[qtd_contas]]-Rel_2026_Ag_726[[#This Row],[qtd_contas_com_deposito]])&gt;0,(Rel_2026_Ag_726[[#This Row],[qtd_contas]]-Rel_2026_Ag_726[[#This Row],[qtd_contas_com_deposito]])*3)+IF(Rel_2026_Ag_726[[#This Row],[qtd_cesta_serv]]&gt;0,3*Rel_2026_Ag_726[[#This Row],[qtd_cesta_serv]])+IF(Rel_2026_Ag_726[[#This Row],[QTD_CARTAO_EMITIDO]]&gt;0,0*Rel_2026_Ag_726[[#This Row],[QTD_CARTAO_EMITIDO]])+IF(Rel_2026_Ag_726[[#This Row],[QTD_SUPER_PROTEGIDO]]&gt;0,0*Rel_2026_Ag_726[[#This Row],[QTD_SUPER_PROTEGIDO]])+IF(Rel_2026_Ag_726[[#This Row],[QTD_CONTAS_PJ]]&gt;0,0*Rel_2026_Ag_726[[#This Row],[QTD_CONTAS_PJ]])+IF(Rel_2026_Ag_726[[#This Row],[QTD_MICRO_VIVAVIDA]]&gt;0,1*Rel_2026_Ag_726[[#This Row],[QTD_MICRO_VIVAVIDA]])+IF(Rel_2026_Ag_726[[#This Row],[qtd_microsseguro]]&gt;0,1*Rel_2026_Ag_726[[#This Row],[qtd_microsseguro]])+IF(Rel_2026_Ag_726[[#This Row],[QTD_SEG_RESIDENCIAL]]&gt;0,1*Rel_2026_Ag_726[[#This Row],[QTD_SEG_RESIDENCIAL]])+IF(Rel_2026_Ag_726[[#This Row],[QTD_PLANO_ODONTO]]&gt;0,1*Rel_2026_Ag_726[[#This Row],[QTD_PLANO_ODONTO]])+IF(Rel_2026_Ag_726[[#This Row],[vlr_lime]]&gt;0,1*ROUND(Rel_2026_Ag_726[[#This Row],[vlr_lime]]/100,0))+ROUND(IF(Rel_2026_Ag_726[[#This Row],[VLR_CREDITO_PARCEL]]&gt;500,1*Rel_2026_Ag_726[[#This Row],[VLR_CREDITO_PARCEL]]/500),0)+ROUND(Rel_2026_Ag_726[[#This Row],[vlr_consignado_total]]/1000,0)</f>
        <v>10</v>
      </c>
    </row>
    <row r="13" spans="1:37" x14ac:dyDescent="0.3">
      <c r="G13" s="1"/>
      <c r="J13" s="1"/>
      <c r="K13" s="1"/>
      <c r="M13" s="1"/>
      <c r="O13">
        <f>SUBTOTAL(9,Rel_2026_Ag_726[qtd_contas])</f>
        <v>32</v>
      </c>
      <c r="P13">
        <f>SUBTOTAL(9,Rel_2026_Ag_726[qtd_contas_com_deposito])</f>
        <v>19</v>
      </c>
      <c r="Q13">
        <f>SUBTOTAL(9,Rel_2026_Ag_726[qtd_cesta_serv])</f>
        <v>27</v>
      </c>
      <c r="R13">
        <f>SUBTOTAL(9,Rel_2026_Ag_726[QTD_CARTAO_EMITIDO])</f>
        <v>5</v>
      </c>
      <c r="Y13">
        <f>SUBTOTAL(9,Rel_2026_Ag_726[QTD_CONTAS_PJ])</f>
        <v>0</v>
      </c>
      <c r="Z13">
        <f>SUBTOTAL(9,Rel_2026_Ag_726[qtd_microsseguro])</f>
        <v>0</v>
      </c>
      <c r="AA13">
        <f>SUBTOTAL(9,Rel_2026_Ag_726[QTD_SUPER_PROTEGIDO])</f>
        <v>5</v>
      </c>
      <c r="AB13">
        <f>SUBTOTAL(9,Rel_2026_Ag_726[QTD_MICRO_VIVAVIDA])</f>
        <v>0</v>
      </c>
      <c r="AC13">
        <f>SUBTOTAL(9,Rel_2026_Ag_726[QTD_PLANO_ODONTO])</f>
        <v>0</v>
      </c>
      <c r="AD13">
        <f>SUBTOTAL(9,Rel_2026_Ag_726[QTD_SEG_RESIDENCIAL])</f>
        <v>1</v>
      </c>
      <c r="AE13">
        <f>SUBTOTAL(9,Rel_2026_Ag_726[QTD_SEG_CARTAO_DEB])</f>
        <v>25</v>
      </c>
    </row>
  </sheetData>
  <phoneticPr fontId="2" type="noConversion"/>
  <conditionalFormatting sqref="A1:AJ1">
    <cfRule type="expression" dxfId="16" priority="3">
      <formula>$A1="Não"</formula>
    </cfRule>
    <cfRule type="expression" dxfId="15" priority="4">
      <formula>$A1="Próximo"</formula>
    </cfRule>
  </conditionalFormatting>
  <conditionalFormatting sqref="A2:AJ12">
    <cfRule type="expression" dxfId="14" priority="1">
      <formula>$A2="Não"</formula>
    </cfRule>
    <cfRule type="expression" dxfId="13" priority="2">
      <formula>$A2="Próximo"</formula>
    </cfRule>
  </conditionalFormatting>
  <conditionalFormatting sqref="D15:E16">
    <cfRule type="expression" dxfId="12" priority="8">
      <formula>"SE(B2&gt;10)"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184A0-F926-499E-B251-B7DE82E54E89}">
  <dimension ref="A1:AK3"/>
  <sheetViews>
    <sheetView workbookViewId="0"/>
  </sheetViews>
  <sheetFormatPr defaultRowHeight="14.4" x14ac:dyDescent="0.3"/>
  <cols>
    <col min="1" max="1" width="9.6640625" bestFit="1" customWidth="1"/>
    <col min="2" max="2" width="13.6640625" bestFit="1" customWidth="1"/>
    <col min="3" max="3" width="9.77734375" bestFit="1" customWidth="1"/>
    <col min="4" max="4" width="12" bestFit="1" customWidth="1"/>
    <col min="5" max="5" width="11.77734375" bestFit="1" customWidth="1"/>
    <col min="6" max="6" width="10.109375" bestFit="1" customWidth="1"/>
    <col min="7" max="7" width="14.6640625" bestFit="1" customWidth="1"/>
    <col min="8" max="8" width="4.77734375" bestFit="1" customWidth="1"/>
    <col min="9" max="9" width="11.6640625" bestFit="1" customWidth="1"/>
    <col min="10" max="10" width="10.44140625" bestFit="1" customWidth="1"/>
    <col min="11" max="11" width="15.88671875" bestFit="1" customWidth="1"/>
    <col min="12" max="12" width="13.21875" bestFit="1" customWidth="1"/>
    <col min="13" max="13" width="19.109375" bestFit="1" customWidth="1"/>
    <col min="14" max="14" width="16.5546875" bestFit="1" customWidth="1"/>
    <col min="15" max="15" width="12.44140625" bestFit="1" customWidth="1"/>
    <col min="16" max="16" width="25.33203125" bestFit="1" customWidth="1"/>
    <col min="17" max="17" width="15.77734375" bestFit="1" customWidth="1"/>
    <col min="18" max="18" width="22.21875" bestFit="1" customWidth="1"/>
    <col min="19" max="19" width="9.88671875" bestFit="1" customWidth="1"/>
    <col min="20" max="20" width="20.44140625" bestFit="1" customWidth="1"/>
    <col min="21" max="21" width="19.88671875" bestFit="1" customWidth="1"/>
    <col min="22" max="23" width="19.77734375" bestFit="1" customWidth="1"/>
    <col min="24" max="24" width="21.88671875" bestFit="1" customWidth="1"/>
    <col min="25" max="25" width="17.109375" bestFit="1" customWidth="1"/>
    <col min="26" max="26" width="18.21875" bestFit="1" customWidth="1"/>
    <col min="27" max="27" width="24" bestFit="1" customWidth="1"/>
    <col min="28" max="28" width="22" bestFit="1" customWidth="1"/>
    <col min="29" max="29" width="21.6640625" bestFit="1" customWidth="1"/>
    <col min="30" max="30" width="23" bestFit="1" customWidth="1"/>
    <col min="31" max="31" width="22.77734375" bestFit="1" customWidth="1"/>
    <col min="32" max="32" width="16.6640625" bestFit="1" customWidth="1"/>
    <col min="33" max="33" width="13.6640625" bestFit="1" customWidth="1"/>
    <col min="34" max="34" width="13.77734375" bestFit="1" customWidth="1"/>
    <col min="35" max="35" width="16.77734375" bestFit="1" customWidth="1"/>
    <col min="36" max="36" width="8.5546875" bestFit="1" customWidth="1"/>
    <col min="37" max="37" width="12" bestFit="1" customWidth="1"/>
    <col min="38" max="38" width="5" bestFit="1" customWidth="1"/>
    <col min="39" max="47" width="6" bestFit="1" customWidth="1"/>
    <col min="48" max="48" width="12" bestFit="1" customWidth="1"/>
    <col min="49" max="49" width="21.6640625" bestFit="1" customWidth="1"/>
    <col min="50" max="50" width="23" bestFit="1" customWidth="1"/>
    <col min="51" max="51" width="22.6640625" bestFit="1" customWidth="1"/>
    <col min="52" max="52" width="17" bestFit="1" customWidth="1"/>
    <col min="53" max="53" width="16.6640625" bestFit="1" customWidth="1"/>
    <col min="54" max="54" width="21.88671875" bestFit="1" customWidth="1"/>
    <col min="55" max="56" width="13.6640625" bestFit="1" customWidth="1"/>
    <col min="57" max="57" width="16.6640625" bestFit="1" customWidth="1"/>
    <col min="58" max="58" width="8.5546875" bestFit="1" customWidth="1"/>
    <col min="59" max="59" width="5" bestFit="1" customWidth="1"/>
    <col min="60" max="60" width="6" customWidth="1"/>
    <col min="61" max="62" width="12" bestFit="1" customWidth="1"/>
    <col min="63" max="63" width="12.5546875" bestFit="1" customWidth="1"/>
    <col min="64" max="64" width="14.6640625" bestFit="1" customWidth="1"/>
    <col min="65" max="65" width="16.5546875" bestFit="1" customWidth="1"/>
    <col min="66" max="66" width="9.44140625" bestFit="1" customWidth="1"/>
    <col min="67" max="67" width="12" bestFit="1" customWidth="1"/>
    <col min="68" max="69" width="13.6640625" bestFit="1" customWidth="1"/>
    <col min="70" max="70" width="16.6640625" bestFit="1" customWidth="1"/>
    <col min="71" max="71" width="17.5546875" customWidth="1"/>
    <col min="72" max="72" width="12" bestFit="1" customWidth="1"/>
  </cols>
  <sheetData>
    <row r="1" spans="1:37" x14ac:dyDescent="0.3">
      <c r="A1" t="s">
        <v>29</v>
      </c>
      <c r="B1" t="s">
        <v>33</v>
      </c>
      <c r="C1" t="s">
        <v>38</v>
      </c>
      <c r="D1" t="s">
        <v>106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107</v>
      </c>
      <c r="U1" t="s">
        <v>108</v>
      </c>
      <c r="V1" t="s">
        <v>109</v>
      </c>
      <c r="W1" t="s">
        <v>110</v>
      </c>
      <c r="X1" t="s">
        <v>102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39</v>
      </c>
      <c r="AG1" t="s">
        <v>41</v>
      </c>
      <c r="AH1" t="s">
        <v>42</v>
      </c>
      <c r="AI1" t="s">
        <v>43</v>
      </c>
      <c r="AJ1" t="s">
        <v>40</v>
      </c>
      <c r="AK1" t="s">
        <v>28</v>
      </c>
    </row>
    <row r="3" spans="1:37" x14ac:dyDescent="0.3">
      <c r="G3" s="1"/>
      <c r="J3" s="1"/>
      <c r="K3" s="1"/>
      <c r="M3" s="1"/>
      <c r="O3">
        <f>SUBTOTAL(9,Rel_2026_Ag_727[qtd_contas])</f>
        <v>0</v>
      </c>
      <c r="P3">
        <f>SUBTOTAL(9,Rel_2026_Ag_727[qtd_contas_com_deposito])</f>
        <v>0</v>
      </c>
      <c r="Q3">
        <f>SUBTOTAL(9,Rel_2026_Ag_727[qtd_cesta_serv])</f>
        <v>0</v>
      </c>
      <c r="R3">
        <f>SUBTOTAL(9,Rel_2026_Ag_727[QTD_CARTAO_EMITIDO])</f>
        <v>0</v>
      </c>
      <c r="Y3">
        <f>SUBTOTAL(9,Rel_2026_Ag_727[QTD_CONTAS_PJ])</f>
        <v>0</v>
      </c>
      <c r="Z3">
        <f>SUBTOTAL(9,Rel_2026_Ag_727[qtd_microsseguro])</f>
        <v>0</v>
      </c>
      <c r="AA3">
        <f>SUBTOTAL(9,Rel_2026_Ag_727[QTD_SUPER_PROTEGIDO])</f>
        <v>0</v>
      </c>
      <c r="AB3">
        <f>SUBTOTAL(9,Rel_2026_Ag_727[QTD_MICRO_VIVAVIDA])</f>
        <v>0</v>
      </c>
      <c r="AC3">
        <f>SUBTOTAL(9,Rel_2026_Ag_727[QTD_PLANO_ODONTO])</f>
        <v>0</v>
      </c>
      <c r="AD3">
        <f>SUBTOTAL(9,Rel_2026_Ag_727[QTD_SEG_RESIDENCIAL])</f>
        <v>0</v>
      </c>
      <c r="AE3">
        <f>SUBTOTAL(9,Rel_2026_Ag_727[QTD_SEG_CARTAO_DEB])</f>
        <v>0</v>
      </c>
    </row>
  </sheetData>
  <phoneticPr fontId="2" type="noConversion"/>
  <conditionalFormatting sqref="A2:AJ2">
    <cfRule type="expression" dxfId="11" priority="1">
      <formula>$A2="Não"</formula>
    </cfRule>
    <cfRule type="expression" dxfId="10" priority="2">
      <formula>$A2="Próximo"</formula>
    </cfRule>
  </conditionalFormatting>
  <conditionalFormatting sqref="D5:E6">
    <cfRule type="expression" dxfId="9" priority="3">
      <formula>"SE(B2&gt;10)"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428B9-4B37-4F72-9D2A-7AAA3D21A228}">
  <dimension ref="A1:AK12"/>
  <sheetViews>
    <sheetView workbookViewId="0"/>
  </sheetViews>
  <sheetFormatPr defaultRowHeight="14.4" x14ac:dyDescent="0.3"/>
  <cols>
    <col min="1" max="1" width="9.6640625" bestFit="1" customWidth="1"/>
    <col min="2" max="2" width="13.6640625" bestFit="1" customWidth="1"/>
    <col min="3" max="3" width="9.77734375" bestFit="1" customWidth="1"/>
    <col min="4" max="4" width="12" bestFit="1" customWidth="1"/>
    <col min="5" max="5" width="37.109375" bestFit="1" customWidth="1"/>
    <col min="6" max="6" width="10.109375" bestFit="1" customWidth="1"/>
    <col min="7" max="7" width="14.6640625" bestFit="1" customWidth="1"/>
    <col min="8" max="8" width="4.77734375" bestFit="1" customWidth="1"/>
    <col min="9" max="9" width="11.6640625" bestFit="1" customWidth="1"/>
    <col min="10" max="10" width="10.44140625" bestFit="1" customWidth="1"/>
    <col min="11" max="11" width="15.88671875" bestFit="1" customWidth="1"/>
    <col min="12" max="12" width="13.21875" bestFit="1" customWidth="1"/>
    <col min="13" max="13" width="19.109375" bestFit="1" customWidth="1"/>
    <col min="14" max="14" width="16.5546875" bestFit="1" customWidth="1"/>
    <col min="15" max="15" width="12.44140625" bestFit="1" customWidth="1"/>
    <col min="16" max="16" width="25.33203125" bestFit="1" customWidth="1"/>
    <col min="17" max="17" width="15.77734375" bestFit="1" customWidth="1"/>
    <col min="18" max="18" width="22.21875" bestFit="1" customWidth="1"/>
    <col min="19" max="19" width="9.88671875" bestFit="1" customWidth="1"/>
    <col min="20" max="20" width="20.44140625" bestFit="1" customWidth="1"/>
    <col min="21" max="21" width="19.88671875" bestFit="1" customWidth="1"/>
    <col min="22" max="23" width="19.77734375" bestFit="1" customWidth="1"/>
    <col min="24" max="24" width="21.88671875" bestFit="1" customWidth="1"/>
    <col min="25" max="25" width="17.109375" bestFit="1" customWidth="1"/>
    <col min="26" max="26" width="18.21875" bestFit="1" customWidth="1"/>
    <col min="27" max="27" width="24" bestFit="1" customWidth="1"/>
    <col min="28" max="28" width="22" bestFit="1" customWidth="1"/>
    <col min="29" max="29" width="21.6640625" bestFit="1" customWidth="1"/>
    <col min="30" max="30" width="23" bestFit="1" customWidth="1"/>
    <col min="31" max="31" width="22.77734375" bestFit="1" customWidth="1"/>
    <col min="32" max="32" width="16.6640625" bestFit="1" customWidth="1"/>
    <col min="33" max="33" width="13.6640625" bestFit="1" customWidth="1"/>
    <col min="34" max="34" width="13.77734375" bestFit="1" customWidth="1"/>
    <col min="35" max="35" width="16.77734375" bestFit="1" customWidth="1"/>
    <col min="36" max="36" width="9.44140625" bestFit="1" customWidth="1"/>
    <col min="37" max="37" width="12" bestFit="1" customWidth="1"/>
    <col min="38" max="38" width="5" bestFit="1" customWidth="1"/>
    <col min="39" max="47" width="6" bestFit="1" customWidth="1"/>
    <col min="48" max="48" width="12" bestFit="1" customWidth="1"/>
    <col min="49" max="49" width="21.6640625" bestFit="1" customWidth="1"/>
    <col min="50" max="50" width="23" bestFit="1" customWidth="1"/>
    <col min="51" max="51" width="22.6640625" bestFit="1" customWidth="1"/>
    <col min="52" max="52" width="17" bestFit="1" customWidth="1"/>
    <col min="53" max="53" width="16.6640625" bestFit="1" customWidth="1"/>
    <col min="54" max="54" width="21.88671875" bestFit="1" customWidth="1"/>
    <col min="55" max="56" width="13.6640625" bestFit="1" customWidth="1"/>
    <col min="57" max="57" width="16.6640625" bestFit="1" customWidth="1"/>
    <col min="58" max="58" width="9.44140625" bestFit="1" customWidth="1"/>
    <col min="59" max="59" width="5" bestFit="1" customWidth="1"/>
    <col min="60" max="60" width="6" customWidth="1"/>
    <col min="61" max="62" width="12" bestFit="1" customWidth="1"/>
    <col min="63" max="63" width="12.5546875" bestFit="1" customWidth="1"/>
    <col min="64" max="64" width="14.6640625" bestFit="1" customWidth="1"/>
    <col min="65" max="65" width="16.5546875" bestFit="1" customWidth="1"/>
    <col min="66" max="66" width="9.44140625" bestFit="1" customWidth="1"/>
    <col min="67" max="67" width="12" bestFit="1" customWidth="1"/>
    <col min="68" max="69" width="13.6640625" bestFit="1" customWidth="1"/>
    <col min="70" max="70" width="16.6640625" bestFit="1" customWidth="1"/>
    <col min="71" max="71" width="17.5546875" customWidth="1"/>
    <col min="72" max="72" width="12" bestFit="1" customWidth="1"/>
  </cols>
  <sheetData>
    <row r="1" spans="1:37" x14ac:dyDescent="0.3">
      <c r="A1" t="s">
        <v>29</v>
      </c>
      <c r="B1" t="s">
        <v>33</v>
      </c>
      <c r="C1" t="s">
        <v>38</v>
      </c>
      <c r="D1" t="s">
        <v>106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107</v>
      </c>
      <c r="U1" t="s">
        <v>108</v>
      </c>
      <c r="V1" t="s">
        <v>109</v>
      </c>
      <c r="W1" t="s">
        <v>110</v>
      </c>
      <c r="X1" t="s">
        <v>102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39</v>
      </c>
      <c r="AG1" t="s">
        <v>41</v>
      </c>
      <c r="AH1" t="s">
        <v>42</v>
      </c>
      <c r="AI1" t="s">
        <v>43</v>
      </c>
      <c r="AJ1" t="s">
        <v>40</v>
      </c>
      <c r="AK1" t="s">
        <v>28</v>
      </c>
    </row>
    <row r="2" spans="1:37" x14ac:dyDescent="0.3">
      <c r="A2" t="str">
        <f>IF(Rel_2026_Ag_752[[#This Row],[Pontuação]]&gt;=10,"Sim",IF(Rel_2026_Ag_752[[#This Row],[Pontuação]]&gt;=5,"Próximo","Não"))</f>
        <v>Sim</v>
      </c>
      <c r="B2" t="s">
        <v>121</v>
      </c>
      <c r="C2" t="str">
        <f>LEFT(Rel_2026_Ag_752[[#This Row],[ag_pacb]],4)</f>
        <v>0752</v>
      </c>
      <c r="D2">
        <v>45775</v>
      </c>
      <c r="E2" t="s">
        <v>77</v>
      </c>
      <c r="F2" t="s">
        <v>78</v>
      </c>
      <c r="G2">
        <v>44657</v>
      </c>
      <c r="H2" t="s">
        <v>22</v>
      </c>
      <c r="I2" t="s">
        <v>50</v>
      </c>
      <c r="J2">
        <v>44438</v>
      </c>
      <c r="K2">
        <v>46252</v>
      </c>
      <c r="L2" t="s">
        <v>44</v>
      </c>
      <c r="M2">
        <v>46254</v>
      </c>
      <c r="N2">
        <v>485</v>
      </c>
      <c r="O2">
        <v>4</v>
      </c>
      <c r="P2">
        <v>0</v>
      </c>
      <c r="Q2">
        <v>3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t="s">
        <v>23</v>
      </c>
      <c r="AH2" t="s">
        <v>24</v>
      </c>
      <c r="AJ2" t="s">
        <v>25</v>
      </c>
      <c r="AK2">
        <f>IF(Rel_2026_Ag_752[[#This Row],[qtd_contas_com_deposito]]&gt;0,7*Rel_2026_Ag_752[[#This Row],[qtd_contas_com_deposito]])+IF((Rel_2026_Ag_752[[#This Row],[qtd_contas]]-Rel_2026_Ag_752[[#This Row],[qtd_contas_com_deposito]])&gt;0,(Rel_2026_Ag_752[[#This Row],[qtd_contas]]-Rel_2026_Ag_752[[#This Row],[qtd_contas_com_deposito]])*3)+IF(Rel_2026_Ag_752[[#This Row],[qtd_cesta_serv]]&gt;0,3*Rel_2026_Ag_752[[#This Row],[qtd_cesta_serv]])+IF(Rel_2026_Ag_752[[#This Row],[QTD_CARTAO_EMITIDO]]&gt;0,0*Rel_2026_Ag_752[[#This Row],[QTD_CARTAO_EMITIDO]])+IF(Rel_2026_Ag_752[[#This Row],[QTD_SUPER_PROTEGIDO]]&gt;0,0*Rel_2026_Ag_752[[#This Row],[QTD_SUPER_PROTEGIDO]])+IF(Rel_2026_Ag_752[[#This Row],[QTD_CONTAS_PJ]]&gt;0,0*Rel_2026_Ag_752[[#This Row],[QTD_CONTAS_PJ]])+IF(Rel_2026_Ag_752[[#This Row],[QTD_MICRO_VIVAVIDA]]&gt;0,1*Rel_2026_Ag_752[[#This Row],[QTD_MICRO_VIVAVIDA]])+IF(Rel_2026_Ag_752[[#This Row],[qtd_microsseguro]]&gt;0,1*Rel_2026_Ag_752[[#This Row],[qtd_microsseguro]])+IF(Rel_2026_Ag_752[[#This Row],[QTD_SEG_RESIDENCIAL]]&gt;0,1*Rel_2026_Ag_752[[#This Row],[QTD_SEG_RESIDENCIAL]])+IF(Rel_2026_Ag_752[[#This Row],[QTD_PLANO_ODONTO]]&gt;0,1*Rel_2026_Ag_752[[#This Row],[QTD_PLANO_ODONTO]])+IF(Rel_2026_Ag_752[[#This Row],[vlr_lime]]&gt;0,1*ROUND(Rel_2026_Ag_752[[#This Row],[vlr_lime]]/100,0))+ROUND(IF(Rel_2026_Ag_752[[#This Row],[VLR_CREDITO_PARCEL]]&gt;500,1*Rel_2026_Ag_752[[#This Row],[VLR_CREDITO_PARCEL]]/500),0)+ROUND(Rel_2026_Ag_752[[#This Row],[vlr_consignado_total]]/1000,0)</f>
        <v>21</v>
      </c>
    </row>
    <row r="3" spans="1:37" x14ac:dyDescent="0.3">
      <c r="A3" t="str">
        <f>IF(Rel_2026_Ag_752[[#This Row],[Pontuação]]&gt;=10,"Sim",IF(Rel_2026_Ag_752[[#This Row],[Pontuação]]&gt;=5,"Próximo","Não"))</f>
        <v>Sim</v>
      </c>
      <c r="B3" t="s">
        <v>121</v>
      </c>
      <c r="C3" t="str">
        <f>LEFT(Rel_2026_Ag_752[[#This Row],[ag_pacb]],4)</f>
        <v>0752</v>
      </c>
      <c r="D3">
        <v>241265</v>
      </c>
      <c r="E3" t="s">
        <v>27</v>
      </c>
      <c r="F3" t="s">
        <v>49</v>
      </c>
      <c r="G3">
        <v>45237</v>
      </c>
      <c r="H3" t="s">
        <v>22</v>
      </c>
      <c r="I3" t="s">
        <v>50</v>
      </c>
      <c r="J3">
        <v>44973</v>
      </c>
      <c r="K3">
        <v>44972</v>
      </c>
      <c r="L3" t="s">
        <v>44</v>
      </c>
      <c r="M3">
        <v>46254</v>
      </c>
      <c r="N3">
        <v>349</v>
      </c>
      <c r="O3">
        <v>3</v>
      </c>
      <c r="P3">
        <v>0</v>
      </c>
      <c r="Q3">
        <v>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t="s">
        <v>23</v>
      </c>
      <c r="AH3" t="s">
        <v>24</v>
      </c>
      <c r="AJ3" t="s">
        <v>25</v>
      </c>
      <c r="AK3">
        <f>IF(Rel_2026_Ag_752[[#This Row],[qtd_contas_com_deposito]]&gt;0,7*Rel_2026_Ag_752[[#This Row],[qtd_contas_com_deposito]])+IF((Rel_2026_Ag_752[[#This Row],[qtd_contas]]-Rel_2026_Ag_752[[#This Row],[qtd_contas_com_deposito]])&gt;0,(Rel_2026_Ag_752[[#This Row],[qtd_contas]]-Rel_2026_Ag_752[[#This Row],[qtd_contas_com_deposito]])*3)+IF(Rel_2026_Ag_752[[#This Row],[qtd_cesta_serv]]&gt;0,3*Rel_2026_Ag_752[[#This Row],[qtd_cesta_serv]])+IF(Rel_2026_Ag_752[[#This Row],[QTD_CARTAO_EMITIDO]]&gt;0,0*Rel_2026_Ag_752[[#This Row],[QTD_CARTAO_EMITIDO]])+IF(Rel_2026_Ag_752[[#This Row],[QTD_SUPER_PROTEGIDO]]&gt;0,0*Rel_2026_Ag_752[[#This Row],[QTD_SUPER_PROTEGIDO]])+IF(Rel_2026_Ag_752[[#This Row],[QTD_CONTAS_PJ]]&gt;0,0*Rel_2026_Ag_752[[#This Row],[QTD_CONTAS_PJ]])+IF(Rel_2026_Ag_752[[#This Row],[QTD_MICRO_VIVAVIDA]]&gt;0,1*Rel_2026_Ag_752[[#This Row],[QTD_MICRO_VIVAVIDA]])+IF(Rel_2026_Ag_752[[#This Row],[qtd_microsseguro]]&gt;0,1*Rel_2026_Ag_752[[#This Row],[qtd_microsseguro]])+IF(Rel_2026_Ag_752[[#This Row],[QTD_SEG_RESIDENCIAL]]&gt;0,1*Rel_2026_Ag_752[[#This Row],[QTD_SEG_RESIDENCIAL]])+IF(Rel_2026_Ag_752[[#This Row],[QTD_PLANO_ODONTO]]&gt;0,1*Rel_2026_Ag_752[[#This Row],[QTD_PLANO_ODONTO]])+IF(Rel_2026_Ag_752[[#This Row],[vlr_lime]]&gt;0,1*ROUND(Rel_2026_Ag_752[[#This Row],[vlr_lime]]/100,0))+ROUND(IF(Rel_2026_Ag_752[[#This Row],[VLR_CREDITO_PARCEL]]&gt;500,1*Rel_2026_Ag_752[[#This Row],[VLR_CREDITO_PARCEL]]/500),0)+ROUND(Rel_2026_Ag_752[[#This Row],[vlr_consignado_total]]/1000,0)</f>
        <v>18</v>
      </c>
    </row>
    <row r="4" spans="1:37" x14ac:dyDescent="0.3">
      <c r="A4" t="str">
        <f>IF(Rel_2026_Ag_752[[#This Row],[Pontuação]]&gt;=10,"Sim",IF(Rel_2026_Ag_752[[#This Row],[Pontuação]]&gt;=5,"Próximo","Não"))</f>
        <v>Sim</v>
      </c>
      <c r="B4" t="s">
        <v>121</v>
      </c>
      <c r="C4" t="str">
        <f>LEFT(Rel_2026_Ag_752[[#This Row],[ag_pacb]],4)</f>
        <v>0752</v>
      </c>
      <c r="D4">
        <v>417735</v>
      </c>
      <c r="E4" t="s">
        <v>88</v>
      </c>
      <c r="F4" t="s">
        <v>89</v>
      </c>
      <c r="G4">
        <v>45924</v>
      </c>
      <c r="H4" t="s">
        <v>22</v>
      </c>
      <c r="I4" t="s">
        <v>50</v>
      </c>
      <c r="J4">
        <v>45917</v>
      </c>
      <c r="K4">
        <v>45519</v>
      </c>
      <c r="L4" t="s">
        <v>44</v>
      </c>
      <c r="M4">
        <v>46254</v>
      </c>
      <c r="N4">
        <v>2279</v>
      </c>
      <c r="O4">
        <v>8</v>
      </c>
      <c r="P4">
        <v>8</v>
      </c>
      <c r="Q4">
        <v>7</v>
      </c>
      <c r="R4">
        <v>0</v>
      </c>
      <c r="S4">
        <v>0</v>
      </c>
      <c r="T4">
        <v>32928</v>
      </c>
      <c r="U4">
        <v>32928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3</v>
      </c>
      <c r="AE4">
        <v>8</v>
      </c>
      <c r="AF4">
        <v>0</v>
      </c>
      <c r="AG4" t="s">
        <v>26</v>
      </c>
      <c r="AH4" t="s">
        <v>24</v>
      </c>
      <c r="AJ4" t="s">
        <v>25</v>
      </c>
      <c r="AK4">
        <f>IF(Rel_2026_Ag_752[[#This Row],[qtd_contas_com_deposito]]&gt;0,7*Rel_2026_Ag_752[[#This Row],[qtd_contas_com_deposito]])+IF((Rel_2026_Ag_752[[#This Row],[qtd_contas]]-Rel_2026_Ag_752[[#This Row],[qtd_contas_com_deposito]])&gt;0,(Rel_2026_Ag_752[[#This Row],[qtd_contas]]-Rel_2026_Ag_752[[#This Row],[qtd_contas_com_deposito]])*3)+IF(Rel_2026_Ag_752[[#This Row],[qtd_cesta_serv]]&gt;0,3*Rel_2026_Ag_752[[#This Row],[qtd_cesta_serv]])+IF(Rel_2026_Ag_752[[#This Row],[QTD_CARTAO_EMITIDO]]&gt;0,0*Rel_2026_Ag_752[[#This Row],[QTD_CARTAO_EMITIDO]])+IF(Rel_2026_Ag_752[[#This Row],[QTD_SUPER_PROTEGIDO]]&gt;0,0*Rel_2026_Ag_752[[#This Row],[QTD_SUPER_PROTEGIDO]])+IF(Rel_2026_Ag_752[[#This Row],[QTD_CONTAS_PJ]]&gt;0,0*Rel_2026_Ag_752[[#This Row],[QTD_CONTAS_PJ]])+IF(Rel_2026_Ag_752[[#This Row],[QTD_MICRO_VIVAVIDA]]&gt;0,1*Rel_2026_Ag_752[[#This Row],[QTD_MICRO_VIVAVIDA]])+IF(Rel_2026_Ag_752[[#This Row],[qtd_microsseguro]]&gt;0,1*Rel_2026_Ag_752[[#This Row],[qtd_microsseguro]])+IF(Rel_2026_Ag_752[[#This Row],[QTD_SEG_RESIDENCIAL]]&gt;0,1*Rel_2026_Ag_752[[#This Row],[QTD_SEG_RESIDENCIAL]])+IF(Rel_2026_Ag_752[[#This Row],[QTD_PLANO_ODONTO]]&gt;0,1*Rel_2026_Ag_752[[#This Row],[QTD_PLANO_ODONTO]])+IF(Rel_2026_Ag_752[[#This Row],[vlr_lime]]&gt;0,1*ROUND(Rel_2026_Ag_752[[#This Row],[vlr_lime]]/100,0))+ROUND(IF(Rel_2026_Ag_752[[#This Row],[VLR_CREDITO_PARCEL]]&gt;500,1*Rel_2026_Ag_752[[#This Row],[VLR_CREDITO_PARCEL]]/500),0)+ROUND(Rel_2026_Ag_752[[#This Row],[vlr_consignado_total]]/1000,0)</f>
        <v>113</v>
      </c>
    </row>
    <row r="5" spans="1:37" x14ac:dyDescent="0.3">
      <c r="A5" t="str">
        <f>IF(Rel_2026_Ag_752[[#This Row],[Pontuação]]&gt;=10,"Sim",IF(Rel_2026_Ag_752[[#This Row],[Pontuação]]&gt;=5,"Próximo","Não"))</f>
        <v>Sim</v>
      </c>
      <c r="B5" t="s">
        <v>121</v>
      </c>
      <c r="C5" t="str">
        <f>LEFT(Rel_2026_Ag_752[[#This Row],[ag_pacb]],4)</f>
        <v>0752</v>
      </c>
      <c r="D5">
        <v>100754</v>
      </c>
      <c r="E5" t="s">
        <v>60</v>
      </c>
      <c r="F5" t="s">
        <v>61</v>
      </c>
      <c r="G5">
        <v>44462</v>
      </c>
      <c r="H5" t="s">
        <v>22</v>
      </c>
      <c r="I5" t="s">
        <v>50</v>
      </c>
      <c r="J5">
        <v>42220</v>
      </c>
      <c r="K5">
        <v>45525</v>
      </c>
      <c r="L5" t="s">
        <v>44</v>
      </c>
      <c r="M5">
        <v>46254</v>
      </c>
      <c r="N5">
        <v>2854</v>
      </c>
      <c r="O5">
        <v>3</v>
      </c>
      <c r="P5">
        <v>3</v>
      </c>
      <c r="Q5">
        <v>3</v>
      </c>
      <c r="R5">
        <v>0</v>
      </c>
      <c r="S5">
        <v>0</v>
      </c>
      <c r="T5">
        <v>1000</v>
      </c>
      <c r="U5">
        <v>1000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3</v>
      </c>
      <c r="AF5">
        <v>0</v>
      </c>
      <c r="AG5" t="s">
        <v>23</v>
      </c>
      <c r="AH5" t="s">
        <v>24</v>
      </c>
      <c r="AJ5" t="s">
        <v>25</v>
      </c>
      <c r="AK5">
        <f>IF(Rel_2026_Ag_752[[#This Row],[qtd_contas_com_deposito]]&gt;0,7*Rel_2026_Ag_752[[#This Row],[qtd_contas_com_deposito]])+IF((Rel_2026_Ag_752[[#This Row],[qtd_contas]]-Rel_2026_Ag_752[[#This Row],[qtd_contas_com_deposito]])&gt;0,(Rel_2026_Ag_752[[#This Row],[qtd_contas]]-Rel_2026_Ag_752[[#This Row],[qtd_contas_com_deposito]])*3)+IF(Rel_2026_Ag_752[[#This Row],[qtd_cesta_serv]]&gt;0,3*Rel_2026_Ag_752[[#This Row],[qtd_cesta_serv]])+IF(Rel_2026_Ag_752[[#This Row],[QTD_CARTAO_EMITIDO]]&gt;0,0*Rel_2026_Ag_752[[#This Row],[QTD_CARTAO_EMITIDO]])+IF(Rel_2026_Ag_752[[#This Row],[QTD_SUPER_PROTEGIDO]]&gt;0,0*Rel_2026_Ag_752[[#This Row],[QTD_SUPER_PROTEGIDO]])+IF(Rel_2026_Ag_752[[#This Row],[QTD_CONTAS_PJ]]&gt;0,0*Rel_2026_Ag_752[[#This Row],[QTD_CONTAS_PJ]])+IF(Rel_2026_Ag_752[[#This Row],[QTD_MICRO_VIVAVIDA]]&gt;0,1*Rel_2026_Ag_752[[#This Row],[QTD_MICRO_VIVAVIDA]])+IF(Rel_2026_Ag_752[[#This Row],[qtd_microsseguro]]&gt;0,1*Rel_2026_Ag_752[[#This Row],[qtd_microsseguro]])+IF(Rel_2026_Ag_752[[#This Row],[QTD_SEG_RESIDENCIAL]]&gt;0,1*Rel_2026_Ag_752[[#This Row],[QTD_SEG_RESIDENCIAL]])+IF(Rel_2026_Ag_752[[#This Row],[QTD_PLANO_ODONTO]]&gt;0,1*Rel_2026_Ag_752[[#This Row],[QTD_PLANO_ODONTO]])+IF(Rel_2026_Ag_752[[#This Row],[vlr_lime]]&gt;0,1*ROUND(Rel_2026_Ag_752[[#This Row],[vlr_lime]]/100,0))+ROUND(IF(Rel_2026_Ag_752[[#This Row],[VLR_CREDITO_PARCEL]]&gt;500,1*Rel_2026_Ag_752[[#This Row],[VLR_CREDITO_PARCEL]]/500),0)+ROUND(Rel_2026_Ag_752[[#This Row],[vlr_consignado_total]]/1000,0)</f>
        <v>31</v>
      </c>
    </row>
    <row r="6" spans="1:37" x14ac:dyDescent="0.3">
      <c r="A6" t="str">
        <f>IF(Rel_2026_Ag_752[[#This Row],[Pontuação]]&gt;=10,"Sim",IF(Rel_2026_Ag_752[[#This Row],[Pontuação]]&gt;=5,"Próximo","Não"))</f>
        <v>Não</v>
      </c>
      <c r="B6" t="s">
        <v>121</v>
      </c>
      <c r="C6" t="str">
        <f>LEFT(Rel_2026_Ag_752[[#This Row],[ag_pacb]],4)</f>
        <v>0752</v>
      </c>
      <c r="D6">
        <v>416512</v>
      </c>
      <c r="E6" t="s">
        <v>68</v>
      </c>
      <c r="F6" t="s">
        <v>69</v>
      </c>
      <c r="G6">
        <v>45906</v>
      </c>
      <c r="H6" t="s">
        <v>22</v>
      </c>
      <c r="I6" t="s">
        <v>50</v>
      </c>
      <c r="J6">
        <v>45897</v>
      </c>
      <c r="K6">
        <v>45946</v>
      </c>
      <c r="L6" t="s">
        <v>44</v>
      </c>
      <c r="M6">
        <v>46254</v>
      </c>
      <c r="N6">
        <v>297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26</v>
      </c>
      <c r="AH6" t="s">
        <v>24</v>
      </c>
      <c r="AJ6" t="s">
        <v>25</v>
      </c>
      <c r="AK6">
        <f>IF(Rel_2026_Ag_752[[#This Row],[qtd_contas_com_deposito]]&gt;0,7*Rel_2026_Ag_752[[#This Row],[qtd_contas_com_deposito]])+IF((Rel_2026_Ag_752[[#This Row],[qtd_contas]]-Rel_2026_Ag_752[[#This Row],[qtd_contas_com_deposito]])&gt;0,(Rel_2026_Ag_752[[#This Row],[qtd_contas]]-Rel_2026_Ag_752[[#This Row],[qtd_contas_com_deposito]])*3)+IF(Rel_2026_Ag_752[[#This Row],[qtd_cesta_serv]]&gt;0,3*Rel_2026_Ag_752[[#This Row],[qtd_cesta_serv]])+IF(Rel_2026_Ag_752[[#This Row],[QTD_CARTAO_EMITIDO]]&gt;0,0*Rel_2026_Ag_752[[#This Row],[QTD_CARTAO_EMITIDO]])+IF(Rel_2026_Ag_752[[#This Row],[QTD_SUPER_PROTEGIDO]]&gt;0,0*Rel_2026_Ag_752[[#This Row],[QTD_SUPER_PROTEGIDO]])+IF(Rel_2026_Ag_752[[#This Row],[QTD_CONTAS_PJ]]&gt;0,0*Rel_2026_Ag_752[[#This Row],[QTD_CONTAS_PJ]])+IF(Rel_2026_Ag_752[[#This Row],[QTD_MICRO_VIVAVIDA]]&gt;0,1*Rel_2026_Ag_752[[#This Row],[QTD_MICRO_VIVAVIDA]])+IF(Rel_2026_Ag_752[[#This Row],[qtd_microsseguro]]&gt;0,1*Rel_2026_Ag_752[[#This Row],[qtd_microsseguro]])+IF(Rel_2026_Ag_752[[#This Row],[QTD_SEG_RESIDENCIAL]]&gt;0,1*Rel_2026_Ag_752[[#This Row],[QTD_SEG_RESIDENCIAL]])+IF(Rel_2026_Ag_752[[#This Row],[QTD_PLANO_ODONTO]]&gt;0,1*Rel_2026_Ag_752[[#This Row],[QTD_PLANO_ODONTO]])+IF(Rel_2026_Ag_752[[#This Row],[vlr_lime]]&gt;0,1*ROUND(Rel_2026_Ag_752[[#This Row],[vlr_lime]]/100,0))+ROUND(IF(Rel_2026_Ag_752[[#This Row],[VLR_CREDITO_PARCEL]]&gt;500,1*Rel_2026_Ag_752[[#This Row],[VLR_CREDITO_PARCEL]]/500),0)+ROUND(Rel_2026_Ag_752[[#This Row],[vlr_consignado_total]]/1000,0)</f>
        <v>0</v>
      </c>
    </row>
    <row r="7" spans="1:37" x14ac:dyDescent="0.3">
      <c r="A7" t="str">
        <f>IF(Rel_2026_Ag_752[[#This Row],[Pontuação]]&gt;=10,"Sim",IF(Rel_2026_Ag_752[[#This Row],[Pontuação]]&gt;=5,"Próximo","Não"))</f>
        <v>Sim</v>
      </c>
      <c r="B7" t="s">
        <v>121</v>
      </c>
      <c r="C7" t="str">
        <f>LEFT(Rel_2026_Ag_752[[#This Row],[ag_pacb]],4)</f>
        <v>0752</v>
      </c>
      <c r="D7">
        <v>221261</v>
      </c>
      <c r="E7" t="s">
        <v>83</v>
      </c>
      <c r="F7" t="s">
        <v>84</v>
      </c>
      <c r="G7">
        <v>44480</v>
      </c>
      <c r="H7" t="s">
        <v>22</v>
      </c>
      <c r="I7" t="s">
        <v>55</v>
      </c>
      <c r="J7">
        <v>44439</v>
      </c>
      <c r="K7">
        <v>46248</v>
      </c>
      <c r="L7" t="s">
        <v>44</v>
      </c>
      <c r="M7">
        <v>46254</v>
      </c>
      <c r="N7">
        <v>565</v>
      </c>
      <c r="O7">
        <v>1</v>
      </c>
      <c r="P7">
        <v>1</v>
      </c>
      <c r="Q7">
        <v>1</v>
      </c>
      <c r="R7">
        <v>0</v>
      </c>
      <c r="S7">
        <v>0</v>
      </c>
      <c r="T7">
        <v>33866</v>
      </c>
      <c r="U7">
        <v>33866</v>
      </c>
      <c r="V7">
        <v>0</v>
      </c>
      <c r="W7">
        <v>0</v>
      </c>
      <c r="X7">
        <v>0</v>
      </c>
      <c r="Y7">
        <v>0</v>
      </c>
      <c r="Z7">
        <v>3</v>
      </c>
      <c r="AA7">
        <v>0</v>
      </c>
      <c r="AB7">
        <v>2</v>
      </c>
      <c r="AC7">
        <v>0</v>
      </c>
      <c r="AD7">
        <v>15</v>
      </c>
      <c r="AE7">
        <v>1</v>
      </c>
      <c r="AF7">
        <v>5</v>
      </c>
      <c r="AG7" t="s">
        <v>26</v>
      </c>
      <c r="AH7" t="s">
        <v>24</v>
      </c>
      <c r="AJ7" t="s">
        <v>25</v>
      </c>
      <c r="AK7">
        <f>IF(Rel_2026_Ag_752[[#This Row],[qtd_contas_com_deposito]]&gt;0,7*Rel_2026_Ag_752[[#This Row],[qtd_contas_com_deposito]])+IF((Rel_2026_Ag_752[[#This Row],[qtd_contas]]-Rel_2026_Ag_752[[#This Row],[qtd_contas_com_deposito]])&gt;0,(Rel_2026_Ag_752[[#This Row],[qtd_contas]]-Rel_2026_Ag_752[[#This Row],[qtd_contas_com_deposito]])*3)+IF(Rel_2026_Ag_752[[#This Row],[qtd_cesta_serv]]&gt;0,3*Rel_2026_Ag_752[[#This Row],[qtd_cesta_serv]])+IF(Rel_2026_Ag_752[[#This Row],[QTD_CARTAO_EMITIDO]]&gt;0,0*Rel_2026_Ag_752[[#This Row],[QTD_CARTAO_EMITIDO]])+IF(Rel_2026_Ag_752[[#This Row],[QTD_SUPER_PROTEGIDO]]&gt;0,0*Rel_2026_Ag_752[[#This Row],[QTD_SUPER_PROTEGIDO]])+IF(Rel_2026_Ag_752[[#This Row],[QTD_CONTAS_PJ]]&gt;0,0*Rel_2026_Ag_752[[#This Row],[QTD_CONTAS_PJ]])+IF(Rel_2026_Ag_752[[#This Row],[QTD_MICRO_VIVAVIDA]]&gt;0,1*Rel_2026_Ag_752[[#This Row],[QTD_MICRO_VIVAVIDA]])+IF(Rel_2026_Ag_752[[#This Row],[qtd_microsseguro]]&gt;0,1*Rel_2026_Ag_752[[#This Row],[qtd_microsseguro]])+IF(Rel_2026_Ag_752[[#This Row],[QTD_SEG_RESIDENCIAL]]&gt;0,1*Rel_2026_Ag_752[[#This Row],[QTD_SEG_RESIDENCIAL]])+IF(Rel_2026_Ag_752[[#This Row],[QTD_PLANO_ODONTO]]&gt;0,1*Rel_2026_Ag_752[[#This Row],[QTD_PLANO_ODONTO]])+IF(Rel_2026_Ag_752[[#This Row],[vlr_lime]]&gt;0,1*ROUND(Rel_2026_Ag_752[[#This Row],[vlr_lime]]/100,0))+ROUND(IF(Rel_2026_Ag_752[[#This Row],[VLR_CREDITO_PARCEL]]&gt;500,1*Rel_2026_Ag_752[[#This Row],[VLR_CREDITO_PARCEL]]/500),0)+ROUND(Rel_2026_Ag_752[[#This Row],[vlr_consignado_total]]/1000,0)</f>
        <v>64</v>
      </c>
    </row>
    <row r="8" spans="1:37" x14ac:dyDescent="0.3">
      <c r="A8" t="str">
        <f>IF(Rel_2026_Ag_752[[#This Row],[Pontuação]]&gt;=10,"Sim",IF(Rel_2026_Ag_752[[#This Row],[Pontuação]]&gt;=5,"Próximo","Não"))</f>
        <v>Sim</v>
      </c>
      <c r="B8" t="s">
        <v>121</v>
      </c>
      <c r="C8" t="str">
        <f>LEFT(Rel_2026_Ag_752[[#This Row],[ag_pacb]],4)</f>
        <v>0752</v>
      </c>
      <c r="D8">
        <v>419250</v>
      </c>
      <c r="E8" t="s">
        <v>56</v>
      </c>
      <c r="F8" t="s">
        <v>57</v>
      </c>
      <c r="G8">
        <v>45986</v>
      </c>
      <c r="H8" t="s">
        <v>22</v>
      </c>
      <c r="I8" t="s">
        <v>50</v>
      </c>
      <c r="J8">
        <v>45958</v>
      </c>
      <c r="K8">
        <v>45995</v>
      </c>
      <c r="L8" t="s">
        <v>44</v>
      </c>
      <c r="M8">
        <v>46254</v>
      </c>
      <c r="N8">
        <v>185</v>
      </c>
      <c r="O8">
        <v>3</v>
      </c>
      <c r="P8">
        <v>3</v>
      </c>
      <c r="Q8">
        <v>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2</v>
      </c>
      <c r="AF8">
        <v>0</v>
      </c>
      <c r="AG8" t="s">
        <v>23</v>
      </c>
      <c r="AH8" t="s">
        <v>24</v>
      </c>
      <c r="AJ8" t="s">
        <v>25</v>
      </c>
      <c r="AK8">
        <f>IF(Rel_2026_Ag_752[[#This Row],[qtd_contas_com_deposito]]&gt;0,7*Rel_2026_Ag_752[[#This Row],[qtd_contas_com_deposito]])+IF((Rel_2026_Ag_752[[#This Row],[qtd_contas]]-Rel_2026_Ag_752[[#This Row],[qtd_contas_com_deposito]])&gt;0,(Rel_2026_Ag_752[[#This Row],[qtd_contas]]-Rel_2026_Ag_752[[#This Row],[qtd_contas_com_deposito]])*3)+IF(Rel_2026_Ag_752[[#This Row],[qtd_cesta_serv]]&gt;0,3*Rel_2026_Ag_752[[#This Row],[qtd_cesta_serv]])+IF(Rel_2026_Ag_752[[#This Row],[QTD_CARTAO_EMITIDO]]&gt;0,0*Rel_2026_Ag_752[[#This Row],[QTD_CARTAO_EMITIDO]])+IF(Rel_2026_Ag_752[[#This Row],[QTD_SUPER_PROTEGIDO]]&gt;0,0*Rel_2026_Ag_752[[#This Row],[QTD_SUPER_PROTEGIDO]])+IF(Rel_2026_Ag_752[[#This Row],[QTD_CONTAS_PJ]]&gt;0,0*Rel_2026_Ag_752[[#This Row],[QTD_CONTAS_PJ]])+IF(Rel_2026_Ag_752[[#This Row],[QTD_MICRO_VIVAVIDA]]&gt;0,1*Rel_2026_Ag_752[[#This Row],[QTD_MICRO_VIVAVIDA]])+IF(Rel_2026_Ag_752[[#This Row],[qtd_microsseguro]]&gt;0,1*Rel_2026_Ag_752[[#This Row],[qtd_microsseguro]])+IF(Rel_2026_Ag_752[[#This Row],[QTD_SEG_RESIDENCIAL]]&gt;0,1*Rel_2026_Ag_752[[#This Row],[QTD_SEG_RESIDENCIAL]])+IF(Rel_2026_Ag_752[[#This Row],[QTD_PLANO_ODONTO]]&gt;0,1*Rel_2026_Ag_752[[#This Row],[QTD_PLANO_ODONTO]])+IF(Rel_2026_Ag_752[[#This Row],[vlr_lime]]&gt;0,1*ROUND(Rel_2026_Ag_752[[#This Row],[vlr_lime]]/100,0))+ROUND(IF(Rel_2026_Ag_752[[#This Row],[VLR_CREDITO_PARCEL]]&gt;500,1*Rel_2026_Ag_752[[#This Row],[VLR_CREDITO_PARCEL]]/500),0)+ROUND(Rel_2026_Ag_752[[#This Row],[vlr_consignado_total]]/1000,0)</f>
        <v>30</v>
      </c>
    </row>
    <row r="9" spans="1:37" x14ac:dyDescent="0.3">
      <c r="A9" t="str">
        <f>IF(Rel_2026_Ag_752[[#This Row],[Pontuação]]&gt;=10,"Sim",IF(Rel_2026_Ag_752[[#This Row],[Pontuação]]&gt;=5,"Próximo","Não"))</f>
        <v>Sim</v>
      </c>
      <c r="B9" t="s">
        <v>121</v>
      </c>
      <c r="C9" t="str">
        <f>LEFT(Rel_2026_Ag_752[[#This Row],[ag_pacb]],4)</f>
        <v>0752</v>
      </c>
      <c r="D9">
        <v>22714</v>
      </c>
      <c r="E9" t="s">
        <v>53</v>
      </c>
      <c r="F9" t="s">
        <v>54</v>
      </c>
      <c r="G9">
        <v>44243</v>
      </c>
      <c r="H9" t="s">
        <v>22</v>
      </c>
      <c r="I9" t="s">
        <v>50</v>
      </c>
      <c r="J9">
        <v>42151</v>
      </c>
      <c r="K9">
        <v>46162</v>
      </c>
      <c r="L9" t="s">
        <v>44</v>
      </c>
      <c r="M9">
        <v>46254</v>
      </c>
      <c r="N9">
        <v>979</v>
      </c>
      <c r="O9">
        <v>8</v>
      </c>
      <c r="P9">
        <v>1</v>
      </c>
      <c r="Q9">
        <v>6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23</v>
      </c>
      <c r="AH9" t="s">
        <v>24</v>
      </c>
      <c r="AJ9" t="s">
        <v>25</v>
      </c>
      <c r="AK9">
        <f>IF(Rel_2026_Ag_752[[#This Row],[qtd_contas_com_deposito]]&gt;0,7*Rel_2026_Ag_752[[#This Row],[qtd_contas_com_deposito]])+IF((Rel_2026_Ag_752[[#This Row],[qtd_contas]]-Rel_2026_Ag_752[[#This Row],[qtd_contas_com_deposito]])&gt;0,(Rel_2026_Ag_752[[#This Row],[qtd_contas]]-Rel_2026_Ag_752[[#This Row],[qtd_contas_com_deposito]])*3)+IF(Rel_2026_Ag_752[[#This Row],[qtd_cesta_serv]]&gt;0,3*Rel_2026_Ag_752[[#This Row],[qtd_cesta_serv]])+IF(Rel_2026_Ag_752[[#This Row],[QTD_CARTAO_EMITIDO]]&gt;0,0*Rel_2026_Ag_752[[#This Row],[QTD_CARTAO_EMITIDO]])+IF(Rel_2026_Ag_752[[#This Row],[QTD_SUPER_PROTEGIDO]]&gt;0,0*Rel_2026_Ag_752[[#This Row],[QTD_SUPER_PROTEGIDO]])+IF(Rel_2026_Ag_752[[#This Row],[QTD_CONTAS_PJ]]&gt;0,0*Rel_2026_Ag_752[[#This Row],[QTD_CONTAS_PJ]])+IF(Rel_2026_Ag_752[[#This Row],[QTD_MICRO_VIVAVIDA]]&gt;0,1*Rel_2026_Ag_752[[#This Row],[QTD_MICRO_VIVAVIDA]])+IF(Rel_2026_Ag_752[[#This Row],[qtd_microsseguro]]&gt;0,1*Rel_2026_Ag_752[[#This Row],[qtd_microsseguro]])+IF(Rel_2026_Ag_752[[#This Row],[QTD_SEG_RESIDENCIAL]]&gt;0,1*Rel_2026_Ag_752[[#This Row],[QTD_SEG_RESIDENCIAL]])+IF(Rel_2026_Ag_752[[#This Row],[QTD_PLANO_ODONTO]]&gt;0,1*Rel_2026_Ag_752[[#This Row],[QTD_PLANO_ODONTO]])+IF(Rel_2026_Ag_752[[#This Row],[vlr_lime]]&gt;0,1*ROUND(Rel_2026_Ag_752[[#This Row],[vlr_lime]]/100,0))+ROUND(IF(Rel_2026_Ag_752[[#This Row],[VLR_CREDITO_PARCEL]]&gt;500,1*Rel_2026_Ag_752[[#This Row],[VLR_CREDITO_PARCEL]]/500),0)+ROUND(Rel_2026_Ag_752[[#This Row],[vlr_consignado_total]]/1000,0)</f>
        <v>46</v>
      </c>
    </row>
    <row r="10" spans="1:37" x14ac:dyDescent="0.3">
      <c r="A10" t="str">
        <f>IF(Rel_2026_Ag_752[[#This Row],[Pontuação]]&gt;=10,"Sim",IF(Rel_2026_Ag_752[[#This Row],[Pontuação]]&gt;=5,"Próximo","Não"))</f>
        <v>Sim</v>
      </c>
      <c r="B10" t="s">
        <v>121</v>
      </c>
      <c r="C10" t="str">
        <f>LEFT(Rel_2026_Ag_752[[#This Row],[ag_pacb]],4)</f>
        <v>0752</v>
      </c>
      <c r="D10">
        <v>133967</v>
      </c>
      <c r="E10" t="s">
        <v>90</v>
      </c>
      <c r="F10" t="s">
        <v>91</v>
      </c>
      <c r="G10">
        <v>44546</v>
      </c>
      <c r="H10" t="s">
        <v>22</v>
      </c>
      <c r="I10" t="s">
        <v>55</v>
      </c>
      <c r="J10">
        <v>43797</v>
      </c>
      <c r="K10">
        <v>46160</v>
      </c>
      <c r="L10" t="s">
        <v>44</v>
      </c>
      <c r="M10">
        <v>46254</v>
      </c>
      <c r="N10">
        <v>273</v>
      </c>
      <c r="O10">
        <v>2</v>
      </c>
      <c r="P10">
        <v>2</v>
      </c>
      <c r="Q10">
        <v>2</v>
      </c>
      <c r="R10">
        <v>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23</v>
      </c>
      <c r="AH10" t="s">
        <v>24</v>
      </c>
      <c r="AJ10" t="s">
        <v>25</v>
      </c>
      <c r="AK10">
        <f>IF(Rel_2026_Ag_752[[#This Row],[qtd_contas_com_deposito]]&gt;0,7*Rel_2026_Ag_752[[#This Row],[qtd_contas_com_deposito]])+IF((Rel_2026_Ag_752[[#This Row],[qtd_contas]]-Rel_2026_Ag_752[[#This Row],[qtd_contas_com_deposito]])&gt;0,(Rel_2026_Ag_752[[#This Row],[qtd_contas]]-Rel_2026_Ag_752[[#This Row],[qtd_contas_com_deposito]])*3)+IF(Rel_2026_Ag_752[[#This Row],[qtd_cesta_serv]]&gt;0,3*Rel_2026_Ag_752[[#This Row],[qtd_cesta_serv]])+IF(Rel_2026_Ag_752[[#This Row],[QTD_CARTAO_EMITIDO]]&gt;0,0*Rel_2026_Ag_752[[#This Row],[QTD_CARTAO_EMITIDO]])+IF(Rel_2026_Ag_752[[#This Row],[QTD_SUPER_PROTEGIDO]]&gt;0,0*Rel_2026_Ag_752[[#This Row],[QTD_SUPER_PROTEGIDO]])+IF(Rel_2026_Ag_752[[#This Row],[QTD_CONTAS_PJ]]&gt;0,0*Rel_2026_Ag_752[[#This Row],[QTD_CONTAS_PJ]])+IF(Rel_2026_Ag_752[[#This Row],[QTD_MICRO_VIVAVIDA]]&gt;0,1*Rel_2026_Ag_752[[#This Row],[QTD_MICRO_VIVAVIDA]])+IF(Rel_2026_Ag_752[[#This Row],[qtd_microsseguro]]&gt;0,1*Rel_2026_Ag_752[[#This Row],[qtd_microsseguro]])+IF(Rel_2026_Ag_752[[#This Row],[QTD_SEG_RESIDENCIAL]]&gt;0,1*Rel_2026_Ag_752[[#This Row],[QTD_SEG_RESIDENCIAL]])+IF(Rel_2026_Ag_752[[#This Row],[QTD_PLANO_ODONTO]]&gt;0,1*Rel_2026_Ag_752[[#This Row],[QTD_PLANO_ODONTO]])+IF(Rel_2026_Ag_752[[#This Row],[vlr_lime]]&gt;0,1*ROUND(Rel_2026_Ag_752[[#This Row],[vlr_lime]]/100,0))+ROUND(IF(Rel_2026_Ag_752[[#This Row],[VLR_CREDITO_PARCEL]]&gt;500,1*Rel_2026_Ag_752[[#This Row],[VLR_CREDITO_PARCEL]]/500),0)+ROUND(Rel_2026_Ag_752[[#This Row],[vlr_consignado_total]]/1000,0)</f>
        <v>20</v>
      </c>
    </row>
    <row r="11" spans="1:37" x14ac:dyDescent="0.3">
      <c r="A11" t="str">
        <f>IF(Rel_2026_Ag_752[[#This Row],[Pontuação]]&gt;=10,"Sim",IF(Rel_2026_Ag_752[[#This Row],[Pontuação]]&gt;=5,"Próximo","Não"))</f>
        <v>Sim</v>
      </c>
      <c r="B11" t="s">
        <v>121</v>
      </c>
      <c r="C11" t="str">
        <f>LEFT(Rel_2026_Ag_752[[#This Row],[ag_pacb]],4)</f>
        <v>0752</v>
      </c>
      <c r="D11">
        <v>403515</v>
      </c>
      <c r="E11" t="s">
        <v>92</v>
      </c>
      <c r="F11" t="s">
        <v>93</v>
      </c>
      <c r="G11">
        <v>45912</v>
      </c>
      <c r="H11" t="s">
        <v>22</v>
      </c>
      <c r="I11" t="s">
        <v>50</v>
      </c>
      <c r="J11">
        <v>45441</v>
      </c>
      <c r="K11">
        <v>45946</v>
      </c>
      <c r="L11" t="s">
        <v>44</v>
      </c>
      <c r="M11">
        <v>46254</v>
      </c>
      <c r="N11">
        <v>88</v>
      </c>
      <c r="O11">
        <v>3</v>
      </c>
      <c r="P11">
        <v>3</v>
      </c>
      <c r="Q11">
        <v>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23</v>
      </c>
      <c r="AH11" t="s">
        <v>24</v>
      </c>
      <c r="AJ11" t="s">
        <v>25</v>
      </c>
      <c r="AK11">
        <f>IF(Rel_2026_Ag_752[[#This Row],[qtd_contas_com_deposito]]&gt;0,7*Rel_2026_Ag_752[[#This Row],[qtd_contas_com_deposito]])+IF((Rel_2026_Ag_752[[#This Row],[qtd_contas]]-Rel_2026_Ag_752[[#This Row],[qtd_contas_com_deposito]])&gt;0,(Rel_2026_Ag_752[[#This Row],[qtd_contas]]-Rel_2026_Ag_752[[#This Row],[qtd_contas_com_deposito]])*3)+IF(Rel_2026_Ag_752[[#This Row],[qtd_cesta_serv]]&gt;0,3*Rel_2026_Ag_752[[#This Row],[qtd_cesta_serv]])+IF(Rel_2026_Ag_752[[#This Row],[QTD_CARTAO_EMITIDO]]&gt;0,0*Rel_2026_Ag_752[[#This Row],[QTD_CARTAO_EMITIDO]])+IF(Rel_2026_Ag_752[[#This Row],[QTD_SUPER_PROTEGIDO]]&gt;0,0*Rel_2026_Ag_752[[#This Row],[QTD_SUPER_PROTEGIDO]])+IF(Rel_2026_Ag_752[[#This Row],[QTD_CONTAS_PJ]]&gt;0,0*Rel_2026_Ag_752[[#This Row],[QTD_CONTAS_PJ]])+IF(Rel_2026_Ag_752[[#This Row],[QTD_MICRO_VIVAVIDA]]&gt;0,1*Rel_2026_Ag_752[[#This Row],[QTD_MICRO_VIVAVIDA]])+IF(Rel_2026_Ag_752[[#This Row],[qtd_microsseguro]]&gt;0,1*Rel_2026_Ag_752[[#This Row],[qtd_microsseguro]])+IF(Rel_2026_Ag_752[[#This Row],[QTD_SEG_RESIDENCIAL]]&gt;0,1*Rel_2026_Ag_752[[#This Row],[QTD_SEG_RESIDENCIAL]])+IF(Rel_2026_Ag_752[[#This Row],[QTD_PLANO_ODONTO]]&gt;0,1*Rel_2026_Ag_752[[#This Row],[QTD_PLANO_ODONTO]])+IF(Rel_2026_Ag_752[[#This Row],[vlr_lime]]&gt;0,1*ROUND(Rel_2026_Ag_752[[#This Row],[vlr_lime]]/100,0))+ROUND(IF(Rel_2026_Ag_752[[#This Row],[VLR_CREDITO_PARCEL]]&gt;500,1*Rel_2026_Ag_752[[#This Row],[VLR_CREDITO_PARCEL]]/500),0)+ROUND(Rel_2026_Ag_752[[#This Row],[vlr_consignado_total]]/1000,0)</f>
        <v>30</v>
      </c>
    </row>
    <row r="12" spans="1:37" x14ac:dyDescent="0.3">
      <c r="G12" s="1"/>
      <c r="J12" s="1"/>
      <c r="K12" s="1"/>
      <c r="M12" s="1"/>
      <c r="O12">
        <f>SUBTOTAL(9,Rel_2026_Ag_752[qtd_contas])</f>
        <v>35</v>
      </c>
      <c r="P12">
        <f>SUBTOTAL(9,Rel_2026_Ag_752[qtd_contas_com_deposito])</f>
        <v>21</v>
      </c>
      <c r="Q12">
        <f>SUBTOTAL(9,Rel_2026_Ag_752[qtd_cesta_serv])</f>
        <v>31</v>
      </c>
      <c r="R12">
        <f>SUBTOTAL(9,Rel_2026_Ag_752[QTD_CARTAO_EMITIDO])</f>
        <v>2</v>
      </c>
      <c r="Y12">
        <f>SUBTOTAL(9,Rel_2026_Ag_752[QTD_CONTAS_PJ])</f>
        <v>0</v>
      </c>
      <c r="Z12">
        <f>SUBTOTAL(9,Rel_2026_Ag_752[qtd_microsseguro])</f>
        <v>3</v>
      </c>
      <c r="AA12">
        <f>SUBTOTAL(9,Rel_2026_Ag_752[QTD_SUPER_PROTEGIDO])</f>
        <v>0</v>
      </c>
      <c r="AB12">
        <f>SUBTOTAL(9,Rel_2026_Ag_752[QTD_MICRO_VIVAVIDA])</f>
        <v>2</v>
      </c>
      <c r="AC12">
        <f>SUBTOTAL(9,Rel_2026_Ag_752[QTD_PLANO_ODONTO])</f>
        <v>0</v>
      </c>
      <c r="AD12">
        <f>SUBTOTAL(9,Rel_2026_Ag_752[QTD_SEG_RESIDENCIAL])</f>
        <v>18</v>
      </c>
      <c r="AE12">
        <f>SUBTOTAL(9,Rel_2026_Ag_752[QTD_SEG_CARTAO_DEB])</f>
        <v>14</v>
      </c>
    </row>
  </sheetData>
  <phoneticPr fontId="2" type="noConversion"/>
  <conditionalFormatting sqref="A2:AJ11">
    <cfRule type="expression" dxfId="8" priority="1">
      <formula>$A2="Não"</formula>
    </cfRule>
    <cfRule type="expression" dxfId="7" priority="2">
      <formula>$A2="Próximo"</formula>
    </cfRule>
  </conditionalFormatting>
  <conditionalFormatting sqref="D14:E15">
    <cfRule type="expression" dxfId="6" priority="7">
      <formula>"SE(B2&gt;10)"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96D11-01DC-4F38-A662-1980B00DA89B}">
  <dimension ref="A1:AN46"/>
  <sheetViews>
    <sheetView tabSelected="1" topLeftCell="A20" zoomScaleNormal="100" workbookViewId="0">
      <selection activeCell="C27" sqref="C27"/>
    </sheetView>
  </sheetViews>
  <sheetFormatPr defaultRowHeight="14.4" x14ac:dyDescent="0.3"/>
  <cols>
    <col min="1" max="1" width="9.6640625" bestFit="1" customWidth="1"/>
    <col min="2" max="2" width="10.6640625" bestFit="1" customWidth="1"/>
    <col min="3" max="3" width="9.77734375" bestFit="1" customWidth="1"/>
    <col min="4" max="4" width="12" bestFit="1" customWidth="1"/>
    <col min="5" max="5" width="13.6640625" bestFit="1" customWidth="1"/>
    <col min="6" max="6" width="37.109375" bestFit="1" customWidth="1"/>
    <col min="7" max="7" width="10.109375" bestFit="1" customWidth="1"/>
    <col min="8" max="8" width="14.6640625" bestFit="1" customWidth="1"/>
    <col min="9" max="9" width="4.77734375" bestFit="1" customWidth="1"/>
    <col min="10" max="10" width="16.109375" bestFit="1" customWidth="1"/>
    <col min="11" max="11" width="10.44140625" bestFit="1" customWidth="1"/>
    <col min="12" max="12" width="15.88671875" bestFit="1" customWidth="1"/>
    <col min="13" max="13" width="16" bestFit="1" customWidth="1"/>
    <col min="14" max="14" width="19.109375" bestFit="1" customWidth="1"/>
    <col min="15" max="15" width="16.5546875" bestFit="1" customWidth="1"/>
    <col min="16" max="16" width="12.44140625" bestFit="1" customWidth="1"/>
    <col min="17" max="17" width="25.33203125" bestFit="1" customWidth="1"/>
    <col min="18" max="18" width="15.77734375" bestFit="1" customWidth="1"/>
    <col min="19" max="19" width="22.21875" bestFit="1" customWidth="1"/>
    <col min="20" max="20" width="20.44140625" bestFit="1" customWidth="1"/>
    <col min="21" max="21" width="19.88671875" bestFit="1" customWidth="1"/>
    <col min="22" max="23" width="19.77734375" bestFit="1" customWidth="1"/>
    <col min="24" max="24" width="21.88671875" bestFit="1" customWidth="1"/>
    <col min="25" max="25" width="9.88671875" bestFit="1" customWidth="1"/>
    <col min="26" max="26" width="17.109375" bestFit="1" customWidth="1"/>
    <col min="27" max="27" width="18.21875" bestFit="1" customWidth="1"/>
    <col min="28" max="28" width="24" bestFit="1" customWidth="1"/>
    <col min="29" max="29" width="22" bestFit="1" customWidth="1"/>
    <col min="30" max="30" width="21.6640625" bestFit="1" customWidth="1"/>
    <col min="31" max="31" width="23" bestFit="1" customWidth="1"/>
    <col min="32" max="32" width="22.77734375" bestFit="1" customWidth="1"/>
    <col min="33" max="33" width="16.6640625" bestFit="1" customWidth="1"/>
    <col min="34" max="34" width="13.6640625" bestFit="1" customWidth="1"/>
    <col min="35" max="35" width="13.77734375" bestFit="1" customWidth="1"/>
    <col min="36" max="36" width="16.77734375" bestFit="1" customWidth="1"/>
    <col min="37" max="37" width="9.44140625" bestFit="1" customWidth="1"/>
    <col min="38" max="38" width="12" bestFit="1" customWidth="1"/>
    <col min="39" max="39" width="6.88671875" bestFit="1" customWidth="1"/>
    <col min="40" max="40" width="13" bestFit="1" customWidth="1"/>
    <col min="41" max="47" width="6" bestFit="1" customWidth="1"/>
    <col min="48" max="48" width="9.44140625" bestFit="1" customWidth="1"/>
    <col min="49" max="49" width="12" bestFit="1" customWidth="1"/>
    <col min="50" max="50" width="7" bestFit="1" customWidth="1"/>
    <col min="51" max="51" width="22.6640625" bestFit="1" customWidth="1"/>
    <col min="52" max="52" width="17" bestFit="1" customWidth="1"/>
    <col min="53" max="53" width="21.88671875" bestFit="1" customWidth="1"/>
    <col min="54" max="54" width="16.6640625" bestFit="1" customWidth="1"/>
    <col min="55" max="56" width="13.6640625" bestFit="1" customWidth="1"/>
    <col min="57" max="57" width="16.6640625" bestFit="1" customWidth="1"/>
    <col min="58" max="59" width="5" bestFit="1" customWidth="1"/>
    <col min="60" max="60" width="6" bestFit="1" customWidth="1"/>
    <col min="61" max="61" width="9.44140625" bestFit="1" customWidth="1"/>
    <col min="62" max="62" width="12" bestFit="1" customWidth="1"/>
    <col min="63" max="63" width="6.88671875" bestFit="1" customWidth="1"/>
    <col min="64" max="64" width="12" bestFit="1" customWidth="1"/>
    <col min="65" max="65" width="12.5546875" bestFit="1" customWidth="1"/>
    <col min="66" max="66" width="14.6640625" bestFit="1" customWidth="1"/>
    <col min="67" max="67" width="16.5546875" bestFit="1" customWidth="1"/>
    <col min="68" max="68" width="9.44140625" bestFit="1" customWidth="1"/>
    <col min="69" max="69" width="12" bestFit="1" customWidth="1"/>
    <col min="70" max="71" width="13.6640625" bestFit="1" customWidth="1"/>
    <col min="72" max="72" width="16.6640625" bestFit="1" customWidth="1"/>
    <col min="73" max="73" width="17.5546875" customWidth="1"/>
    <col min="74" max="74" width="12" bestFit="1" customWidth="1"/>
  </cols>
  <sheetData>
    <row r="1" spans="1:40" x14ac:dyDescent="0.3">
      <c r="A1" t="s">
        <v>29</v>
      </c>
      <c r="B1" t="s">
        <v>136</v>
      </c>
      <c r="C1" t="s">
        <v>38</v>
      </c>
      <c r="D1" t="s">
        <v>106</v>
      </c>
      <c r="E1" t="s">
        <v>33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107</v>
      </c>
      <c r="U1" t="s">
        <v>108</v>
      </c>
      <c r="V1" t="s">
        <v>109</v>
      </c>
      <c r="W1" t="s">
        <v>110</v>
      </c>
      <c r="X1" t="s">
        <v>102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39</v>
      </c>
      <c r="AH1" t="s">
        <v>41</v>
      </c>
      <c r="AI1" t="s">
        <v>42</v>
      </c>
      <c r="AJ1" t="s">
        <v>43</v>
      </c>
      <c r="AK1" t="s">
        <v>40</v>
      </c>
      <c r="AL1" t="s">
        <v>28</v>
      </c>
      <c r="AM1" t="s">
        <v>103</v>
      </c>
      <c r="AN1" t="s">
        <v>135</v>
      </c>
    </row>
    <row r="2" spans="1:40" x14ac:dyDescent="0.3">
      <c r="A2" t="str">
        <f>IF(Rel_2026[[#This Row],[Zero]]=0,"Zero",IF(Rel_2026[[#This Row],[Pontuação]]&gt;=10,"Sim",IF(Rel_2026[[#This Row],[Pontuação]]&gt;=5,"Próximo","Não")))</f>
        <v>Zero</v>
      </c>
      <c r="B2" t="str">
        <f>IF(Rel_2026[[#This Row],[Zero]]=0,"Zero",IF(Rel_2026[[#This Row],[Pontuação2]]&gt;=10,"Sim",IF(Rel_2026[[#This Row],[Pontuação2]]&gt;=5,"Próximo","Não")))</f>
        <v>Zero</v>
      </c>
      <c r="C2" t="str">
        <f>LEFT(Rel_2026[[#This Row],[ag_pacb]],4)</f>
        <v>0752</v>
      </c>
      <c r="D2">
        <v>415561</v>
      </c>
      <c r="E2" t="s">
        <v>94</v>
      </c>
      <c r="F2" t="s">
        <v>119</v>
      </c>
      <c r="G2" t="s">
        <v>120</v>
      </c>
      <c r="H2" s="1">
        <v>45880</v>
      </c>
      <c r="I2" t="s">
        <v>22</v>
      </c>
      <c r="J2" t="s">
        <v>55</v>
      </c>
      <c r="K2" s="1">
        <v>45875</v>
      </c>
      <c r="L2" s="1">
        <v>45890</v>
      </c>
      <c r="M2" t="s">
        <v>44</v>
      </c>
      <c r="N2" s="1">
        <v>46104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s">
        <v>23</v>
      </c>
      <c r="AI2" t="s">
        <v>113</v>
      </c>
      <c r="AJ2">
        <v>46199</v>
      </c>
      <c r="AK2" t="s">
        <v>25</v>
      </c>
      <c r="AL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">
        <f>SUM(Rel_2026[[#This Row],[qtd_TrxContabil]:[VLR_EXP_SORTE]])</f>
        <v>0</v>
      </c>
      <c r="AN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" spans="1:40" x14ac:dyDescent="0.3">
      <c r="A3" t="str">
        <f>IF(Rel_2026[[#This Row],[Zero]]=0,"Zero",IF(Rel_2026[[#This Row],[Pontuação]]&gt;=10,"Sim",IF(Rel_2026[[#This Row],[Pontuação]]&gt;=5,"Próximo","Não")))</f>
        <v>Sim</v>
      </c>
      <c r="B3" t="str">
        <f>IF(Rel_2026[[#This Row],[Zero]]=0,"Zero",IF(Rel_2026[[#This Row],[Pontuação2]]&gt;=10,"Sim",IF(Rel_2026[[#This Row],[Pontuação2]]&gt;=5,"Próximo","Não")))</f>
        <v>Sim</v>
      </c>
      <c r="C3" t="str">
        <f>LEFT(Rel_2026[[#This Row],[ag_pacb]],4)</f>
        <v>0752</v>
      </c>
      <c r="D3">
        <v>22714</v>
      </c>
      <c r="E3" t="s">
        <v>94</v>
      </c>
      <c r="F3" t="s">
        <v>53</v>
      </c>
      <c r="G3" t="s">
        <v>54</v>
      </c>
      <c r="H3" s="1">
        <v>44243</v>
      </c>
      <c r="I3" t="s">
        <v>22</v>
      </c>
      <c r="J3" t="s">
        <v>50</v>
      </c>
      <c r="K3" s="1">
        <v>42151</v>
      </c>
      <c r="L3" s="1">
        <v>46162</v>
      </c>
      <c r="M3" t="s">
        <v>44</v>
      </c>
      <c r="N3" s="1">
        <v>46254</v>
      </c>
      <c r="O3">
        <v>979</v>
      </c>
      <c r="P3">
        <v>8</v>
      </c>
      <c r="Q3">
        <v>1</v>
      </c>
      <c r="R3">
        <v>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s">
        <v>23</v>
      </c>
      <c r="AI3" t="s">
        <v>24</v>
      </c>
      <c r="AK3" t="s">
        <v>25</v>
      </c>
      <c r="AL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28</v>
      </c>
      <c r="AM3">
        <f>SUM(Rel_2026[[#This Row],[qtd_TrxContabil]:[VLR_EXP_SORTE]])</f>
        <v>994</v>
      </c>
      <c r="AN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46</v>
      </c>
    </row>
    <row r="4" spans="1:40" x14ac:dyDescent="0.3">
      <c r="A4" t="str">
        <f>IF(Rel_2026[[#This Row],[Zero]]=0,"Zero",IF(Rel_2026[[#This Row],[Pontuação]]&gt;=10,"Sim",IF(Rel_2026[[#This Row],[Pontuação]]&gt;=5,"Próximo","Não")))</f>
        <v>Sim</v>
      </c>
      <c r="B4" t="str">
        <f>IF(Rel_2026[[#This Row],[Zero]]=0,"Zero",IF(Rel_2026[[#This Row],[Pontuação2]]&gt;=10,"Sim",IF(Rel_2026[[#This Row],[Pontuação2]]&gt;=5,"Próximo","Não")))</f>
        <v>Sim</v>
      </c>
      <c r="C4" t="str">
        <f>LEFT(Rel_2026[[#This Row],[ag_pacb]],4)</f>
        <v>0726</v>
      </c>
      <c r="D4">
        <v>227270</v>
      </c>
      <c r="E4" t="s">
        <v>94</v>
      </c>
      <c r="F4" t="s">
        <v>95</v>
      </c>
      <c r="G4" t="s">
        <v>98</v>
      </c>
      <c r="H4" s="1">
        <v>44525</v>
      </c>
      <c r="I4" t="s">
        <v>22</v>
      </c>
      <c r="J4" t="s">
        <v>59</v>
      </c>
      <c r="K4" s="1">
        <v>44532</v>
      </c>
      <c r="L4" s="1">
        <v>44540</v>
      </c>
      <c r="M4" t="s">
        <v>44</v>
      </c>
      <c r="N4" s="1">
        <v>46254</v>
      </c>
      <c r="O4">
        <v>1782</v>
      </c>
      <c r="P4">
        <v>3</v>
      </c>
      <c r="Q4">
        <v>3</v>
      </c>
      <c r="R4">
        <v>3</v>
      </c>
      <c r="S4">
        <v>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2</v>
      </c>
      <c r="AC4">
        <v>0</v>
      </c>
      <c r="AD4">
        <v>0</v>
      </c>
      <c r="AE4">
        <v>0</v>
      </c>
      <c r="AF4">
        <v>3</v>
      </c>
      <c r="AG4">
        <v>0</v>
      </c>
      <c r="AH4" t="s">
        <v>26</v>
      </c>
      <c r="AI4" t="s">
        <v>24</v>
      </c>
      <c r="AK4" t="s">
        <v>25</v>
      </c>
      <c r="AL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21</v>
      </c>
      <c r="AM4">
        <f>SUM(Rel_2026[[#This Row],[qtd_TrxContabil]:[VLR_EXP_SORTE]])</f>
        <v>1798</v>
      </c>
      <c r="AN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30</v>
      </c>
    </row>
    <row r="5" spans="1:40" x14ac:dyDescent="0.3">
      <c r="A5" t="str">
        <f>IF(Rel_2026[[#This Row],[Zero]]=0,"Zero",IF(Rel_2026[[#This Row],[Pontuação]]&gt;=10,"Sim",IF(Rel_2026[[#This Row],[Pontuação]]&gt;=5,"Próximo","Não")))</f>
        <v>Sim</v>
      </c>
      <c r="B5" t="str">
        <f>IF(Rel_2026[[#This Row],[Zero]]=0,"Zero",IF(Rel_2026[[#This Row],[Pontuação2]]&gt;=10,"Sim",IF(Rel_2026[[#This Row],[Pontuação2]]&gt;=5,"Próximo","Não")))</f>
        <v>Sim</v>
      </c>
      <c r="C5" t="str">
        <f>LEFT(Rel_2026[[#This Row],[ag_pacb]],4)</f>
        <v>0752</v>
      </c>
      <c r="D5">
        <v>45775</v>
      </c>
      <c r="E5" t="s">
        <v>94</v>
      </c>
      <c r="F5" t="s">
        <v>77</v>
      </c>
      <c r="G5" t="s">
        <v>78</v>
      </c>
      <c r="H5" s="1">
        <v>44657</v>
      </c>
      <c r="I5" t="s">
        <v>22</v>
      </c>
      <c r="J5" t="s">
        <v>50</v>
      </c>
      <c r="K5" s="1">
        <v>44438</v>
      </c>
      <c r="L5" s="1">
        <v>46252</v>
      </c>
      <c r="M5" t="s">
        <v>44</v>
      </c>
      <c r="N5" s="1">
        <v>46254</v>
      </c>
      <c r="O5">
        <v>485</v>
      </c>
      <c r="P5">
        <v>4</v>
      </c>
      <c r="Q5">
        <v>0</v>
      </c>
      <c r="R5">
        <v>3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s">
        <v>23</v>
      </c>
      <c r="AI5" t="s">
        <v>24</v>
      </c>
      <c r="AK5" t="s">
        <v>25</v>
      </c>
      <c r="AL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12</v>
      </c>
      <c r="AM5">
        <f>SUM(Rel_2026[[#This Row],[qtd_TrxContabil]:[VLR_EXP_SORTE]])</f>
        <v>492</v>
      </c>
      <c r="AN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21</v>
      </c>
    </row>
    <row r="6" spans="1:40" x14ac:dyDescent="0.3">
      <c r="A6" t="str">
        <f>IF(Rel_2026[[#This Row],[Zero]]=0,"Zero",IF(Rel_2026[[#This Row],[Pontuação]]&gt;=10,"Sim",IF(Rel_2026[[#This Row],[Pontuação]]&gt;=5,"Próximo","Não")))</f>
        <v>Próximo</v>
      </c>
      <c r="B6" t="str">
        <f>IF(Rel_2026[[#This Row],[Zero]]=0,"Zero",IF(Rel_2026[[#This Row],[Pontuação2]]&gt;=10,"Sim",IF(Rel_2026[[#This Row],[Pontuação2]]&gt;=5,"Próximo","Não")))</f>
        <v>Sim</v>
      </c>
      <c r="C6" t="str">
        <f>LEFT(Rel_2026[[#This Row],[ag_pacb]],4)</f>
        <v>0752</v>
      </c>
      <c r="D6">
        <v>241265</v>
      </c>
      <c r="E6" t="s">
        <v>94</v>
      </c>
      <c r="F6" t="s">
        <v>27</v>
      </c>
      <c r="G6" t="s">
        <v>49</v>
      </c>
      <c r="H6" s="1">
        <v>45237</v>
      </c>
      <c r="I6" t="s">
        <v>22</v>
      </c>
      <c r="J6" t="s">
        <v>50</v>
      </c>
      <c r="K6" s="1">
        <v>44973</v>
      </c>
      <c r="L6" s="1">
        <v>44972</v>
      </c>
      <c r="M6" t="s">
        <v>44</v>
      </c>
      <c r="N6" s="1">
        <v>46254</v>
      </c>
      <c r="O6">
        <v>349</v>
      </c>
      <c r="P6">
        <v>3</v>
      </c>
      <c r="Q6">
        <v>0</v>
      </c>
      <c r="R6">
        <v>3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s">
        <v>23</v>
      </c>
      <c r="AI6" t="s">
        <v>24</v>
      </c>
      <c r="AK6" t="s">
        <v>25</v>
      </c>
      <c r="AL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9</v>
      </c>
      <c r="AM6">
        <f>SUM(Rel_2026[[#This Row],[qtd_TrxContabil]:[VLR_EXP_SORTE]])</f>
        <v>355</v>
      </c>
      <c r="AN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18</v>
      </c>
    </row>
    <row r="7" spans="1:40" x14ac:dyDescent="0.3">
      <c r="A7" t="str">
        <f>IF(Rel_2026[[#This Row],[Zero]]=0,"Zero",IF(Rel_2026[[#This Row],[Pontuação]]&gt;=10,"Sim",IF(Rel_2026[[#This Row],[Pontuação]]&gt;=5,"Próximo","Não")))</f>
        <v>Próximo</v>
      </c>
      <c r="B7" t="str">
        <f>IF(Rel_2026[[#This Row],[Zero]]=0,"Zero",IF(Rel_2026[[#This Row],[Pontuação2]]&gt;=10,"Sim",IF(Rel_2026[[#This Row],[Pontuação2]]&gt;=5,"Próximo","Não")))</f>
        <v>Sim</v>
      </c>
      <c r="C7" t="str">
        <f>LEFT(Rel_2026[[#This Row],[ag_pacb]],4)</f>
        <v>0726</v>
      </c>
      <c r="D7">
        <v>37098</v>
      </c>
      <c r="E7" t="s">
        <v>94</v>
      </c>
      <c r="F7" t="s">
        <v>124</v>
      </c>
      <c r="G7" t="s">
        <v>125</v>
      </c>
      <c r="H7" s="1">
        <v>45202</v>
      </c>
      <c r="I7" t="s">
        <v>22</v>
      </c>
      <c r="J7" t="s">
        <v>48</v>
      </c>
      <c r="K7" s="1">
        <v>44102</v>
      </c>
      <c r="L7" s="1">
        <v>44119</v>
      </c>
      <c r="M7" t="s">
        <v>44</v>
      </c>
      <c r="N7" s="1">
        <v>46254</v>
      </c>
      <c r="O7">
        <v>105</v>
      </c>
      <c r="P7">
        <v>3</v>
      </c>
      <c r="Q7">
        <v>0</v>
      </c>
      <c r="R7">
        <v>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</v>
      </c>
      <c r="AG7">
        <v>0</v>
      </c>
      <c r="AH7" t="s">
        <v>23</v>
      </c>
      <c r="AI7" t="s">
        <v>24</v>
      </c>
      <c r="AK7" t="s">
        <v>25</v>
      </c>
      <c r="AL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9</v>
      </c>
      <c r="AM7">
        <f>SUM(Rel_2026[[#This Row],[qtd_TrxContabil]:[VLR_EXP_SORTE]])</f>
        <v>114</v>
      </c>
      <c r="AN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18</v>
      </c>
    </row>
    <row r="8" spans="1:40" x14ac:dyDescent="0.3">
      <c r="A8" t="str">
        <f>IF(Rel_2026[[#This Row],[Zero]]=0,"Zero",IF(Rel_2026[[#This Row],[Pontuação]]&gt;=10,"Sim",IF(Rel_2026[[#This Row],[Pontuação]]&gt;=5,"Próximo","Não")))</f>
        <v>Sim</v>
      </c>
      <c r="B8" t="str">
        <f>IF(Rel_2026[[#This Row],[Zero]]=0,"Zero",IF(Rel_2026[[#This Row],[Pontuação2]]&gt;=10,"Sim",IF(Rel_2026[[#This Row],[Pontuação2]]&gt;=5,"Próximo","Não")))</f>
        <v>Sim</v>
      </c>
      <c r="C8" t="str">
        <f>LEFT(Rel_2026[[#This Row],[ag_pacb]],4)</f>
        <v>0752</v>
      </c>
      <c r="D8">
        <v>424350</v>
      </c>
      <c r="E8" t="s">
        <v>94</v>
      </c>
      <c r="F8" t="s">
        <v>114</v>
      </c>
      <c r="G8" t="s">
        <v>115</v>
      </c>
      <c r="H8" s="1">
        <v>46169</v>
      </c>
      <c r="I8" t="s">
        <v>22</v>
      </c>
      <c r="J8" t="s">
        <v>50</v>
      </c>
      <c r="K8" s="1">
        <v>46164</v>
      </c>
      <c r="L8" s="1">
        <v>46176</v>
      </c>
      <c r="M8" t="s">
        <v>44</v>
      </c>
      <c r="N8" s="1">
        <v>46254</v>
      </c>
      <c r="O8">
        <v>724</v>
      </c>
      <c r="P8">
        <v>6</v>
      </c>
      <c r="Q8">
        <v>4</v>
      </c>
      <c r="R8">
        <v>5</v>
      </c>
      <c r="S8">
        <v>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s">
        <v>23</v>
      </c>
      <c r="AI8" t="s">
        <v>24</v>
      </c>
      <c r="AK8" t="s">
        <v>25</v>
      </c>
      <c r="AL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34</v>
      </c>
      <c r="AM8">
        <f>SUM(Rel_2026[[#This Row],[qtd_TrxContabil]:[VLR_EXP_SORTE]])</f>
        <v>742</v>
      </c>
      <c r="AN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49</v>
      </c>
    </row>
    <row r="9" spans="1:40" x14ac:dyDescent="0.3">
      <c r="A9" t="str">
        <f>IF(Rel_2026[[#This Row],[Zero]]=0,"Zero",IF(Rel_2026[[#This Row],[Pontuação]]&gt;=10,"Sim",IF(Rel_2026[[#This Row],[Pontuação]]&gt;=5,"Próximo","Não")))</f>
        <v>Não</v>
      </c>
      <c r="B9" t="str">
        <f>IF(Rel_2026[[#This Row],[Zero]]=0,"Zero",IF(Rel_2026[[#This Row],[Pontuação2]]&gt;=10,"Sim",IF(Rel_2026[[#This Row],[Pontuação2]]&gt;=5,"Próximo","Não")))</f>
        <v>Não</v>
      </c>
      <c r="C9" t="str">
        <f>LEFT(Rel_2026[[#This Row],[ag_pacb]],4)</f>
        <v>0726</v>
      </c>
      <c r="D9">
        <v>75109</v>
      </c>
      <c r="E9" t="s">
        <v>94</v>
      </c>
      <c r="F9" t="s">
        <v>130</v>
      </c>
      <c r="G9" t="s">
        <v>131</v>
      </c>
      <c r="H9" s="1">
        <v>45637</v>
      </c>
      <c r="I9" t="s">
        <v>22</v>
      </c>
      <c r="J9" t="s">
        <v>59</v>
      </c>
      <c r="K9" s="1">
        <v>45610</v>
      </c>
      <c r="L9" s="1">
        <v>45665</v>
      </c>
      <c r="M9" t="s">
        <v>44</v>
      </c>
      <c r="N9" s="1">
        <v>46253</v>
      </c>
      <c r="O9">
        <v>218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s">
        <v>26</v>
      </c>
      <c r="AI9" t="s">
        <v>24</v>
      </c>
      <c r="AK9" t="s">
        <v>25</v>
      </c>
      <c r="AL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9">
        <f>SUM(Rel_2026[[#This Row],[qtd_TrxContabil]:[VLR_EXP_SORTE]])</f>
        <v>218</v>
      </c>
      <c r="AN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0" spans="1:40" x14ac:dyDescent="0.3">
      <c r="A10" t="str">
        <f>IF(Rel_2026[[#This Row],[Zero]]=0,"Zero",IF(Rel_2026[[#This Row],[Pontuação]]&gt;=10,"Sim",IF(Rel_2026[[#This Row],[Pontuação]]&gt;=5,"Próximo","Não")))</f>
        <v>Sim</v>
      </c>
      <c r="B10" t="str">
        <f>IF(Rel_2026[[#This Row],[Zero]]=0,"Zero",IF(Rel_2026[[#This Row],[Pontuação2]]&gt;=10,"Sim",IF(Rel_2026[[#This Row],[Pontuação2]]&gt;=5,"Próximo","Não")))</f>
        <v>Sim</v>
      </c>
      <c r="C10" t="str">
        <f>LEFT(Rel_2026[[#This Row],[ag_pacb]],4)</f>
        <v>0458</v>
      </c>
      <c r="D10">
        <v>100026</v>
      </c>
      <c r="E10" t="s">
        <v>94</v>
      </c>
      <c r="F10" t="s">
        <v>75</v>
      </c>
      <c r="G10" t="s">
        <v>76</v>
      </c>
      <c r="H10" s="1">
        <v>45405</v>
      </c>
      <c r="I10" t="s">
        <v>22</v>
      </c>
      <c r="J10" t="s">
        <v>74</v>
      </c>
      <c r="K10" s="1">
        <v>42122</v>
      </c>
      <c r="L10" s="1">
        <v>45495</v>
      </c>
      <c r="M10" t="s">
        <v>45</v>
      </c>
      <c r="N10" s="1">
        <v>46254</v>
      </c>
      <c r="O10">
        <v>436</v>
      </c>
      <c r="P10">
        <v>3</v>
      </c>
      <c r="Q10">
        <v>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 t="s">
        <v>23</v>
      </c>
      <c r="AI10" t="s">
        <v>24</v>
      </c>
      <c r="AK10" t="s">
        <v>25</v>
      </c>
      <c r="AL1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18</v>
      </c>
      <c r="AM10">
        <f>SUM(Rel_2026[[#This Row],[qtd_TrxContabil]:[VLR_EXP_SORTE]])</f>
        <v>442</v>
      </c>
      <c r="AN1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18</v>
      </c>
    </row>
    <row r="11" spans="1:40" x14ac:dyDescent="0.3">
      <c r="A11" t="str">
        <f>IF(Rel_2026[[#This Row],[Zero]]=0,"Zero",IF(Rel_2026[[#This Row],[Pontuação]]&gt;=10,"Sim",IF(Rel_2026[[#This Row],[Pontuação]]&gt;=5,"Próximo","Não")))</f>
        <v>Sim</v>
      </c>
      <c r="B11" t="str">
        <f>IF(Rel_2026[[#This Row],[Zero]]=0,"Zero",IF(Rel_2026[[#This Row],[Pontuação2]]&gt;=10,"Sim",IF(Rel_2026[[#This Row],[Pontuação2]]&gt;=5,"Próximo","Não")))</f>
        <v>Sim</v>
      </c>
      <c r="C11" t="str">
        <f>LEFT(Rel_2026[[#This Row],[ag_pacb]],4)</f>
        <v>0752</v>
      </c>
      <c r="D11">
        <v>100754</v>
      </c>
      <c r="E11" t="s">
        <v>94</v>
      </c>
      <c r="F11" t="s">
        <v>60</v>
      </c>
      <c r="G11" t="s">
        <v>61</v>
      </c>
      <c r="H11" s="1">
        <v>44462</v>
      </c>
      <c r="I11" t="s">
        <v>22</v>
      </c>
      <c r="J11" t="s">
        <v>50</v>
      </c>
      <c r="K11" s="1">
        <v>42220</v>
      </c>
      <c r="L11" s="1">
        <v>45525</v>
      </c>
      <c r="M11" t="s">
        <v>44</v>
      </c>
      <c r="N11" s="1">
        <v>46254</v>
      </c>
      <c r="O11">
        <v>2854</v>
      </c>
      <c r="P11">
        <v>3</v>
      </c>
      <c r="Q11">
        <v>3</v>
      </c>
      <c r="R11">
        <v>3</v>
      </c>
      <c r="S11">
        <v>0</v>
      </c>
      <c r="T11">
        <v>1000</v>
      </c>
      <c r="U11">
        <v>1000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3</v>
      </c>
      <c r="AG11">
        <v>0</v>
      </c>
      <c r="AH11" t="s">
        <v>23</v>
      </c>
      <c r="AI11" t="s">
        <v>24</v>
      </c>
      <c r="AK11" t="s">
        <v>25</v>
      </c>
      <c r="AL1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22</v>
      </c>
      <c r="AM11">
        <f>SUM(Rel_2026[[#This Row],[qtd_TrxContabil]:[VLR_EXP_SORTE]])</f>
        <v>4866</v>
      </c>
      <c r="AN1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31</v>
      </c>
    </row>
    <row r="12" spans="1:40" x14ac:dyDescent="0.3">
      <c r="A12" t="str">
        <f>IF(Rel_2026[[#This Row],[Zero]]=0,"Zero",IF(Rel_2026[[#This Row],[Pontuação]]&gt;=10,"Sim",IF(Rel_2026[[#This Row],[Pontuação]]&gt;=5,"Próximo","Não")))</f>
        <v>Sim</v>
      </c>
      <c r="B12" t="str">
        <f>IF(Rel_2026[[#This Row],[Zero]]=0,"Zero",IF(Rel_2026[[#This Row],[Pontuação2]]&gt;=10,"Sim",IF(Rel_2026[[#This Row],[Pontuação2]]&gt;=5,"Próximo","Não")))</f>
        <v>Sim</v>
      </c>
      <c r="C12" t="str">
        <f>LEFT(Rel_2026[[#This Row],[ag_pacb]],4)</f>
        <v>0752</v>
      </c>
      <c r="D12">
        <v>133967</v>
      </c>
      <c r="E12" t="s">
        <v>94</v>
      </c>
      <c r="F12" t="s">
        <v>90</v>
      </c>
      <c r="G12" t="s">
        <v>91</v>
      </c>
      <c r="H12" s="1">
        <v>44546</v>
      </c>
      <c r="I12" t="s">
        <v>22</v>
      </c>
      <c r="J12" t="s">
        <v>55</v>
      </c>
      <c r="K12" s="1">
        <v>43797</v>
      </c>
      <c r="L12" s="1">
        <v>46160</v>
      </c>
      <c r="M12" t="s">
        <v>44</v>
      </c>
      <c r="N12" s="1">
        <v>46254</v>
      </c>
      <c r="O12">
        <v>273</v>
      </c>
      <c r="P12">
        <v>2</v>
      </c>
      <c r="Q12">
        <v>2</v>
      </c>
      <c r="R12">
        <v>2</v>
      </c>
      <c r="S12">
        <v>2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s">
        <v>23</v>
      </c>
      <c r="AI12" t="s">
        <v>24</v>
      </c>
      <c r="AK12" t="s">
        <v>25</v>
      </c>
      <c r="AL1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12">
        <f>SUM(Rel_2026[[#This Row],[qtd_TrxContabil]:[VLR_EXP_SORTE]])</f>
        <v>281</v>
      </c>
      <c r="AN1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</row>
    <row r="13" spans="1:40" x14ac:dyDescent="0.3">
      <c r="A13" t="str">
        <f>IF(Rel_2026[[#This Row],[Zero]]=0,"Zero",IF(Rel_2026[[#This Row],[Pontuação]]&gt;=10,"Sim",IF(Rel_2026[[#This Row],[Pontuação]]&gt;=5,"Próximo","Não")))</f>
        <v>Não</v>
      </c>
      <c r="B13" t="str">
        <f>IF(Rel_2026[[#This Row],[Zero]]=0,"Zero",IF(Rel_2026[[#This Row],[Pontuação2]]&gt;=10,"Sim",IF(Rel_2026[[#This Row],[Pontuação2]]&gt;=5,"Próximo","Não")))</f>
        <v>Não</v>
      </c>
      <c r="C13" t="str">
        <f>LEFT(Rel_2026[[#This Row],[ag_pacb]],4)</f>
        <v>0458</v>
      </c>
      <c r="D13">
        <v>176543</v>
      </c>
      <c r="E13" t="s">
        <v>94</v>
      </c>
      <c r="F13" t="s">
        <v>81</v>
      </c>
      <c r="G13" t="s">
        <v>82</v>
      </c>
      <c r="H13" s="1">
        <v>45427</v>
      </c>
      <c r="I13" t="s">
        <v>22</v>
      </c>
      <c r="J13" t="s">
        <v>74</v>
      </c>
      <c r="K13" s="1">
        <v>43745</v>
      </c>
      <c r="L13" s="1">
        <v>45506</v>
      </c>
      <c r="M13" t="s">
        <v>45</v>
      </c>
      <c r="N13" s="1">
        <v>46254</v>
      </c>
      <c r="O13">
        <v>406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s">
        <v>26</v>
      </c>
      <c r="AI13" t="s">
        <v>24</v>
      </c>
      <c r="AK13" t="s">
        <v>25</v>
      </c>
      <c r="AL1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3">
        <f>SUM(Rel_2026[[#This Row],[qtd_TrxContabil]:[VLR_EXP_SORTE]])</f>
        <v>406</v>
      </c>
      <c r="AN1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4" spans="1:40" x14ac:dyDescent="0.3">
      <c r="A14" t="str">
        <f>IF(Rel_2026[[#This Row],[Zero]]=0,"Zero",IF(Rel_2026[[#This Row],[Pontuação]]&gt;=10,"Sim",IF(Rel_2026[[#This Row],[Pontuação]]&gt;=5,"Próximo","Não")))</f>
        <v>Próximo</v>
      </c>
      <c r="B14" t="str">
        <f>IF(Rel_2026[[#This Row],[Zero]]=0,"Zero",IF(Rel_2026[[#This Row],[Pontuação2]]&gt;=10,"Sim",IF(Rel_2026[[#This Row],[Pontuação2]]&gt;=5,"Próximo","Não")))</f>
        <v>Sim</v>
      </c>
      <c r="C14" t="str">
        <f>LEFT(Rel_2026[[#This Row],[ag_pacb]],4)</f>
        <v>0726</v>
      </c>
      <c r="D14">
        <v>204623</v>
      </c>
      <c r="E14" t="s">
        <v>94</v>
      </c>
      <c r="F14" t="s">
        <v>85</v>
      </c>
      <c r="G14" t="s">
        <v>96</v>
      </c>
      <c r="H14" s="1">
        <v>44564</v>
      </c>
      <c r="I14" t="s">
        <v>22</v>
      </c>
      <c r="J14" t="s">
        <v>59</v>
      </c>
      <c r="K14" s="1">
        <v>44270</v>
      </c>
      <c r="L14" s="1">
        <v>46107</v>
      </c>
      <c r="M14" t="s">
        <v>44</v>
      </c>
      <c r="N14" s="1">
        <v>46254</v>
      </c>
      <c r="O14">
        <v>614</v>
      </c>
      <c r="P14">
        <v>1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s">
        <v>26</v>
      </c>
      <c r="AI14" t="s">
        <v>24</v>
      </c>
      <c r="AK14" t="s">
        <v>25</v>
      </c>
      <c r="AL1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14">
        <f>SUM(Rel_2026[[#This Row],[qtd_TrxContabil]:[VLR_EXP_SORTE]])</f>
        <v>617</v>
      </c>
      <c r="AN1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15" spans="1:40" x14ac:dyDescent="0.3">
      <c r="A15" t="str">
        <f>IF(Rel_2026[[#This Row],[Zero]]=0,"Zero",IF(Rel_2026[[#This Row],[Pontuação]]&gt;=10,"Sim",IF(Rel_2026[[#This Row],[Pontuação]]&gt;=5,"Próximo","Não")))</f>
        <v>Próximo</v>
      </c>
      <c r="B15" t="str">
        <f>IF(Rel_2026[[#This Row],[Zero]]=0,"Zero",IF(Rel_2026[[#This Row],[Pontuação2]]&gt;=10,"Sim",IF(Rel_2026[[#This Row],[Pontuação2]]&gt;=5,"Próximo","Não")))</f>
        <v>Sim</v>
      </c>
      <c r="C15" t="str">
        <f>LEFT(Rel_2026[[#This Row],[ag_pacb]],4)</f>
        <v>0458</v>
      </c>
      <c r="D15">
        <v>218083</v>
      </c>
      <c r="E15" t="s">
        <v>94</v>
      </c>
      <c r="F15" t="s">
        <v>72</v>
      </c>
      <c r="G15" t="s">
        <v>73</v>
      </c>
      <c r="H15" s="1">
        <v>45174</v>
      </c>
      <c r="I15" t="s">
        <v>22</v>
      </c>
      <c r="J15" t="s">
        <v>74</v>
      </c>
      <c r="K15" s="1">
        <v>44308</v>
      </c>
      <c r="L15" s="1">
        <v>44337</v>
      </c>
      <c r="M15" t="s">
        <v>45</v>
      </c>
      <c r="N15" s="1">
        <v>46253</v>
      </c>
      <c r="O15">
        <v>14</v>
      </c>
      <c r="P15">
        <v>1</v>
      </c>
      <c r="Q15">
        <v>1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s">
        <v>23</v>
      </c>
      <c r="AI15" t="s">
        <v>24</v>
      </c>
      <c r="AK15" t="s">
        <v>25</v>
      </c>
      <c r="AL1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15">
        <f>SUM(Rel_2026[[#This Row],[qtd_TrxContabil]:[VLR_EXP_SORTE]])</f>
        <v>17</v>
      </c>
      <c r="AN1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16" spans="1:40" x14ac:dyDescent="0.3">
      <c r="A16" t="str">
        <f>IF(Rel_2026[[#This Row],[Zero]]=0,"Zero",IF(Rel_2026[[#This Row],[Pontuação]]&gt;=10,"Sim",IF(Rel_2026[[#This Row],[Pontuação]]&gt;=5,"Próximo","Não")))</f>
        <v>Sim</v>
      </c>
      <c r="B16" t="str">
        <f>IF(Rel_2026[[#This Row],[Zero]]=0,"Zero",IF(Rel_2026[[#This Row],[Pontuação2]]&gt;=10,"Sim",IF(Rel_2026[[#This Row],[Pontuação2]]&gt;=5,"Próximo","Não")))</f>
        <v>Sim</v>
      </c>
      <c r="C16" t="str">
        <f>LEFT(Rel_2026[[#This Row],[ag_pacb]],4)</f>
        <v>0752</v>
      </c>
      <c r="D16">
        <v>221261</v>
      </c>
      <c r="E16" t="s">
        <v>94</v>
      </c>
      <c r="F16" t="s">
        <v>83</v>
      </c>
      <c r="G16" t="s">
        <v>84</v>
      </c>
      <c r="H16" s="1">
        <v>44480</v>
      </c>
      <c r="I16" t="s">
        <v>22</v>
      </c>
      <c r="J16" t="s">
        <v>55</v>
      </c>
      <c r="K16" s="1">
        <v>44439</v>
      </c>
      <c r="L16" s="1">
        <v>46248</v>
      </c>
      <c r="M16" t="s">
        <v>44</v>
      </c>
      <c r="N16" s="1">
        <v>46254</v>
      </c>
      <c r="O16">
        <v>565</v>
      </c>
      <c r="P16">
        <v>1</v>
      </c>
      <c r="Q16">
        <v>1</v>
      </c>
      <c r="R16">
        <v>1</v>
      </c>
      <c r="S16">
        <v>0</v>
      </c>
      <c r="T16">
        <v>33866</v>
      </c>
      <c r="U16">
        <v>33866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0</v>
      </c>
      <c r="AC16">
        <v>2</v>
      </c>
      <c r="AD16">
        <v>0</v>
      </c>
      <c r="AE16">
        <v>15</v>
      </c>
      <c r="AF16">
        <v>1</v>
      </c>
      <c r="AG16">
        <v>5</v>
      </c>
      <c r="AH16" t="s">
        <v>26</v>
      </c>
      <c r="AI16" t="s">
        <v>24</v>
      </c>
      <c r="AK16" t="s">
        <v>25</v>
      </c>
      <c r="AL1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61</v>
      </c>
      <c r="AM16">
        <f>SUM(Rel_2026[[#This Row],[qtd_TrxContabil]:[VLR_EXP_SORTE]])</f>
        <v>68326</v>
      </c>
      <c r="AN1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64</v>
      </c>
    </row>
    <row r="17" spans="1:40" x14ac:dyDescent="0.3">
      <c r="A17" t="str">
        <f>IF(Rel_2026[[#This Row],[Zero]]=0,"Zero",IF(Rel_2026[[#This Row],[Pontuação]]&gt;=10,"Sim",IF(Rel_2026[[#This Row],[Pontuação]]&gt;=5,"Próximo","Não")))</f>
        <v>Próximo</v>
      </c>
      <c r="B17" t="str">
        <f>IF(Rel_2026[[#This Row],[Zero]]=0,"Zero",IF(Rel_2026[[#This Row],[Pontuação2]]&gt;=10,"Sim",IF(Rel_2026[[#This Row],[Pontuação2]]&gt;=5,"Próximo","Não")))</f>
        <v>Sim</v>
      </c>
      <c r="C17" t="str">
        <f>LEFT(Rel_2026[[#This Row],[ag_pacb]],4)</f>
        <v>0726</v>
      </c>
      <c r="D17">
        <v>236683</v>
      </c>
      <c r="E17" t="s">
        <v>94</v>
      </c>
      <c r="F17" t="s">
        <v>51</v>
      </c>
      <c r="G17" t="s">
        <v>52</v>
      </c>
      <c r="H17" s="1">
        <v>45118</v>
      </c>
      <c r="I17" t="s">
        <v>22</v>
      </c>
      <c r="J17" t="s">
        <v>48</v>
      </c>
      <c r="K17" s="1">
        <v>44823</v>
      </c>
      <c r="L17" s="1">
        <v>44827</v>
      </c>
      <c r="M17" t="s">
        <v>44</v>
      </c>
      <c r="N17" s="1">
        <v>46254</v>
      </c>
      <c r="O17">
        <v>599</v>
      </c>
      <c r="P17">
        <v>1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1</v>
      </c>
      <c r="AG17">
        <v>0</v>
      </c>
      <c r="AH17" t="s">
        <v>23</v>
      </c>
      <c r="AI17" t="s">
        <v>24</v>
      </c>
      <c r="AK17" t="s">
        <v>25</v>
      </c>
      <c r="AL1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17">
        <f>SUM(Rel_2026[[#This Row],[qtd_TrxContabil]:[VLR_EXP_SORTE]])</f>
        <v>605</v>
      </c>
      <c r="AN1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18" spans="1:40" x14ac:dyDescent="0.3">
      <c r="A18" t="str">
        <f>IF(Rel_2026[[#This Row],[Zero]]=0,"Zero",IF(Rel_2026[[#This Row],[Pontuação]]&gt;=10,"Sim",IF(Rel_2026[[#This Row],[Pontuação]]&gt;=5,"Próximo","Não")))</f>
        <v>Sim</v>
      </c>
      <c r="B18" t="str">
        <f>IF(Rel_2026[[#This Row],[Zero]]=0,"Zero",IF(Rel_2026[[#This Row],[Pontuação2]]&gt;=10,"Sim",IF(Rel_2026[[#This Row],[Pontuação2]]&gt;=5,"Próximo","Não")))</f>
        <v>Sim</v>
      </c>
      <c r="C18" t="str">
        <f>LEFT(Rel_2026[[#This Row],[ag_pacb]],4)</f>
        <v>0726</v>
      </c>
      <c r="D18">
        <v>245240</v>
      </c>
      <c r="E18" t="s">
        <v>94</v>
      </c>
      <c r="F18" t="s">
        <v>116</v>
      </c>
      <c r="G18" t="s">
        <v>99</v>
      </c>
      <c r="H18" s="1">
        <v>45142</v>
      </c>
      <c r="I18" t="s">
        <v>22</v>
      </c>
      <c r="J18" t="s">
        <v>59</v>
      </c>
      <c r="K18" s="1">
        <v>45306</v>
      </c>
      <c r="L18" s="1">
        <v>45008</v>
      </c>
      <c r="M18" t="s">
        <v>44</v>
      </c>
      <c r="N18" s="1">
        <v>46254</v>
      </c>
      <c r="O18">
        <v>409</v>
      </c>
      <c r="P18">
        <v>1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300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s">
        <v>23</v>
      </c>
      <c r="AI18" t="s">
        <v>24</v>
      </c>
      <c r="AK18" t="s">
        <v>25</v>
      </c>
      <c r="AL1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  <c r="AM18">
        <f>SUM(Rel_2026[[#This Row],[qtd_TrxContabil]:[VLR_EXP_SORTE]])</f>
        <v>712</v>
      </c>
      <c r="AN1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13</v>
      </c>
    </row>
    <row r="19" spans="1:40" x14ac:dyDescent="0.3">
      <c r="A19" t="str">
        <f>IF(Rel_2026[[#This Row],[Zero]]=0,"Zero",IF(Rel_2026[[#This Row],[Pontuação]]&gt;=10,"Sim",IF(Rel_2026[[#This Row],[Pontuação]]&gt;=5,"Próximo","Não")))</f>
        <v>Sim</v>
      </c>
      <c r="B19" t="str">
        <f>IF(Rel_2026[[#This Row],[Zero]]=0,"Zero",IF(Rel_2026[[#This Row],[Pontuação2]]&gt;=10,"Sim",IF(Rel_2026[[#This Row],[Pontuação2]]&gt;=5,"Próximo","Não")))</f>
        <v>Sim</v>
      </c>
      <c r="C19" t="str">
        <f>LEFT(Rel_2026[[#This Row],[ag_pacb]],4)</f>
        <v>0726</v>
      </c>
      <c r="D19">
        <v>248018</v>
      </c>
      <c r="E19" t="s">
        <v>94</v>
      </c>
      <c r="F19" t="s">
        <v>63</v>
      </c>
      <c r="G19" t="s">
        <v>64</v>
      </c>
      <c r="H19" s="1">
        <v>45093</v>
      </c>
      <c r="I19" t="s">
        <v>22</v>
      </c>
      <c r="J19" t="s">
        <v>48</v>
      </c>
      <c r="K19" s="1">
        <v>45103</v>
      </c>
      <c r="L19" s="1">
        <v>45100</v>
      </c>
      <c r="M19" t="s">
        <v>44</v>
      </c>
      <c r="N19" s="1">
        <v>46254</v>
      </c>
      <c r="O19">
        <v>692</v>
      </c>
      <c r="P19">
        <v>8</v>
      </c>
      <c r="Q19">
        <v>8</v>
      </c>
      <c r="R19">
        <v>7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1000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6</v>
      </c>
      <c r="AG19">
        <v>0</v>
      </c>
      <c r="AH19" t="s">
        <v>23</v>
      </c>
      <c r="AI19" t="s">
        <v>24</v>
      </c>
      <c r="AK19" t="s">
        <v>25</v>
      </c>
      <c r="AL1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66</v>
      </c>
      <c r="AM19">
        <f>SUM(Rel_2026[[#This Row],[qtd_TrxContabil]:[VLR_EXP_SORTE]])</f>
        <v>1723</v>
      </c>
      <c r="AN1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87</v>
      </c>
    </row>
    <row r="20" spans="1:40" x14ac:dyDescent="0.3">
      <c r="A20" t="str">
        <f>IF(Rel_2026[[#This Row],[Zero]]=0,"Zero",IF(Rel_2026[[#This Row],[Pontuação]]&gt;=10,"Sim",IF(Rel_2026[[#This Row],[Pontuação]]&gt;=5,"Próximo","Não")))</f>
        <v>Não</v>
      </c>
      <c r="B20" t="str">
        <f>IF(Rel_2026[[#This Row],[Zero]]=0,"Zero",IF(Rel_2026[[#This Row],[Pontuação2]]&gt;=10,"Sim",IF(Rel_2026[[#This Row],[Pontuação2]]&gt;=5,"Próximo","Não")))</f>
        <v>Não</v>
      </c>
      <c r="C20" t="str">
        <f>LEFT(Rel_2026[[#This Row],[ag_pacb]],4)</f>
        <v>0726</v>
      </c>
      <c r="D20">
        <v>249697</v>
      </c>
      <c r="E20" t="s">
        <v>94</v>
      </c>
      <c r="F20" t="s">
        <v>58</v>
      </c>
      <c r="G20" t="s">
        <v>97</v>
      </c>
      <c r="H20" s="1">
        <v>45132</v>
      </c>
      <c r="I20" t="s">
        <v>22</v>
      </c>
      <c r="J20" t="s">
        <v>59</v>
      </c>
      <c r="K20" s="1">
        <v>45306</v>
      </c>
      <c r="L20" s="1">
        <v>45145</v>
      </c>
      <c r="M20" t="s">
        <v>44</v>
      </c>
      <c r="N20" s="1">
        <v>46254</v>
      </c>
      <c r="O20">
        <v>448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s">
        <v>26</v>
      </c>
      <c r="AI20" t="s">
        <v>24</v>
      </c>
      <c r="AK20" t="s">
        <v>25</v>
      </c>
      <c r="AL2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0">
        <f>SUM(Rel_2026[[#This Row],[qtd_TrxContabil]:[VLR_EXP_SORTE]])</f>
        <v>448</v>
      </c>
      <c r="AN2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1" spans="1:40" x14ac:dyDescent="0.3">
      <c r="A21" t="str">
        <f>IF(Rel_2026[[#This Row],[Zero]]=0,"Zero",IF(Rel_2026[[#This Row],[Pontuação]]&gt;=10,"Sim",IF(Rel_2026[[#This Row],[Pontuação]]&gt;=5,"Próximo","Não")))</f>
        <v>Não</v>
      </c>
      <c r="B21" t="str">
        <f>IF(Rel_2026[[#This Row],[Zero]]=0,"Zero",IF(Rel_2026[[#This Row],[Pontuação2]]&gt;=10,"Sim",IF(Rel_2026[[#This Row],[Pontuação2]]&gt;=5,"Próximo","Não")))</f>
        <v>Não</v>
      </c>
      <c r="C21" t="str">
        <f>LEFT(Rel_2026[[#This Row],[ag_pacb]],4)</f>
        <v>0726</v>
      </c>
      <c r="D21">
        <v>425048</v>
      </c>
      <c r="E21" t="s">
        <v>94</v>
      </c>
      <c r="F21" t="s">
        <v>128</v>
      </c>
      <c r="G21" t="s">
        <v>129</v>
      </c>
      <c r="H21" s="1">
        <v>46220</v>
      </c>
      <c r="I21" t="s">
        <v>22</v>
      </c>
      <c r="J21" t="s">
        <v>59</v>
      </c>
      <c r="K21" s="1">
        <v>46199</v>
      </c>
      <c r="L21" s="1">
        <v>46142</v>
      </c>
      <c r="M21" t="s">
        <v>44</v>
      </c>
      <c r="N21" s="1">
        <v>46254</v>
      </c>
      <c r="O21">
        <v>65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s">
        <v>23</v>
      </c>
      <c r="AI21" t="s">
        <v>24</v>
      </c>
      <c r="AK21" t="s">
        <v>25</v>
      </c>
      <c r="AL2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  <c r="AM21">
        <f>SUM(Rel_2026[[#This Row],[qtd_TrxContabil]:[VLR_EXP_SORTE]])</f>
        <v>66</v>
      </c>
      <c r="AN2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</row>
    <row r="22" spans="1:40" x14ac:dyDescent="0.3">
      <c r="A22" t="str">
        <f>IF(Rel_2026[[#This Row],[Zero]]=0,"Zero",IF(Rel_2026[[#This Row],[Pontuação]]&gt;=10,"Sim",IF(Rel_2026[[#This Row],[Pontuação]]&gt;=5,"Próximo","Não")))</f>
        <v>Próximo</v>
      </c>
      <c r="B22" t="str">
        <f>IF(Rel_2026[[#This Row],[Zero]]=0,"Zero",IF(Rel_2026[[#This Row],[Pontuação2]]&gt;=10,"Sim",IF(Rel_2026[[#This Row],[Pontuação2]]&gt;=5,"Próximo","Não")))</f>
        <v>Sim</v>
      </c>
      <c r="C22" t="str">
        <f>LEFT(Rel_2026[[#This Row],[ag_pacb]],4)</f>
        <v>0726</v>
      </c>
      <c r="D22">
        <v>406215</v>
      </c>
      <c r="E22" t="s">
        <v>94</v>
      </c>
      <c r="F22" t="s">
        <v>62</v>
      </c>
      <c r="G22" t="s">
        <v>101</v>
      </c>
      <c r="H22" s="1">
        <v>45559</v>
      </c>
      <c r="I22" t="s">
        <v>22</v>
      </c>
      <c r="J22" t="s">
        <v>59</v>
      </c>
      <c r="K22" s="1">
        <v>45547</v>
      </c>
      <c r="L22" s="1">
        <v>45573</v>
      </c>
      <c r="M22" t="s">
        <v>44</v>
      </c>
      <c r="N22" s="1">
        <v>46254</v>
      </c>
      <c r="O22">
        <v>249</v>
      </c>
      <c r="P22">
        <v>1</v>
      </c>
      <c r="Q22">
        <v>1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s">
        <v>23</v>
      </c>
      <c r="AI22" t="s">
        <v>24</v>
      </c>
      <c r="AK22" t="s">
        <v>25</v>
      </c>
      <c r="AL2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22">
        <f>SUM(Rel_2026[[#This Row],[qtd_TrxContabil]:[VLR_EXP_SORTE]])</f>
        <v>252</v>
      </c>
      <c r="AN2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23" spans="1:40" x14ac:dyDescent="0.3">
      <c r="A23" t="str">
        <f>IF(Rel_2026[[#This Row],[Zero]]=0,"Zero",IF(Rel_2026[[#This Row],[Pontuação]]&gt;=10,"Sim",IF(Rel_2026[[#This Row],[Pontuação]]&gt;=5,"Próximo","Não")))</f>
        <v>Sim</v>
      </c>
      <c r="B23" t="str">
        <f>IF(Rel_2026[[#This Row],[Zero]]=0,"Zero",IF(Rel_2026[[#This Row],[Pontuação2]]&gt;=10,"Sim",IF(Rel_2026[[#This Row],[Pontuação2]]&gt;=5,"Próximo","Não")))</f>
        <v>Sim</v>
      </c>
      <c r="C23" t="str">
        <f>LEFT(Rel_2026[[#This Row],[ag_pacb]],4)</f>
        <v>0726</v>
      </c>
      <c r="D23">
        <v>407090</v>
      </c>
      <c r="E23" t="s">
        <v>94</v>
      </c>
      <c r="F23" t="s">
        <v>46</v>
      </c>
      <c r="G23" t="s">
        <v>47</v>
      </c>
      <c r="H23" s="1">
        <v>45653</v>
      </c>
      <c r="I23" t="s">
        <v>22</v>
      </c>
      <c r="J23" t="s">
        <v>48</v>
      </c>
      <c r="K23" s="1">
        <v>45584</v>
      </c>
      <c r="L23" s="1">
        <v>45755</v>
      </c>
      <c r="M23" t="s">
        <v>44</v>
      </c>
      <c r="N23" s="1">
        <v>46254</v>
      </c>
      <c r="O23">
        <v>1743</v>
      </c>
      <c r="P23">
        <v>4</v>
      </c>
      <c r="Q23">
        <v>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2</v>
      </c>
      <c r="AG23">
        <v>0</v>
      </c>
      <c r="AH23" t="s">
        <v>23</v>
      </c>
      <c r="AI23" t="s">
        <v>24</v>
      </c>
      <c r="AK23" t="s">
        <v>25</v>
      </c>
      <c r="AL2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24</v>
      </c>
      <c r="AM23">
        <f>SUM(Rel_2026[[#This Row],[qtd_TrxContabil]:[VLR_EXP_SORTE]])</f>
        <v>1752</v>
      </c>
      <c r="AN2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24</v>
      </c>
    </row>
    <row r="24" spans="1:40" x14ac:dyDescent="0.3">
      <c r="A24" t="str">
        <f>IF(Rel_2026[[#This Row],[Zero]]=0,"Zero",IF(Rel_2026[[#This Row],[Pontuação]]&gt;=10,"Sim",IF(Rel_2026[[#This Row],[Pontuação]]&gt;=5,"Próximo","Não")))</f>
        <v>Não</v>
      </c>
      <c r="B24" t="str">
        <f>IF(Rel_2026[[#This Row],[Zero]]=0,"Zero",IF(Rel_2026[[#This Row],[Pontuação2]]&gt;=10,"Sim",IF(Rel_2026[[#This Row],[Pontuação2]]&gt;=5,"Próximo","Não")))</f>
        <v>Não</v>
      </c>
      <c r="C24" t="str">
        <f>LEFT(Rel_2026[[#This Row],[ag_pacb]],4)</f>
        <v>0726</v>
      </c>
      <c r="D24">
        <v>415088</v>
      </c>
      <c r="E24" t="s">
        <v>94</v>
      </c>
      <c r="F24" t="s">
        <v>104</v>
      </c>
      <c r="G24" t="s">
        <v>105</v>
      </c>
      <c r="H24" s="1">
        <v>45867</v>
      </c>
      <c r="I24" t="s">
        <v>22</v>
      </c>
      <c r="J24" t="s">
        <v>59</v>
      </c>
      <c r="K24" s="1">
        <v>45862</v>
      </c>
      <c r="L24" s="1">
        <v>46163</v>
      </c>
      <c r="M24" t="s">
        <v>44</v>
      </c>
      <c r="N24" s="1">
        <v>46254</v>
      </c>
      <c r="O24">
        <v>242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s">
        <v>26</v>
      </c>
      <c r="AI24" t="s">
        <v>24</v>
      </c>
      <c r="AK24" t="s">
        <v>25</v>
      </c>
      <c r="AL2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4">
        <f>SUM(Rel_2026[[#This Row],[qtd_TrxContabil]:[VLR_EXP_SORTE]])</f>
        <v>242</v>
      </c>
      <c r="AN2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5" spans="1:40" x14ac:dyDescent="0.3">
      <c r="A25" t="str">
        <f>IF(Rel_2026[[#This Row],[Zero]]=0,"Zero",IF(Rel_2026[[#This Row],[Pontuação]]&gt;=10,"Sim",IF(Rel_2026[[#This Row],[Pontuação]]&gt;=5,"Próximo","Não")))</f>
        <v>Não</v>
      </c>
      <c r="B25" t="str">
        <f>IF(Rel_2026[[#This Row],[Zero]]=0,"Zero",IF(Rel_2026[[#This Row],[Pontuação2]]&gt;=10,"Sim",IF(Rel_2026[[#This Row],[Pontuação2]]&gt;=5,"Próximo","Não")))</f>
        <v>Não</v>
      </c>
      <c r="C25" t="str">
        <f>LEFT(Rel_2026[[#This Row],[ag_pacb]],4)</f>
        <v>0726</v>
      </c>
      <c r="D25">
        <v>415731</v>
      </c>
      <c r="E25" t="s">
        <v>94</v>
      </c>
      <c r="F25" t="s">
        <v>67</v>
      </c>
      <c r="G25" t="s">
        <v>100</v>
      </c>
      <c r="H25" s="1">
        <v>45890</v>
      </c>
      <c r="I25" t="s">
        <v>22</v>
      </c>
      <c r="J25" t="s">
        <v>59</v>
      </c>
      <c r="K25" s="1">
        <v>45881</v>
      </c>
      <c r="L25" s="1">
        <v>45953</v>
      </c>
      <c r="M25" t="s">
        <v>44</v>
      </c>
      <c r="N25" s="1">
        <v>46254</v>
      </c>
      <c r="O25">
        <v>559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s">
        <v>26</v>
      </c>
      <c r="AI25" t="s">
        <v>24</v>
      </c>
      <c r="AK25" t="s">
        <v>25</v>
      </c>
      <c r="AL2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5">
        <f>SUM(Rel_2026[[#This Row],[qtd_TrxContabil]:[VLR_EXP_SORTE]])</f>
        <v>559</v>
      </c>
      <c r="AN2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6" spans="1:40" x14ac:dyDescent="0.3">
      <c r="A26" t="str">
        <f>IF(Rel_2026[[#This Row],[Zero]]=0,"Zero",IF(Rel_2026[[#This Row],[Pontuação]]&gt;=10,"Sim",IF(Rel_2026[[#This Row],[Pontuação]]&gt;=5,"Próximo","Não")))</f>
        <v>Não</v>
      </c>
      <c r="B26" t="str">
        <f>IF(Rel_2026[[#This Row],[Zero]]=0,"Zero",IF(Rel_2026[[#This Row],[Pontuação2]]&gt;=10,"Sim",IF(Rel_2026[[#This Row],[Pontuação2]]&gt;=5,"Próximo","Não")))</f>
        <v>Não</v>
      </c>
      <c r="C26" t="str">
        <f>LEFT(Rel_2026[[#This Row],[ag_pacb]],4)</f>
        <v>0752</v>
      </c>
      <c r="D26">
        <v>416512</v>
      </c>
      <c r="E26" t="s">
        <v>94</v>
      </c>
      <c r="F26" t="s">
        <v>68</v>
      </c>
      <c r="G26" t="s">
        <v>69</v>
      </c>
      <c r="H26" s="1">
        <v>45906</v>
      </c>
      <c r="I26" t="s">
        <v>22</v>
      </c>
      <c r="J26" t="s">
        <v>50</v>
      </c>
      <c r="K26" s="1">
        <v>45897</v>
      </c>
      <c r="L26" s="1">
        <v>45946</v>
      </c>
      <c r="M26" t="s">
        <v>44</v>
      </c>
      <c r="N26" s="1">
        <v>46254</v>
      </c>
      <c r="O26">
        <v>297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s">
        <v>26</v>
      </c>
      <c r="AI26" t="s">
        <v>24</v>
      </c>
      <c r="AK26" t="s">
        <v>25</v>
      </c>
      <c r="AL2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6">
        <f>SUM(Rel_2026[[#This Row],[qtd_TrxContabil]:[VLR_EXP_SORTE]])</f>
        <v>297</v>
      </c>
      <c r="AN2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7" spans="1:40" x14ac:dyDescent="0.3">
      <c r="A27" t="str">
        <f>IF(Rel_2026[[#This Row],[Zero]]=0,"Zero",IF(Rel_2026[[#This Row],[Pontuação]]&gt;=10,"Sim",IF(Rel_2026[[#This Row],[Pontuação]]&gt;=5,"Próximo","Não")))</f>
        <v>Sim</v>
      </c>
      <c r="B27" t="str">
        <f>IF(Rel_2026[[#This Row],[Zero]]=0,"Zero",IF(Rel_2026[[#This Row],[Pontuação2]]&gt;=10,"Sim",IF(Rel_2026[[#This Row],[Pontuação2]]&gt;=5,"Próximo","Não")))</f>
        <v>Sim</v>
      </c>
      <c r="C27" t="str">
        <f>LEFT(Rel_2026[[#This Row],[ag_pacb]],4)</f>
        <v>0752</v>
      </c>
      <c r="D27">
        <v>417735</v>
      </c>
      <c r="E27" t="s">
        <v>94</v>
      </c>
      <c r="F27" t="s">
        <v>88</v>
      </c>
      <c r="G27" t="s">
        <v>89</v>
      </c>
      <c r="H27" s="1">
        <v>45924</v>
      </c>
      <c r="I27" t="s">
        <v>22</v>
      </c>
      <c r="J27" t="s">
        <v>50</v>
      </c>
      <c r="K27" s="1">
        <v>45917</v>
      </c>
      <c r="L27" s="1">
        <v>45519</v>
      </c>
      <c r="M27" t="s">
        <v>44</v>
      </c>
      <c r="N27" s="1">
        <v>46254</v>
      </c>
      <c r="O27">
        <v>2279</v>
      </c>
      <c r="P27">
        <v>8</v>
      </c>
      <c r="Q27">
        <v>8</v>
      </c>
      <c r="R27">
        <v>7</v>
      </c>
      <c r="S27">
        <v>0</v>
      </c>
      <c r="T27">
        <v>32928</v>
      </c>
      <c r="U27">
        <v>32928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3</v>
      </c>
      <c r="AF27">
        <v>8</v>
      </c>
      <c r="AG27">
        <v>0</v>
      </c>
      <c r="AH27" t="s">
        <v>26</v>
      </c>
      <c r="AI27" t="s">
        <v>24</v>
      </c>
      <c r="AK27" t="s">
        <v>25</v>
      </c>
      <c r="AL2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92</v>
      </c>
      <c r="AM27">
        <f>SUM(Rel_2026[[#This Row],[qtd_TrxContabil]:[VLR_EXP_SORTE]])</f>
        <v>68169</v>
      </c>
      <c r="AN2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113</v>
      </c>
    </row>
    <row r="28" spans="1:40" x14ac:dyDescent="0.3">
      <c r="A28" t="str">
        <f>IF(Rel_2026[[#This Row],[Zero]]=0,"Zero",IF(Rel_2026[[#This Row],[Pontuação]]&gt;=10,"Sim",IF(Rel_2026[[#This Row],[Pontuação]]&gt;=5,"Próximo","Não")))</f>
        <v>Sim</v>
      </c>
      <c r="B28" t="str">
        <f>IF(Rel_2026[[#This Row],[Zero]]=0,"Zero",IF(Rel_2026[[#This Row],[Pontuação2]]&gt;=10,"Sim",IF(Rel_2026[[#This Row],[Pontuação2]]&gt;=5,"Próximo","Não")))</f>
        <v>Sim</v>
      </c>
      <c r="C28" t="str">
        <f>LEFT(Rel_2026[[#This Row],[ag_pacb]],4)</f>
        <v>0726</v>
      </c>
      <c r="D28">
        <v>418015</v>
      </c>
      <c r="E28" t="s">
        <v>94</v>
      </c>
      <c r="F28" t="s">
        <v>65</v>
      </c>
      <c r="G28" t="s">
        <v>66</v>
      </c>
      <c r="H28" s="1">
        <v>45927</v>
      </c>
      <c r="I28" t="s">
        <v>22</v>
      </c>
      <c r="J28" t="s">
        <v>48</v>
      </c>
      <c r="K28" s="1">
        <v>45923</v>
      </c>
      <c r="L28" s="1">
        <v>45939</v>
      </c>
      <c r="M28" t="s">
        <v>44</v>
      </c>
      <c r="N28" s="1">
        <v>46254</v>
      </c>
      <c r="O28">
        <v>182</v>
      </c>
      <c r="P28">
        <v>9</v>
      </c>
      <c r="Q28">
        <v>1</v>
      </c>
      <c r="R28">
        <v>9</v>
      </c>
      <c r="S28">
        <v>1</v>
      </c>
      <c r="T28">
        <v>37869</v>
      </c>
      <c r="U28">
        <v>37869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1</v>
      </c>
      <c r="AF28">
        <v>9</v>
      </c>
      <c r="AG28">
        <v>0</v>
      </c>
      <c r="AH28" t="s">
        <v>23</v>
      </c>
      <c r="AI28" t="s">
        <v>24</v>
      </c>
      <c r="AK28" t="s">
        <v>25</v>
      </c>
      <c r="AL2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70</v>
      </c>
      <c r="AM28">
        <f>SUM(Rel_2026[[#This Row],[qtd_TrxContabil]:[VLR_EXP_SORTE]])</f>
        <v>75951</v>
      </c>
      <c r="AN2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97</v>
      </c>
    </row>
    <row r="29" spans="1:40" x14ac:dyDescent="0.3">
      <c r="A29" t="str">
        <f>IF(Rel_2026[[#This Row],[Zero]]=0,"Zero",IF(Rel_2026[[#This Row],[Pontuação]]&gt;=10,"Sim",IF(Rel_2026[[#This Row],[Pontuação]]&gt;=5,"Próximo","Não")))</f>
        <v>Sim</v>
      </c>
      <c r="B29" t="str">
        <f>IF(Rel_2026[[#This Row],[Zero]]=0,"Zero",IF(Rel_2026[[#This Row],[Pontuação2]]&gt;=10,"Sim",IF(Rel_2026[[#This Row],[Pontuação2]]&gt;=5,"Próximo","Não")))</f>
        <v>Sim</v>
      </c>
      <c r="C29" t="str">
        <f>LEFT(Rel_2026[[#This Row],[ag_pacb]],4)</f>
        <v>0752</v>
      </c>
      <c r="D29">
        <v>419250</v>
      </c>
      <c r="E29" t="s">
        <v>94</v>
      </c>
      <c r="F29" t="s">
        <v>56</v>
      </c>
      <c r="G29" t="s">
        <v>57</v>
      </c>
      <c r="H29" s="1">
        <v>45986</v>
      </c>
      <c r="I29" t="s">
        <v>22</v>
      </c>
      <c r="J29" t="s">
        <v>50</v>
      </c>
      <c r="K29" s="1">
        <v>45958</v>
      </c>
      <c r="L29" s="1">
        <v>45995</v>
      </c>
      <c r="M29" t="s">
        <v>44</v>
      </c>
      <c r="N29" s="1">
        <v>46254</v>
      </c>
      <c r="O29">
        <v>185</v>
      </c>
      <c r="P29">
        <v>3</v>
      </c>
      <c r="Q29">
        <v>3</v>
      </c>
      <c r="R29">
        <v>3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2</v>
      </c>
      <c r="AG29">
        <v>0</v>
      </c>
      <c r="AH29" t="s">
        <v>23</v>
      </c>
      <c r="AI29" t="s">
        <v>24</v>
      </c>
      <c r="AK29" t="s">
        <v>25</v>
      </c>
      <c r="AL2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21</v>
      </c>
      <c r="AM29">
        <f>SUM(Rel_2026[[#This Row],[qtd_TrxContabil]:[VLR_EXP_SORTE]])</f>
        <v>196</v>
      </c>
      <c r="AN2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30</v>
      </c>
    </row>
    <row r="30" spans="1:40" x14ac:dyDescent="0.3">
      <c r="A30" t="str">
        <f>IF(Rel_2026[[#This Row],[Zero]]=0,"Zero",IF(Rel_2026[[#This Row],[Pontuação]]&gt;=10,"Sim",IF(Rel_2026[[#This Row],[Pontuação]]&gt;=5,"Próximo","Não")))</f>
        <v>Zero</v>
      </c>
      <c r="B30" t="str">
        <f>IF(Rel_2026[[#This Row],[Zero]]=0,"Zero",IF(Rel_2026[[#This Row],[Pontuação2]]&gt;=10,"Sim",IF(Rel_2026[[#This Row],[Pontuação2]]&gt;=5,"Próximo","Não")))</f>
        <v>Zero</v>
      </c>
      <c r="C30" t="str">
        <f>LEFT(Rel_2026[[#This Row],[ag_pacb]],4)</f>
        <v>0752</v>
      </c>
      <c r="D30">
        <v>423506</v>
      </c>
      <c r="E30" t="s">
        <v>94</v>
      </c>
      <c r="F30" t="s">
        <v>117</v>
      </c>
      <c r="G30" t="s">
        <v>118</v>
      </c>
      <c r="H30" s="1">
        <v>46128</v>
      </c>
      <c r="I30" t="s">
        <v>22</v>
      </c>
      <c r="J30" t="s">
        <v>55</v>
      </c>
      <c r="K30" s="1">
        <v>46122</v>
      </c>
      <c r="L30" s="1">
        <v>46160</v>
      </c>
      <c r="M30" t="s">
        <v>44</v>
      </c>
      <c r="N30" s="1">
        <v>46233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s">
        <v>23</v>
      </c>
      <c r="AI30" t="s">
        <v>24</v>
      </c>
      <c r="AK30" t="s">
        <v>25</v>
      </c>
      <c r="AL3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0">
        <f>SUM(Rel_2026[[#This Row],[qtd_TrxContabil]:[VLR_EXP_SORTE]])</f>
        <v>0</v>
      </c>
      <c r="AN3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1" spans="1:40" x14ac:dyDescent="0.3">
      <c r="A31" t="str">
        <f>IF(Rel_2026[[#This Row],[Zero]]=0,"Zero",IF(Rel_2026[[#This Row],[Pontuação]]&gt;=10,"Sim",IF(Rel_2026[[#This Row],[Pontuação]]&gt;=5,"Próximo","Não")))</f>
        <v>Não</v>
      </c>
      <c r="B31" t="str">
        <f>IF(Rel_2026[[#This Row],[Zero]]=0,"Zero",IF(Rel_2026[[#This Row],[Pontuação2]]&gt;=10,"Sim",IF(Rel_2026[[#This Row],[Pontuação2]]&gt;=5,"Próximo","Não")))</f>
        <v>Próximo</v>
      </c>
      <c r="C31" t="str">
        <f>LEFT(Rel_2026[[#This Row],[ag_pacb]],4)</f>
        <v>0726</v>
      </c>
      <c r="D31">
        <v>419816</v>
      </c>
      <c r="E31" t="s">
        <v>94</v>
      </c>
      <c r="F31" t="s">
        <v>86</v>
      </c>
      <c r="G31" t="s">
        <v>87</v>
      </c>
      <c r="H31" s="1">
        <v>46006</v>
      </c>
      <c r="I31" t="s">
        <v>22</v>
      </c>
      <c r="J31" t="s">
        <v>48</v>
      </c>
      <c r="K31" s="1">
        <v>45985</v>
      </c>
      <c r="L31" s="1">
        <v>46049</v>
      </c>
      <c r="M31" t="s">
        <v>44</v>
      </c>
      <c r="N31" s="1">
        <v>46240</v>
      </c>
      <c r="O31">
        <v>0</v>
      </c>
      <c r="P31">
        <v>1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 t="s">
        <v>23</v>
      </c>
      <c r="AI31" t="s">
        <v>24</v>
      </c>
      <c r="AK31" t="s">
        <v>25</v>
      </c>
      <c r="AL3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  <c r="AM31">
        <f>SUM(Rel_2026[[#This Row],[qtd_TrxContabil]:[VLR_EXP_SORTE]])</f>
        <v>3</v>
      </c>
      <c r="AN3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</v>
      </c>
    </row>
    <row r="32" spans="1:40" x14ac:dyDescent="0.3">
      <c r="A32" t="str">
        <f>IF(Rel_2026[[#This Row],[Zero]]=0,"Zero",IF(Rel_2026[[#This Row],[Pontuação]]&gt;=10,"Sim",IF(Rel_2026[[#This Row],[Pontuação]]&gt;=5,"Próximo","Não")))</f>
        <v>Não</v>
      </c>
      <c r="B32" t="str">
        <f>IF(Rel_2026[[#This Row],[Zero]]=0,"Zero",IF(Rel_2026[[#This Row],[Pontuação2]]&gt;=10,"Sim",IF(Rel_2026[[#This Row],[Pontuação2]]&gt;=5,"Próximo","Não")))</f>
        <v>Não</v>
      </c>
      <c r="C32" t="str">
        <f>LEFT(Rel_2026[[#This Row],[ag_pacb]],4)</f>
        <v>0726</v>
      </c>
      <c r="D32">
        <v>420262</v>
      </c>
      <c r="E32" t="s">
        <v>94</v>
      </c>
      <c r="F32" t="s">
        <v>122</v>
      </c>
      <c r="G32" t="s">
        <v>123</v>
      </c>
      <c r="H32" s="1">
        <v>46014</v>
      </c>
      <c r="I32" t="s">
        <v>22</v>
      </c>
      <c r="J32" t="s">
        <v>59</v>
      </c>
      <c r="K32" s="1">
        <v>46007</v>
      </c>
      <c r="L32" s="1">
        <v>46163</v>
      </c>
      <c r="M32" t="s">
        <v>44</v>
      </c>
      <c r="N32" s="1">
        <v>46254</v>
      </c>
      <c r="O32">
        <v>57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s">
        <v>23</v>
      </c>
      <c r="AI32" t="s">
        <v>24</v>
      </c>
      <c r="AK32" t="s">
        <v>25</v>
      </c>
      <c r="AL3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2">
        <f>SUM(Rel_2026[[#This Row],[qtd_TrxContabil]:[VLR_EXP_SORTE]])</f>
        <v>57</v>
      </c>
      <c r="AN3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3" spans="1:40" x14ac:dyDescent="0.3">
      <c r="A33" t="str">
        <f>IF(Rel_2026[[#This Row],[Zero]]=0,"Zero",IF(Rel_2026[[#This Row],[Pontuação]]&gt;=10,"Sim",IF(Rel_2026[[#This Row],[Pontuação]]&gt;=5,"Próximo","Não")))</f>
        <v>Sim</v>
      </c>
      <c r="B33" t="str">
        <f>IF(Rel_2026[[#This Row],[Zero]]=0,"Zero",IF(Rel_2026[[#This Row],[Pontuação2]]&gt;=10,"Sim",IF(Rel_2026[[#This Row],[Pontuação2]]&gt;=5,"Próximo","Não")))</f>
        <v>Sim</v>
      </c>
      <c r="C33" t="str">
        <f>LEFT(Rel_2026[[#This Row],[ag_pacb]],4)</f>
        <v>0752</v>
      </c>
      <c r="D33">
        <v>403515</v>
      </c>
      <c r="E33" t="s">
        <v>94</v>
      </c>
      <c r="F33" t="s">
        <v>92</v>
      </c>
      <c r="G33" t="s">
        <v>93</v>
      </c>
      <c r="H33" s="1">
        <v>45912</v>
      </c>
      <c r="I33" t="s">
        <v>22</v>
      </c>
      <c r="J33" t="s">
        <v>50</v>
      </c>
      <c r="K33" s="1">
        <v>45441</v>
      </c>
      <c r="L33" s="1">
        <v>45946</v>
      </c>
      <c r="M33" t="s">
        <v>44</v>
      </c>
      <c r="N33" s="1">
        <v>46254</v>
      </c>
      <c r="O33">
        <v>88</v>
      </c>
      <c r="P33">
        <v>3</v>
      </c>
      <c r="Q33">
        <v>3</v>
      </c>
      <c r="R33">
        <v>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s">
        <v>23</v>
      </c>
      <c r="AI33" t="s">
        <v>24</v>
      </c>
      <c r="AK33" t="s">
        <v>25</v>
      </c>
      <c r="AL3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21</v>
      </c>
      <c r="AM33">
        <f>SUM(Rel_2026[[#This Row],[qtd_TrxContabil]:[VLR_EXP_SORTE]])</f>
        <v>97</v>
      </c>
      <c r="AN3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30</v>
      </c>
    </row>
    <row r="34" spans="1:40" x14ac:dyDescent="0.3">
      <c r="A34" t="str">
        <f>IF(Rel_2026[[#This Row],[Zero]]=0,"Zero",IF(Rel_2026[[#This Row],[Pontuação]]&gt;=10,"Sim",IF(Rel_2026[[#This Row],[Pontuação]]&gt;=5,"Próximo","Não")))</f>
        <v>Próximo</v>
      </c>
      <c r="B34" t="str">
        <f>IF(Rel_2026[[#This Row],[Zero]]=0,"Zero",IF(Rel_2026[[#This Row],[Pontuação2]]&gt;=10,"Sim",IF(Rel_2026[[#This Row],[Pontuação2]]&gt;=5,"Próximo","Não")))</f>
        <v>Sim</v>
      </c>
      <c r="C34" t="str">
        <f>LEFT(Rel_2026[[#This Row],[ag_pacb]],4)</f>
        <v>0726</v>
      </c>
      <c r="D34">
        <v>422116</v>
      </c>
      <c r="E34" t="s">
        <v>94</v>
      </c>
      <c r="F34" t="s">
        <v>70</v>
      </c>
      <c r="G34" t="s">
        <v>71</v>
      </c>
      <c r="H34" s="1">
        <v>46050</v>
      </c>
      <c r="I34" t="s">
        <v>22</v>
      </c>
      <c r="J34" t="s">
        <v>48</v>
      </c>
      <c r="K34" s="1">
        <v>46046</v>
      </c>
      <c r="L34" s="1">
        <v>46059</v>
      </c>
      <c r="M34" t="s">
        <v>44</v>
      </c>
      <c r="N34" s="1">
        <v>46254</v>
      </c>
      <c r="O34">
        <v>42</v>
      </c>
      <c r="P34">
        <v>1</v>
      </c>
      <c r="Q34">
        <v>1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s">
        <v>23</v>
      </c>
      <c r="AI34" t="s">
        <v>24</v>
      </c>
      <c r="AK34" t="s">
        <v>25</v>
      </c>
      <c r="AL3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34">
        <f>SUM(Rel_2026[[#This Row],[qtd_TrxContabil]:[VLR_EXP_SORTE]])</f>
        <v>45</v>
      </c>
      <c r="AN3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35" spans="1:40" x14ac:dyDescent="0.3">
      <c r="A35" t="str">
        <f>IF(Rel_2026[[#This Row],[Zero]]=0,"Zero",IF(Rel_2026[[#This Row],[Pontuação]]&gt;=10,"Sim",IF(Rel_2026[[#This Row],[Pontuação]]&gt;=5,"Próximo","Não")))</f>
        <v>Sim</v>
      </c>
      <c r="B35" t="str">
        <f>IF(Rel_2026[[#This Row],[Zero]]=0,"Zero",IF(Rel_2026[[#This Row],[Pontuação2]]&gt;=10,"Sim",IF(Rel_2026[[#This Row],[Pontuação2]]&gt;=5,"Próximo","Não")))</f>
        <v>Sim</v>
      </c>
      <c r="C35" t="str">
        <f>LEFT(Rel_2026[[#This Row],[ag_pacb]],4)</f>
        <v>0752</v>
      </c>
      <c r="D35">
        <v>239577</v>
      </c>
      <c r="E35" t="s">
        <v>94</v>
      </c>
      <c r="F35" t="s">
        <v>132</v>
      </c>
      <c r="G35" t="s">
        <v>133</v>
      </c>
      <c r="H35" s="1">
        <v>46169</v>
      </c>
      <c r="I35" t="s">
        <v>22</v>
      </c>
      <c r="J35" t="s">
        <v>134</v>
      </c>
      <c r="K35" s="1">
        <v>45306</v>
      </c>
      <c r="L35" s="1">
        <v>46184</v>
      </c>
      <c r="M35" t="s">
        <v>44</v>
      </c>
      <c r="N35" s="1">
        <v>46254</v>
      </c>
      <c r="O35">
        <v>1075</v>
      </c>
      <c r="P35">
        <v>1</v>
      </c>
      <c r="Q35">
        <v>1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5262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s">
        <v>23</v>
      </c>
      <c r="AI35" t="s">
        <v>24</v>
      </c>
      <c r="AK35" t="s">
        <v>25</v>
      </c>
      <c r="AL3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18</v>
      </c>
      <c r="AM35">
        <f>SUM(Rel_2026[[#This Row],[qtd_TrxContabil]:[VLR_EXP_SORTE]])</f>
        <v>6340</v>
      </c>
      <c r="AN3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21</v>
      </c>
    </row>
    <row r="36" spans="1:40" x14ac:dyDescent="0.3">
      <c r="A36" t="str">
        <f>IF(Rel_2026[[#This Row],[Zero]]=0,"Zero",IF(Rel_2026[[#This Row],[Pontuação]]&gt;=10,"Sim",IF(Rel_2026[[#This Row],[Pontuação]]&gt;=5,"Próximo","Não")))</f>
        <v>Sim</v>
      </c>
      <c r="B36" t="str">
        <f>IF(Rel_2026[[#This Row],[Zero]]=0,"Zero",IF(Rel_2026[[#This Row],[Pontuação2]]&gt;=10,"Sim",IF(Rel_2026[[#This Row],[Pontuação2]]&gt;=5,"Próximo","Não")))</f>
        <v>Sim</v>
      </c>
      <c r="C36" t="str">
        <f>LEFT(Rel_2026[[#This Row],[ag_pacb]],4)</f>
        <v>0752</v>
      </c>
      <c r="D36">
        <v>423001</v>
      </c>
      <c r="E36" t="s">
        <v>94</v>
      </c>
      <c r="F36" t="s">
        <v>111</v>
      </c>
      <c r="G36" t="s">
        <v>112</v>
      </c>
      <c r="H36" s="1">
        <v>46101</v>
      </c>
      <c r="I36" t="s">
        <v>22</v>
      </c>
      <c r="J36" t="s">
        <v>55</v>
      </c>
      <c r="K36" s="1">
        <v>46098</v>
      </c>
      <c r="L36" s="1">
        <v>46112</v>
      </c>
      <c r="M36" t="s">
        <v>44</v>
      </c>
      <c r="N36" s="1">
        <v>46254</v>
      </c>
      <c r="O36">
        <v>91</v>
      </c>
      <c r="P36">
        <v>8</v>
      </c>
      <c r="Q36">
        <v>3</v>
      </c>
      <c r="R36">
        <v>6</v>
      </c>
      <c r="S36">
        <v>3</v>
      </c>
      <c r="T36">
        <v>5027</v>
      </c>
      <c r="U36">
        <v>5027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4</v>
      </c>
      <c r="AC36">
        <v>0</v>
      </c>
      <c r="AD36">
        <v>0</v>
      </c>
      <c r="AE36">
        <v>0</v>
      </c>
      <c r="AF36">
        <v>8</v>
      </c>
      <c r="AG36">
        <v>0</v>
      </c>
      <c r="AH36" t="s">
        <v>23</v>
      </c>
      <c r="AI36" t="s">
        <v>24</v>
      </c>
      <c r="AK36" t="s">
        <v>25</v>
      </c>
      <c r="AL3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41</v>
      </c>
      <c r="AM36">
        <f>SUM(Rel_2026[[#This Row],[qtd_TrxContabil]:[VLR_EXP_SORTE]])</f>
        <v>10177</v>
      </c>
      <c r="AN3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59</v>
      </c>
    </row>
    <row r="37" spans="1:40" x14ac:dyDescent="0.3">
      <c r="A37" t="str">
        <f>IF(Rel_2026[[#This Row],[Zero]]=0,"Zero",IF(Rel_2026[[#This Row],[Pontuação]]&gt;=10,"Sim",IF(Rel_2026[[#This Row],[Pontuação]]&gt;=5,"Próximo","Não")))</f>
        <v>Próximo</v>
      </c>
      <c r="B37" t="str">
        <f>IF(Rel_2026[[#This Row],[Zero]]=0,"Zero",IF(Rel_2026[[#This Row],[Pontuação2]]&gt;=10,"Sim",IF(Rel_2026[[#This Row],[Pontuação2]]&gt;=5,"Próximo","Não")))</f>
        <v>Sim</v>
      </c>
      <c r="C37" t="str">
        <f>LEFT(Rel_2026[[#This Row],[ag_pacb]],4)</f>
        <v>0726</v>
      </c>
      <c r="D37">
        <v>425001</v>
      </c>
      <c r="E37" t="s">
        <v>94</v>
      </c>
      <c r="F37" t="s">
        <v>126</v>
      </c>
      <c r="G37" t="s">
        <v>127</v>
      </c>
      <c r="H37" s="1">
        <v>46203</v>
      </c>
      <c r="I37" t="s">
        <v>22</v>
      </c>
      <c r="J37" t="s">
        <v>48</v>
      </c>
      <c r="K37" s="1">
        <v>46198</v>
      </c>
      <c r="L37" s="1">
        <v>46246</v>
      </c>
      <c r="M37" t="s">
        <v>44</v>
      </c>
      <c r="N37" s="1">
        <v>46246</v>
      </c>
      <c r="O37">
        <v>1</v>
      </c>
      <c r="P37">
        <v>1</v>
      </c>
      <c r="Q37">
        <v>1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s">
        <v>23</v>
      </c>
      <c r="AI37" t="s">
        <v>24</v>
      </c>
      <c r="AK37" t="s">
        <v>25</v>
      </c>
      <c r="AL3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37">
        <f>SUM(Rel_2026[[#This Row],[qtd_TrxContabil]:[VLR_EXP_SORTE]])</f>
        <v>4</v>
      </c>
      <c r="AN3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38" spans="1:40" x14ac:dyDescent="0.3">
      <c r="H38" s="1"/>
      <c r="K38" s="1"/>
      <c r="L38" s="1"/>
      <c r="N38" s="1"/>
      <c r="P38">
        <f>SUBTOTAL(9,Rel_2026[qtd_contas])</f>
        <v>89</v>
      </c>
      <c r="Q38">
        <f>SUBTOTAL(9,Rel_2026[qtd_contas_com_deposito])</f>
        <v>53</v>
      </c>
      <c r="R38">
        <f>SUBTOTAL(9,Rel_2026[qtd_cesta_serv])</f>
        <v>73</v>
      </c>
      <c r="S38">
        <f>SUBTOTAL(9,Rel_2026[QTD_CARTAO_EMITIDO])</f>
        <v>13</v>
      </c>
      <c r="Z38">
        <f>SUBTOTAL(9,Rel_2026[QTD_CONTAS_PJ])</f>
        <v>0</v>
      </c>
      <c r="AA38">
        <f>SUBTOTAL(9,Rel_2026[qtd_microsseguro])</f>
        <v>3</v>
      </c>
      <c r="AB38">
        <f>SUBTOTAL(9,Rel_2026[QTD_SUPER_PROTEGIDO])</f>
        <v>9</v>
      </c>
      <c r="AC38">
        <f>SUBTOTAL(9,Rel_2026[QTD_MICRO_VIVAVIDA])</f>
        <v>2</v>
      </c>
      <c r="AD38">
        <f>SUBTOTAL(9,Rel_2026[QTD_PLANO_ODONTO])</f>
        <v>0</v>
      </c>
      <c r="AE38">
        <f>SUBTOTAL(9,Rel_2026[QTD_SEG_RESIDENCIAL])</f>
        <v>20</v>
      </c>
      <c r="AF38">
        <f>SUBTOTAL(9,Rel_2026[QTD_SEG_CARTAO_DEB])</f>
        <v>47</v>
      </c>
    </row>
    <row r="40" spans="1:40" ht="15" thickBot="1" x14ac:dyDescent="0.35"/>
    <row r="41" spans="1:40" x14ac:dyDescent="0.3">
      <c r="A41" s="3" t="s">
        <v>30</v>
      </c>
      <c r="B41" s="18"/>
      <c r="C41" s="4" t="s">
        <v>94</v>
      </c>
      <c r="D41" s="19" t="s">
        <v>137</v>
      </c>
      <c r="E41" s="20" t="s">
        <v>137</v>
      </c>
      <c r="F41" s="21"/>
      <c r="G41" s="12"/>
      <c r="H41" s="5"/>
    </row>
    <row r="42" spans="1:40" x14ac:dyDescent="0.3">
      <c r="A42" s="6" t="s">
        <v>26</v>
      </c>
      <c r="B42" s="2">
        <f>COUNTIFS($A$1:$A$37,A42,$E$1:$E$37,C41)</f>
        <v>17</v>
      </c>
      <c r="C42" s="2">
        <f>COUNTIFS($B$1:$B$37,A42,$E$1:$E$37,C41)</f>
        <v>25</v>
      </c>
      <c r="D42" s="11">
        <f>B42/$B46</f>
        <v>0.5</v>
      </c>
      <c r="E42" s="22">
        <f>C42/$C46</f>
        <v>0.73529411764705888</v>
      </c>
      <c r="F42" s="23" t="s">
        <v>34</v>
      </c>
      <c r="G42" s="13"/>
      <c r="H42" s="7">
        <f>SUMIF($C$1:$C$616,C41,$AE$1:$AE$616)</f>
        <v>0</v>
      </c>
    </row>
    <row r="43" spans="1:40" x14ac:dyDescent="0.3">
      <c r="A43" s="6" t="s">
        <v>31</v>
      </c>
      <c r="B43" s="2">
        <f>COUNTIFS($A$1:$A$37,A43,$E$1:$E$37,C41)</f>
        <v>8</v>
      </c>
      <c r="C43" s="2">
        <f>COUNTIFS($B$1:$B$37,A43,$E$1:$E$37,C41)</f>
        <v>1</v>
      </c>
      <c r="D43" s="11">
        <f>B43/$B46</f>
        <v>0.23529411764705882</v>
      </c>
      <c r="E43" s="22">
        <f>C43/$B46</f>
        <v>2.9411764705882353E-2</v>
      </c>
      <c r="F43" s="23" t="s">
        <v>35</v>
      </c>
      <c r="G43" s="13"/>
      <c r="H43" s="7">
        <f>SUMIF($C$1:$C$616,C41,$AD$1:$AD$616)</f>
        <v>0</v>
      </c>
    </row>
    <row r="44" spans="1:40" x14ac:dyDescent="0.3">
      <c r="A44" s="6" t="s">
        <v>32</v>
      </c>
      <c r="B44" s="2">
        <f>COUNTIFS($A$1:$A$37,A44,$E$1:$E$37,C41)</f>
        <v>9</v>
      </c>
      <c r="C44" s="2">
        <f>COUNTIFS($B$1:$B$37,A44,$E$1:$E$37,C41)</f>
        <v>8</v>
      </c>
      <c r="D44" s="11">
        <f>B44/$B46</f>
        <v>0.26470588235294118</v>
      </c>
      <c r="E44" s="22">
        <f>C44/$B46</f>
        <v>0.23529411764705882</v>
      </c>
      <c r="F44" s="23" t="s">
        <v>36</v>
      </c>
      <c r="G44" s="13"/>
      <c r="H44" s="7">
        <f>SUMIF($C$1:$C$616,C41,$AA$1:$AA$616)</f>
        <v>0</v>
      </c>
    </row>
    <row r="45" spans="1:40" x14ac:dyDescent="0.3">
      <c r="A45" s="15" t="s">
        <v>103</v>
      </c>
      <c r="B45" s="2">
        <f>COUNTIFS($A$1:$A$37,A45,$E$1:$E$37,C41)</f>
        <v>2</v>
      </c>
      <c r="C45" s="2">
        <f>COUNTIFS($B$1:$B$37,A45,$E$1:$E$37,C41)</f>
        <v>2</v>
      </c>
      <c r="D45" s="11"/>
      <c r="E45" s="7"/>
      <c r="F45" s="24"/>
      <c r="G45" s="16"/>
      <c r="H45" s="17"/>
    </row>
    <row r="46" spans="1:40" ht="15" thickBot="1" x14ac:dyDescent="0.35">
      <c r="A46" s="8"/>
      <c r="B46" s="9">
        <f>SUM(B42:B44)</f>
        <v>34</v>
      </c>
      <c r="C46" s="9">
        <f>SUM(C42:C44)</f>
        <v>34</v>
      </c>
      <c r="D46" s="9"/>
      <c r="E46" s="10"/>
      <c r="F46" s="25"/>
      <c r="G46" s="14"/>
      <c r="H46" s="10"/>
    </row>
  </sheetData>
  <phoneticPr fontId="2" type="noConversion"/>
  <conditionalFormatting sqref="A2:AK37">
    <cfRule type="expression" dxfId="5" priority="4">
      <formula>$A2="Não"</formula>
    </cfRule>
    <cfRule type="expression" dxfId="4" priority="5">
      <formula>$A2="Próximo"</formula>
    </cfRule>
  </conditionalFormatting>
  <conditionalFormatting sqref="D42:D45">
    <cfRule type="expression" dxfId="3" priority="2">
      <formula>"SE(B2&gt;10)"</formula>
    </cfRule>
  </conditionalFormatting>
  <conditionalFormatting sqref="D40:E40 D47:E47">
    <cfRule type="expression" dxfId="2" priority="34">
      <formula>"SE(B2&gt;10)"</formula>
    </cfRule>
  </conditionalFormatting>
  <conditionalFormatting sqref="E42:E44">
    <cfRule type="expression" dxfId="1" priority="1">
      <formula>"SE(B2&gt;10)"</formula>
    </cfRule>
  </conditionalFormatting>
  <conditionalFormatting sqref="F41:G46">
    <cfRule type="expression" dxfId="0" priority="3">
      <formula>"SE(B2&gt;10)"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7157AD-9E00-44F1-85BD-544D3AAEFB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AG 458 FRECHEIRINHA</vt:lpstr>
      <vt:lpstr>AG 726 TIANGUÁ</vt:lpstr>
      <vt:lpstr>AG 727 VIÇOSA</vt:lpstr>
      <vt:lpstr>AG 752 IBIAPINA</vt:lpstr>
      <vt:lpstr>Rel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 Rabelo</dc:creator>
  <cp:lastModifiedBy>Henrique Rabelo</cp:lastModifiedBy>
  <dcterms:created xsi:type="dcterms:W3CDTF">2025-09-29T15:25:49Z</dcterms:created>
  <dcterms:modified xsi:type="dcterms:W3CDTF">2026-08-21T16:33:26Z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2025-09-29T16:51:18Z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c51cf4ab-105e-42f8-9ff6-991bd7da625d</vt:lpwstr>
  </property>
  <property fmtid="{D5CDD505-2E9C-101B-9397-08002B2CF9AE}" pid="7" name="MSIP_Label_defa4170-0d19-0005-0004-bc88714345d2_ActionId">
    <vt:lpwstr>7bd7fb07-8632-4126-8f5e-108e70d73fb7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