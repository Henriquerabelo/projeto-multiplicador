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5aebc8d3a6a762/Documentos/Projeto-Multiplicador/"/>
    </mc:Choice>
  </mc:AlternateContent>
  <xr:revisionPtr revIDLastSave="253" documentId="13_ncr:1_{E5AA259D-BC98-47DA-B70A-F49BF0545869}" xr6:coauthVersionLast="47" xr6:coauthVersionMax="47" xr10:uidLastSave="{3D1F444D-ED1D-42B5-BFEE-FCAFFD943019}"/>
  <bookViews>
    <workbookView xWindow="-108" yWindow="-108" windowWidth="23256" windowHeight="12456" tabRatio="853" xr2:uid="{A270AA43-A8DD-4734-8B56-C3E92C08B0BE}"/>
  </bookViews>
  <sheets>
    <sheet name="Rel 2026 08" sheetId="11" r:id="rId1"/>
    <sheet name="Responsavel" sheetId="6" r:id="rId2"/>
  </sheets>
  <definedNames>
    <definedName name="_xlnm._FilterDatabase" localSheetId="1" hidden="1">Responsavel!$A$1:$C$1282</definedName>
    <definedName name="DadosExternos_1" localSheetId="0" hidden="1">'Rel 2026 08'!$E$1:$AK$618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9" i="11" l="1"/>
  <c r="Q619" i="11"/>
  <c r="R619" i="11"/>
  <c r="S619" i="11"/>
  <c r="Y619" i="11"/>
  <c r="Z619" i="11"/>
  <c r="AA619" i="11"/>
  <c r="AB619" i="11"/>
  <c r="AC619" i="11"/>
  <c r="AD619" i="11"/>
  <c r="AE619" i="11"/>
  <c r="AF619" i="11"/>
  <c r="C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AL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33" i="11"/>
  <c r="AL34" i="11"/>
  <c r="AL35" i="11"/>
  <c r="AL36" i="11"/>
  <c r="AL37" i="11"/>
  <c r="AL38" i="11"/>
  <c r="AL39" i="11"/>
  <c r="AL40" i="11"/>
  <c r="AL41" i="11"/>
  <c r="AL42" i="11"/>
  <c r="AL43" i="11"/>
  <c r="AL44" i="11"/>
  <c r="AL45" i="11"/>
  <c r="AL46" i="11"/>
  <c r="AL47" i="11"/>
  <c r="AL48" i="11"/>
  <c r="AL49" i="11"/>
  <c r="AL50" i="11"/>
  <c r="AL51" i="11"/>
  <c r="AL52" i="11"/>
  <c r="AL53" i="11"/>
  <c r="AL54" i="11"/>
  <c r="AL55" i="11"/>
  <c r="AL56" i="11"/>
  <c r="AL57" i="11"/>
  <c r="AL58" i="11"/>
  <c r="AL59" i="11"/>
  <c r="AL60" i="11"/>
  <c r="AL61" i="11"/>
  <c r="AL62" i="11"/>
  <c r="AL63" i="11"/>
  <c r="AL64" i="11"/>
  <c r="AL65" i="11"/>
  <c r="AL66" i="11"/>
  <c r="AL67" i="11"/>
  <c r="AL68" i="11"/>
  <c r="AL69" i="11"/>
  <c r="AL70" i="11"/>
  <c r="AL71" i="11"/>
  <c r="AL72" i="11"/>
  <c r="AL73" i="11"/>
  <c r="AL74" i="11"/>
  <c r="AL75" i="11"/>
  <c r="AL76" i="11"/>
  <c r="AL77" i="11"/>
  <c r="AL78" i="11"/>
  <c r="AL79" i="11"/>
  <c r="AL80" i="11"/>
  <c r="AL81" i="11"/>
  <c r="AL82" i="11"/>
  <c r="AL83" i="11"/>
  <c r="AL84" i="11"/>
  <c r="AL85" i="11"/>
  <c r="AL86" i="11"/>
  <c r="AL87" i="11"/>
  <c r="AL88" i="11"/>
  <c r="AL89" i="11"/>
  <c r="AL90" i="11"/>
  <c r="AL91" i="11"/>
  <c r="AL92" i="11"/>
  <c r="AL93" i="11"/>
  <c r="AL94" i="11"/>
  <c r="AL95" i="11"/>
  <c r="AL96" i="11"/>
  <c r="AL97" i="11"/>
  <c r="AL98" i="11"/>
  <c r="AL99" i="11"/>
  <c r="AL100" i="11"/>
  <c r="AL101" i="11"/>
  <c r="AL102" i="11"/>
  <c r="AL103" i="11"/>
  <c r="AL104" i="11"/>
  <c r="AL105" i="11"/>
  <c r="AL106" i="11"/>
  <c r="AL107" i="11"/>
  <c r="AL108" i="11"/>
  <c r="AL109" i="11"/>
  <c r="AL110" i="11"/>
  <c r="AL111" i="11"/>
  <c r="AL112" i="11"/>
  <c r="AL113" i="11"/>
  <c r="AL114" i="11"/>
  <c r="AL115" i="11"/>
  <c r="AL116" i="11"/>
  <c r="AL117" i="11"/>
  <c r="AL118" i="11"/>
  <c r="AL119" i="11"/>
  <c r="AL120" i="11"/>
  <c r="AL121" i="11"/>
  <c r="AL122" i="11"/>
  <c r="AL123" i="11"/>
  <c r="AL124" i="11"/>
  <c r="AL125" i="11"/>
  <c r="AL126" i="11"/>
  <c r="AL127" i="11"/>
  <c r="AL128" i="11"/>
  <c r="AL129" i="11"/>
  <c r="AL130" i="11"/>
  <c r="AL131" i="11"/>
  <c r="AL132" i="11"/>
  <c r="AL133" i="11"/>
  <c r="AL134" i="11"/>
  <c r="AL135" i="11"/>
  <c r="AL136" i="11"/>
  <c r="AL137" i="11"/>
  <c r="AL138" i="11"/>
  <c r="AL139" i="11"/>
  <c r="AL140" i="11"/>
  <c r="AL141" i="11"/>
  <c r="AL142" i="11"/>
  <c r="AL143" i="11"/>
  <c r="AL144" i="11"/>
  <c r="AL145" i="11"/>
  <c r="AL146" i="11"/>
  <c r="AL147" i="11"/>
  <c r="AL148" i="11"/>
  <c r="AL149" i="11"/>
  <c r="AL150" i="11"/>
  <c r="AL151" i="11"/>
  <c r="AL152" i="11"/>
  <c r="AL153" i="11"/>
  <c r="AL154" i="11"/>
  <c r="AL155" i="11"/>
  <c r="AL156" i="11"/>
  <c r="AL157" i="11"/>
  <c r="AL158" i="11"/>
  <c r="AL159" i="11"/>
  <c r="AL160" i="11"/>
  <c r="AL161" i="11"/>
  <c r="AL162" i="11"/>
  <c r="AL163" i="11"/>
  <c r="AL164" i="11"/>
  <c r="AL165" i="11"/>
  <c r="AL166" i="11"/>
  <c r="AL167" i="11"/>
  <c r="AL168" i="11"/>
  <c r="AL169" i="11"/>
  <c r="AL170" i="11"/>
  <c r="AL171" i="11"/>
  <c r="AL172" i="11"/>
  <c r="AL173" i="11"/>
  <c r="AL174" i="11"/>
  <c r="AL175" i="11"/>
  <c r="AL176" i="11"/>
  <c r="AL177" i="11"/>
  <c r="AL178" i="11"/>
  <c r="AL179" i="11"/>
  <c r="AL180" i="11"/>
  <c r="AL181" i="11"/>
  <c r="AL182" i="11"/>
  <c r="AL183" i="11"/>
  <c r="AL184" i="11"/>
  <c r="AL185" i="11"/>
  <c r="AL186" i="11"/>
  <c r="AL187" i="11"/>
  <c r="AL188" i="11"/>
  <c r="AL189" i="11"/>
  <c r="AL190" i="11"/>
  <c r="AL191" i="11"/>
  <c r="AL192" i="11"/>
  <c r="AL193" i="11"/>
  <c r="AL194" i="11"/>
  <c r="AL195" i="11"/>
  <c r="AL196" i="11"/>
  <c r="AL197" i="11"/>
  <c r="AL198" i="11"/>
  <c r="AL199" i="11"/>
  <c r="AL200" i="11"/>
  <c r="AL201" i="11"/>
  <c r="AL202" i="11"/>
  <c r="AL203" i="11"/>
  <c r="AL204" i="11"/>
  <c r="AL205" i="11"/>
  <c r="AL206" i="11"/>
  <c r="AL207" i="11"/>
  <c r="AL208" i="11"/>
  <c r="AL209" i="11"/>
  <c r="AL210" i="11"/>
  <c r="AL211" i="11"/>
  <c r="AL212" i="11"/>
  <c r="AL213" i="11"/>
  <c r="AL214" i="11"/>
  <c r="AL215" i="11"/>
  <c r="AL216" i="11"/>
  <c r="AL217" i="11"/>
  <c r="AL218" i="11"/>
  <c r="AL219" i="11"/>
  <c r="AL220" i="11"/>
  <c r="AL221" i="11"/>
  <c r="AL222" i="11"/>
  <c r="AL223" i="11"/>
  <c r="AL224" i="11"/>
  <c r="AL225" i="11"/>
  <c r="AL226" i="11"/>
  <c r="AL227" i="11"/>
  <c r="AL228" i="11"/>
  <c r="AL229" i="11"/>
  <c r="AL230" i="11"/>
  <c r="AL231" i="11"/>
  <c r="AL232" i="11"/>
  <c r="AL233" i="11"/>
  <c r="AL234" i="11"/>
  <c r="AL235" i="11"/>
  <c r="AL236" i="11"/>
  <c r="AL237" i="11"/>
  <c r="AL238" i="11"/>
  <c r="AL239" i="11"/>
  <c r="AL240" i="11"/>
  <c r="AL241" i="11"/>
  <c r="AL242" i="11"/>
  <c r="AL243" i="11"/>
  <c r="AL244" i="11"/>
  <c r="AL245" i="11"/>
  <c r="AL246" i="11"/>
  <c r="AL247" i="11"/>
  <c r="AL248" i="11"/>
  <c r="AL249" i="11"/>
  <c r="AL250" i="11"/>
  <c r="AL251" i="11"/>
  <c r="AL252" i="11"/>
  <c r="AL253" i="11"/>
  <c r="AL254" i="11"/>
  <c r="AL255" i="11"/>
  <c r="AL256" i="11"/>
  <c r="AL257" i="11"/>
  <c r="AL258" i="11"/>
  <c r="AL259" i="11"/>
  <c r="AL260" i="11"/>
  <c r="AL261" i="11"/>
  <c r="AL262" i="11"/>
  <c r="AL263" i="11"/>
  <c r="AL264" i="11"/>
  <c r="AL265" i="11"/>
  <c r="AL266" i="11"/>
  <c r="AL267" i="11"/>
  <c r="AL268" i="11"/>
  <c r="AL269" i="11"/>
  <c r="AL270" i="11"/>
  <c r="AL271" i="11"/>
  <c r="AL272" i="11"/>
  <c r="AL273" i="11"/>
  <c r="AL274" i="11"/>
  <c r="AL275" i="11"/>
  <c r="AL276" i="11"/>
  <c r="AL277" i="11"/>
  <c r="AL278" i="11"/>
  <c r="AL279" i="11"/>
  <c r="AL280" i="11"/>
  <c r="AL281" i="11"/>
  <c r="AL282" i="11"/>
  <c r="AL283" i="11"/>
  <c r="AL284" i="11"/>
  <c r="AL285" i="11"/>
  <c r="AL286" i="11"/>
  <c r="AL287" i="11"/>
  <c r="AL288" i="11"/>
  <c r="AL289" i="11"/>
  <c r="AL290" i="11"/>
  <c r="AL291" i="11"/>
  <c r="AL292" i="11"/>
  <c r="AL293" i="11"/>
  <c r="AL294" i="11"/>
  <c r="AL295" i="11"/>
  <c r="AL296" i="11"/>
  <c r="AL297" i="11"/>
  <c r="AL298" i="11"/>
  <c r="AL299" i="11"/>
  <c r="AL300" i="11"/>
  <c r="AL301" i="11"/>
  <c r="AL302" i="11"/>
  <c r="AL303" i="11"/>
  <c r="AL304" i="11"/>
  <c r="AL305" i="11"/>
  <c r="AL306" i="11"/>
  <c r="AL307" i="11"/>
  <c r="AL308" i="11"/>
  <c r="AL309" i="11"/>
  <c r="AL310" i="11"/>
  <c r="AL311" i="11"/>
  <c r="AL312" i="11"/>
  <c r="AL313" i="11"/>
  <c r="AL314" i="11"/>
  <c r="AL315" i="11"/>
  <c r="AL316" i="11"/>
  <c r="AL317" i="11"/>
  <c r="AL318" i="11"/>
  <c r="AL319" i="11"/>
  <c r="AL320" i="11"/>
  <c r="AL321" i="11"/>
  <c r="AL322" i="11"/>
  <c r="AL323" i="11"/>
  <c r="AL324" i="11"/>
  <c r="AL325" i="11"/>
  <c r="AL326" i="11"/>
  <c r="AL327" i="11"/>
  <c r="AL328" i="11"/>
  <c r="AL329" i="11"/>
  <c r="AL330" i="11"/>
  <c r="AL331" i="11"/>
  <c r="AL332" i="11"/>
  <c r="AL333" i="11"/>
  <c r="AL334" i="11"/>
  <c r="AL335" i="11"/>
  <c r="AL336" i="11"/>
  <c r="AL337" i="11"/>
  <c r="AL338" i="11"/>
  <c r="AL339" i="11"/>
  <c r="AL340" i="11"/>
  <c r="AL341" i="11"/>
  <c r="AL342" i="11"/>
  <c r="AL343" i="11"/>
  <c r="AL344" i="11"/>
  <c r="AL345" i="11"/>
  <c r="AL346" i="11"/>
  <c r="AL347" i="11"/>
  <c r="AL348" i="11"/>
  <c r="AL349" i="11"/>
  <c r="AL350" i="11"/>
  <c r="AL351" i="11"/>
  <c r="AL352" i="11"/>
  <c r="AL353" i="11"/>
  <c r="AL354" i="11"/>
  <c r="AL355" i="11"/>
  <c r="AL356" i="11"/>
  <c r="AL357" i="11"/>
  <c r="AL358" i="11"/>
  <c r="AL359" i="11"/>
  <c r="AL360" i="11"/>
  <c r="AL361" i="11"/>
  <c r="AL362" i="11"/>
  <c r="AL363" i="11"/>
  <c r="AL364" i="11"/>
  <c r="AL365" i="11"/>
  <c r="AL366" i="11"/>
  <c r="AL367" i="11"/>
  <c r="AL368" i="11"/>
  <c r="AL369" i="11"/>
  <c r="AL370" i="11"/>
  <c r="AL371" i="11"/>
  <c r="AL372" i="11"/>
  <c r="AL373" i="11"/>
  <c r="AL374" i="11"/>
  <c r="AL375" i="11"/>
  <c r="AL376" i="11"/>
  <c r="AL377" i="11"/>
  <c r="AL378" i="11"/>
  <c r="AL379" i="11"/>
  <c r="AL380" i="11"/>
  <c r="AL381" i="11"/>
  <c r="AL382" i="11"/>
  <c r="AL383" i="11"/>
  <c r="AL384" i="11"/>
  <c r="AL385" i="11"/>
  <c r="AL386" i="11"/>
  <c r="AL387" i="11"/>
  <c r="AL388" i="11"/>
  <c r="AL389" i="11"/>
  <c r="AL390" i="11"/>
  <c r="AL391" i="11"/>
  <c r="AL392" i="11"/>
  <c r="AL393" i="11"/>
  <c r="AL394" i="11"/>
  <c r="AL395" i="11"/>
  <c r="AL396" i="11"/>
  <c r="AL397" i="11"/>
  <c r="AL398" i="11"/>
  <c r="AL399" i="11"/>
  <c r="AL400" i="11"/>
  <c r="AL401" i="11"/>
  <c r="AL402" i="11"/>
  <c r="AL403" i="11"/>
  <c r="AL404" i="11"/>
  <c r="AL405" i="11"/>
  <c r="AL406" i="11"/>
  <c r="AL407" i="11"/>
  <c r="AL408" i="11"/>
  <c r="AL409" i="11"/>
  <c r="AL410" i="11"/>
  <c r="AL411" i="11"/>
  <c r="AL412" i="11"/>
  <c r="AL413" i="11"/>
  <c r="AL414" i="11"/>
  <c r="AL415" i="11"/>
  <c r="AL416" i="11"/>
  <c r="AL417" i="11"/>
  <c r="AL418" i="11"/>
  <c r="AL419" i="11"/>
  <c r="AL420" i="11"/>
  <c r="AL421" i="11"/>
  <c r="AL422" i="11"/>
  <c r="AL423" i="11"/>
  <c r="AL424" i="11"/>
  <c r="AL425" i="11"/>
  <c r="AL426" i="11"/>
  <c r="AL427" i="11"/>
  <c r="AL428" i="11"/>
  <c r="AL429" i="11"/>
  <c r="AL430" i="11"/>
  <c r="AL431" i="11"/>
  <c r="AL432" i="11"/>
  <c r="AL433" i="11"/>
  <c r="AL434" i="11"/>
  <c r="AL435" i="11"/>
  <c r="AL436" i="11"/>
  <c r="AL437" i="11"/>
  <c r="AL438" i="11"/>
  <c r="AL439" i="11"/>
  <c r="AL440" i="11"/>
  <c r="AL441" i="11"/>
  <c r="AL442" i="11"/>
  <c r="AL443" i="11"/>
  <c r="AL444" i="11"/>
  <c r="AL445" i="11"/>
  <c r="AL446" i="11"/>
  <c r="AL447" i="11"/>
  <c r="AL448" i="11"/>
  <c r="AL449" i="11"/>
  <c r="AL450" i="11"/>
  <c r="AL451" i="11"/>
  <c r="AL452" i="11"/>
  <c r="AL453" i="11"/>
  <c r="AL454" i="11"/>
  <c r="AL455" i="11"/>
  <c r="AL456" i="11"/>
  <c r="AL457" i="11"/>
  <c r="AL458" i="11"/>
  <c r="AL459" i="11"/>
  <c r="AL460" i="11"/>
  <c r="AL461" i="11"/>
  <c r="AL462" i="11"/>
  <c r="AL463" i="11"/>
  <c r="AL464" i="11"/>
  <c r="AL465" i="11"/>
  <c r="AL466" i="11"/>
  <c r="AL467" i="11"/>
  <c r="AL468" i="11"/>
  <c r="AL469" i="11"/>
  <c r="AL470" i="11"/>
  <c r="AL471" i="11"/>
  <c r="AL472" i="11"/>
  <c r="AL473" i="11"/>
  <c r="AL474" i="11"/>
  <c r="AL475" i="11"/>
  <c r="AL476" i="11"/>
  <c r="AL477" i="11"/>
  <c r="AL478" i="11"/>
  <c r="AL479" i="11"/>
  <c r="AL480" i="11"/>
  <c r="AL481" i="11"/>
  <c r="AL482" i="11"/>
  <c r="AL483" i="11"/>
  <c r="AL484" i="11"/>
  <c r="AL485" i="11"/>
  <c r="AL486" i="11"/>
  <c r="AL487" i="11"/>
  <c r="AL488" i="11"/>
  <c r="AL489" i="11"/>
  <c r="AL490" i="11"/>
  <c r="AL491" i="11"/>
  <c r="AL492" i="11"/>
  <c r="AL493" i="11"/>
  <c r="AL494" i="11"/>
  <c r="AL495" i="11"/>
  <c r="AL496" i="11"/>
  <c r="AL497" i="11"/>
  <c r="AL498" i="11"/>
  <c r="AL499" i="11"/>
  <c r="AL500" i="11"/>
  <c r="AL501" i="11"/>
  <c r="AL502" i="11"/>
  <c r="AL503" i="11"/>
  <c r="AL504" i="11"/>
  <c r="AL505" i="11"/>
  <c r="AL506" i="11"/>
  <c r="AL507" i="11"/>
  <c r="AL508" i="11"/>
  <c r="AL509" i="11"/>
  <c r="AL510" i="11"/>
  <c r="AL511" i="11"/>
  <c r="AL512" i="11"/>
  <c r="AL513" i="11"/>
  <c r="AL514" i="11"/>
  <c r="AL515" i="11"/>
  <c r="AL516" i="11"/>
  <c r="AL517" i="11"/>
  <c r="AL518" i="11"/>
  <c r="AL519" i="11"/>
  <c r="AL520" i="11"/>
  <c r="AL521" i="11"/>
  <c r="AL522" i="11"/>
  <c r="AL523" i="11"/>
  <c r="AL524" i="11"/>
  <c r="AL525" i="11"/>
  <c r="AL526" i="11"/>
  <c r="AL527" i="11"/>
  <c r="AL528" i="11"/>
  <c r="AL529" i="11"/>
  <c r="AL530" i="11"/>
  <c r="AL531" i="11"/>
  <c r="AL532" i="11"/>
  <c r="AL533" i="11"/>
  <c r="AL534" i="11"/>
  <c r="AL535" i="11"/>
  <c r="AL536" i="11"/>
  <c r="AL537" i="11"/>
  <c r="AL538" i="11"/>
  <c r="AL539" i="11"/>
  <c r="AL540" i="11"/>
  <c r="AL541" i="11"/>
  <c r="AL542" i="11"/>
  <c r="AL543" i="11"/>
  <c r="AL544" i="11"/>
  <c r="AL545" i="11"/>
  <c r="AL546" i="11"/>
  <c r="AL547" i="11"/>
  <c r="AL548" i="11"/>
  <c r="AL549" i="11"/>
  <c r="AL550" i="11"/>
  <c r="AL551" i="11"/>
  <c r="AL552" i="11"/>
  <c r="AL553" i="11"/>
  <c r="AL554" i="11"/>
  <c r="AL555" i="11"/>
  <c r="AL556" i="11"/>
  <c r="AL557" i="11"/>
  <c r="AL558" i="11"/>
  <c r="AL559" i="11"/>
  <c r="AL560" i="11"/>
  <c r="AL561" i="11"/>
  <c r="AL562" i="11"/>
  <c r="AL563" i="11"/>
  <c r="AL564" i="11"/>
  <c r="AL565" i="11"/>
  <c r="AL566" i="11"/>
  <c r="AL567" i="11"/>
  <c r="AL568" i="11"/>
  <c r="AL569" i="11"/>
  <c r="AL570" i="11"/>
  <c r="AL571" i="11"/>
  <c r="AL572" i="11"/>
  <c r="AL573" i="11"/>
  <c r="AL574" i="11"/>
  <c r="AL575" i="11"/>
  <c r="AL576" i="11"/>
  <c r="AL577" i="11"/>
  <c r="AL578" i="11"/>
  <c r="AL579" i="11"/>
  <c r="AL580" i="11"/>
  <c r="AL581" i="11"/>
  <c r="AL582" i="11"/>
  <c r="AL583" i="11"/>
  <c r="AL584" i="11"/>
  <c r="AL585" i="11"/>
  <c r="AL586" i="11"/>
  <c r="AL587" i="11"/>
  <c r="AL588" i="11"/>
  <c r="AL589" i="11"/>
  <c r="AL590" i="11"/>
  <c r="AL591" i="11"/>
  <c r="AL592" i="11"/>
  <c r="AL593" i="11"/>
  <c r="AL594" i="11"/>
  <c r="AL595" i="11"/>
  <c r="AL596" i="11"/>
  <c r="AL597" i="11"/>
  <c r="AL598" i="11"/>
  <c r="AL599" i="11"/>
  <c r="AL600" i="11"/>
  <c r="AL601" i="11"/>
  <c r="AL602" i="11"/>
  <c r="AL603" i="11"/>
  <c r="AL604" i="11"/>
  <c r="AL605" i="11"/>
  <c r="AL606" i="11"/>
  <c r="AL607" i="11"/>
  <c r="AL608" i="11"/>
  <c r="AL609" i="11"/>
  <c r="AL610" i="11"/>
  <c r="AL611" i="11"/>
  <c r="AL612" i="11"/>
  <c r="AL613" i="11"/>
  <c r="AL614" i="11"/>
  <c r="AL615" i="11"/>
  <c r="AL616" i="11"/>
  <c r="AL617" i="11"/>
  <c r="AL618" i="11"/>
  <c r="AM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33" i="11"/>
  <c r="AM34" i="11"/>
  <c r="AM35" i="11"/>
  <c r="AM36" i="11"/>
  <c r="AM37" i="11"/>
  <c r="AM38" i="11"/>
  <c r="AM39" i="11"/>
  <c r="AM40" i="11"/>
  <c r="AM41" i="11"/>
  <c r="AM42" i="11"/>
  <c r="AM43" i="11"/>
  <c r="AM44" i="11"/>
  <c r="AM45" i="11"/>
  <c r="AM46" i="11"/>
  <c r="AM47" i="11"/>
  <c r="AM48" i="11"/>
  <c r="AM49" i="11"/>
  <c r="AM50" i="11"/>
  <c r="AM51" i="11"/>
  <c r="AM52" i="11"/>
  <c r="AM53" i="11"/>
  <c r="AM54" i="11"/>
  <c r="AM55" i="11"/>
  <c r="AM56" i="11"/>
  <c r="AM57" i="11"/>
  <c r="AM58" i="11"/>
  <c r="AM59" i="11"/>
  <c r="AM60" i="11"/>
  <c r="AM61" i="11"/>
  <c r="AM62" i="11"/>
  <c r="AM63" i="11"/>
  <c r="AM64" i="11"/>
  <c r="AM65" i="11"/>
  <c r="AM66" i="11"/>
  <c r="AM67" i="11"/>
  <c r="AM68" i="11"/>
  <c r="AM69" i="11"/>
  <c r="AM70" i="11"/>
  <c r="AM71" i="11"/>
  <c r="AM72" i="11"/>
  <c r="AM73" i="11"/>
  <c r="AM74" i="11"/>
  <c r="AM75" i="11"/>
  <c r="AM76" i="11"/>
  <c r="AM77" i="11"/>
  <c r="AM78" i="11"/>
  <c r="AM79" i="11"/>
  <c r="AM80" i="11"/>
  <c r="AM81" i="11"/>
  <c r="AM82" i="11"/>
  <c r="AM83" i="11"/>
  <c r="AM84" i="11"/>
  <c r="AM85" i="11"/>
  <c r="AM86" i="11"/>
  <c r="AM87" i="11"/>
  <c r="AM88" i="11"/>
  <c r="AM89" i="11"/>
  <c r="AM90" i="11"/>
  <c r="AM91" i="11"/>
  <c r="AM92" i="11"/>
  <c r="AM93" i="11"/>
  <c r="AM94" i="11"/>
  <c r="AM95" i="11"/>
  <c r="AM96" i="11"/>
  <c r="AM97" i="11"/>
  <c r="AM98" i="11"/>
  <c r="AM99" i="11"/>
  <c r="AM100" i="11"/>
  <c r="AM101" i="11"/>
  <c r="AM102" i="11"/>
  <c r="AM103" i="11"/>
  <c r="AM104" i="11"/>
  <c r="AM105" i="11"/>
  <c r="AM106" i="11"/>
  <c r="AM107" i="11"/>
  <c r="AM108" i="11"/>
  <c r="AM109" i="11"/>
  <c r="AM110" i="11"/>
  <c r="AM111" i="11"/>
  <c r="AM112" i="11"/>
  <c r="AM113" i="11"/>
  <c r="AM114" i="11"/>
  <c r="AM115" i="11"/>
  <c r="AM116" i="11"/>
  <c r="AM117" i="11"/>
  <c r="AM118" i="11"/>
  <c r="AM119" i="11"/>
  <c r="AM120" i="11"/>
  <c r="AM121" i="11"/>
  <c r="AM122" i="11"/>
  <c r="AM123" i="11"/>
  <c r="AM124" i="11"/>
  <c r="AM125" i="11"/>
  <c r="AM126" i="11"/>
  <c r="AM127" i="11"/>
  <c r="AM128" i="11"/>
  <c r="AM129" i="11"/>
  <c r="AM130" i="11"/>
  <c r="AM131" i="11"/>
  <c r="AM132" i="11"/>
  <c r="AM133" i="11"/>
  <c r="AM134" i="11"/>
  <c r="AM135" i="11"/>
  <c r="AM136" i="11"/>
  <c r="AM137" i="11"/>
  <c r="AM138" i="11"/>
  <c r="AM139" i="11"/>
  <c r="AM140" i="11"/>
  <c r="AM141" i="11"/>
  <c r="AM142" i="11"/>
  <c r="AM143" i="11"/>
  <c r="AM144" i="11"/>
  <c r="AM145" i="11"/>
  <c r="AM146" i="11"/>
  <c r="AM147" i="11"/>
  <c r="AM148" i="11"/>
  <c r="AM149" i="11"/>
  <c r="AM150" i="11"/>
  <c r="AM151" i="11"/>
  <c r="AM152" i="11"/>
  <c r="AM153" i="11"/>
  <c r="AM154" i="11"/>
  <c r="AM155" i="11"/>
  <c r="AM156" i="11"/>
  <c r="AM157" i="11"/>
  <c r="AM158" i="11"/>
  <c r="AM159" i="11"/>
  <c r="AM160" i="11"/>
  <c r="AM161" i="11"/>
  <c r="AM162" i="11"/>
  <c r="AM163" i="11"/>
  <c r="AM164" i="11"/>
  <c r="AM165" i="11"/>
  <c r="AM166" i="11"/>
  <c r="AM167" i="11"/>
  <c r="AM168" i="11"/>
  <c r="AM169" i="11"/>
  <c r="AM170" i="11"/>
  <c r="AM171" i="11"/>
  <c r="AM172" i="11"/>
  <c r="AM173" i="11"/>
  <c r="AM174" i="11"/>
  <c r="AM175" i="11"/>
  <c r="AM176" i="11"/>
  <c r="AM177" i="11"/>
  <c r="AM178" i="11"/>
  <c r="AM179" i="11"/>
  <c r="AM180" i="11"/>
  <c r="AM181" i="11"/>
  <c r="AM182" i="11"/>
  <c r="AM183" i="11"/>
  <c r="AM184" i="11"/>
  <c r="AM185" i="11"/>
  <c r="AM186" i="11"/>
  <c r="AM187" i="11"/>
  <c r="AM188" i="11"/>
  <c r="AM189" i="11"/>
  <c r="AM190" i="11"/>
  <c r="AM191" i="11"/>
  <c r="AM192" i="11"/>
  <c r="AM193" i="11"/>
  <c r="AM194" i="11"/>
  <c r="AM195" i="11"/>
  <c r="AM196" i="11"/>
  <c r="AM197" i="11"/>
  <c r="AM198" i="11"/>
  <c r="AM199" i="11"/>
  <c r="AM200" i="11"/>
  <c r="AM201" i="11"/>
  <c r="AM202" i="11"/>
  <c r="AM203" i="11"/>
  <c r="AM204" i="11"/>
  <c r="AM205" i="11"/>
  <c r="AM206" i="11"/>
  <c r="AM207" i="11"/>
  <c r="AM208" i="11"/>
  <c r="AM209" i="11"/>
  <c r="AM210" i="11"/>
  <c r="AM211" i="11"/>
  <c r="AM212" i="11"/>
  <c r="AM213" i="11"/>
  <c r="AM214" i="11"/>
  <c r="AM215" i="11"/>
  <c r="AM216" i="11"/>
  <c r="AM217" i="11"/>
  <c r="AM218" i="11"/>
  <c r="AM219" i="11"/>
  <c r="AM220" i="11"/>
  <c r="AM221" i="11"/>
  <c r="AM222" i="11"/>
  <c r="AM223" i="11"/>
  <c r="AM224" i="11"/>
  <c r="AM225" i="11"/>
  <c r="AM226" i="11"/>
  <c r="AM227" i="11"/>
  <c r="AM228" i="11"/>
  <c r="AM229" i="11"/>
  <c r="AM230" i="11"/>
  <c r="AM231" i="11"/>
  <c r="AM232" i="11"/>
  <c r="AM233" i="11"/>
  <c r="AM234" i="11"/>
  <c r="AM235" i="11"/>
  <c r="AM236" i="11"/>
  <c r="AM237" i="11"/>
  <c r="AM238" i="11"/>
  <c r="AM239" i="11"/>
  <c r="AM240" i="11"/>
  <c r="AM241" i="11"/>
  <c r="AM242" i="11"/>
  <c r="AM243" i="11"/>
  <c r="AM244" i="11"/>
  <c r="AM245" i="11"/>
  <c r="AM246" i="11"/>
  <c r="AM247" i="11"/>
  <c r="AM248" i="11"/>
  <c r="AM249" i="11"/>
  <c r="AM250" i="11"/>
  <c r="AM251" i="11"/>
  <c r="AM252" i="11"/>
  <c r="AM253" i="11"/>
  <c r="AM254" i="11"/>
  <c r="AM255" i="11"/>
  <c r="AM256" i="11"/>
  <c r="AM257" i="11"/>
  <c r="AM258" i="11"/>
  <c r="AM259" i="11"/>
  <c r="AM260" i="11"/>
  <c r="AM261" i="11"/>
  <c r="AM262" i="11"/>
  <c r="AM263" i="11"/>
  <c r="AM264" i="11"/>
  <c r="AM265" i="11"/>
  <c r="AM266" i="11"/>
  <c r="AM267" i="11"/>
  <c r="AM268" i="11"/>
  <c r="AM269" i="11"/>
  <c r="AM270" i="11"/>
  <c r="AM271" i="11"/>
  <c r="AM272" i="11"/>
  <c r="AM273" i="11"/>
  <c r="AM274" i="11"/>
  <c r="AM275" i="11"/>
  <c r="AM276" i="11"/>
  <c r="AM277" i="11"/>
  <c r="AM278" i="11"/>
  <c r="AM279" i="11"/>
  <c r="AM280" i="11"/>
  <c r="AM281" i="11"/>
  <c r="AM282" i="11"/>
  <c r="AM283" i="11"/>
  <c r="AM284" i="11"/>
  <c r="AM285" i="11"/>
  <c r="AM286" i="11"/>
  <c r="AM287" i="11"/>
  <c r="AM288" i="11"/>
  <c r="AM289" i="11"/>
  <c r="AM290" i="11"/>
  <c r="AM291" i="11"/>
  <c r="AM292" i="11"/>
  <c r="AM293" i="11"/>
  <c r="AM294" i="11"/>
  <c r="AM295" i="11"/>
  <c r="AM296" i="11"/>
  <c r="AM297" i="11"/>
  <c r="AM298" i="11"/>
  <c r="AM299" i="11"/>
  <c r="AM300" i="11"/>
  <c r="AM301" i="11"/>
  <c r="AM302" i="11"/>
  <c r="AM303" i="11"/>
  <c r="AM304" i="11"/>
  <c r="AM305" i="11"/>
  <c r="AM306" i="11"/>
  <c r="AM307" i="11"/>
  <c r="AM308" i="11"/>
  <c r="AM309" i="11"/>
  <c r="AM310" i="11"/>
  <c r="AM311" i="11"/>
  <c r="AM312" i="11"/>
  <c r="AM313" i="11"/>
  <c r="AM314" i="11"/>
  <c r="AM315" i="11"/>
  <c r="AM316" i="11"/>
  <c r="AM317" i="11"/>
  <c r="AM318" i="11"/>
  <c r="AM319" i="11"/>
  <c r="AM320" i="11"/>
  <c r="AM321" i="11"/>
  <c r="AM322" i="11"/>
  <c r="AM323" i="11"/>
  <c r="AM324" i="11"/>
  <c r="AM325" i="11"/>
  <c r="AM326" i="11"/>
  <c r="AM327" i="11"/>
  <c r="AM328" i="11"/>
  <c r="AM329" i="11"/>
  <c r="AM330" i="11"/>
  <c r="AM331" i="11"/>
  <c r="AM332" i="11"/>
  <c r="AM333" i="11"/>
  <c r="AM334" i="11"/>
  <c r="AM335" i="11"/>
  <c r="AM336" i="11"/>
  <c r="AM337" i="11"/>
  <c r="AM338" i="11"/>
  <c r="AM339" i="11"/>
  <c r="AM340" i="11"/>
  <c r="AM341" i="11"/>
  <c r="AM342" i="11"/>
  <c r="AM343" i="11"/>
  <c r="AM344" i="11"/>
  <c r="AM345" i="11"/>
  <c r="AM346" i="11"/>
  <c r="AM347" i="11"/>
  <c r="AM348" i="11"/>
  <c r="AM349" i="11"/>
  <c r="AM350" i="11"/>
  <c r="AM351" i="11"/>
  <c r="AM352" i="11"/>
  <c r="AM353" i="11"/>
  <c r="AM354" i="11"/>
  <c r="AM355" i="11"/>
  <c r="AM356" i="11"/>
  <c r="AM357" i="11"/>
  <c r="AM358" i="11"/>
  <c r="AM359" i="11"/>
  <c r="AM360" i="11"/>
  <c r="AM361" i="11"/>
  <c r="AM362" i="11"/>
  <c r="AM363" i="11"/>
  <c r="AM364" i="11"/>
  <c r="AM365" i="11"/>
  <c r="AM366" i="11"/>
  <c r="AM367" i="11"/>
  <c r="AM368" i="11"/>
  <c r="AM369" i="11"/>
  <c r="AM370" i="11"/>
  <c r="AM371" i="11"/>
  <c r="AM372" i="11"/>
  <c r="AM373" i="11"/>
  <c r="AM374" i="11"/>
  <c r="AM375" i="11"/>
  <c r="AM376" i="11"/>
  <c r="AM377" i="11"/>
  <c r="AM378" i="11"/>
  <c r="AM379" i="11"/>
  <c r="AM380" i="11"/>
  <c r="AM381" i="11"/>
  <c r="AM382" i="11"/>
  <c r="AM383" i="11"/>
  <c r="AM384" i="11"/>
  <c r="AM385" i="11"/>
  <c r="AM386" i="11"/>
  <c r="AM387" i="11"/>
  <c r="AM388" i="11"/>
  <c r="AM389" i="11"/>
  <c r="AM390" i="11"/>
  <c r="AM391" i="11"/>
  <c r="AM392" i="11"/>
  <c r="AM393" i="11"/>
  <c r="AM394" i="11"/>
  <c r="AM395" i="11"/>
  <c r="AM396" i="11"/>
  <c r="AM397" i="11"/>
  <c r="AM398" i="11"/>
  <c r="AM399" i="11"/>
  <c r="AM400" i="11"/>
  <c r="AM401" i="11"/>
  <c r="AM402" i="11"/>
  <c r="AM403" i="11"/>
  <c r="AM404" i="11"/>
  <c r="AM405" i="11"/>
  <c r="AM406" i="11"/>
  <c r="AM407" i="11"/>
  <c r="AM408" i="11"/>
  <c r="AM409" i="11"/>
  <c r="AM410" i="11"/>
  <c r="AM411" i="11"/>
  <c r="AM412" i="11"/>
  <c r="AM413" i="11"/>
  <c r="AM414" i="11"/>
  <c r="AM415" i="11"/>
  <c r="AM416" i="11"/>
  <c r="AM417" i="11"/>
  <c r="AM418" i="11"/>
  <c r="AM419" i="11"/>
  <c r="AM420" i="11"/>
  <c r="AM421" i="11"/>
  <c r="AM422" i="11"/>
  <c r="AM423" i="11"/>
  <c r="AM424" i="11"/>
  <c r="AM425" i="11"/>
  <c r="AM426" i="11"/>
  <c r="AM427" i="11"/>
  <c r="AM428" i="11"/>
  <c r="AM429" i="11"/>
  <c r="AM430" i="11"/>
  <c r="AM431" i="11"/>
  <c r="AM432" i="11"/>
  <c r="AM433" i="11"/>
  <c r="AM434" i="11"/>
  <c r="AM435" i="11"/>
  <c r="AM436" i="11"/>
  <c r="AM437" i="11"/>
  <c r="AM438" i="11"/>
  <c r="AM439" i="11"/>
  <c r="AM440" i="11"/>
  <c r="AM441" i="11"/>
  <c r="AM442" i="11"/>
  <c r="AM443" i="11"/>
  <c r="AM444" i="11"/>
  <c r="AM445" i="11"/>
  <c r="AM446" i="11"/>
  <c r="AM447" i="11"/>
  <c r="AM448" i="11"/>
  <c r="AM449" i="11"/>
  <c r="AM450" i="11"/>
  <c r="AM451" i="11"/>
  <c r="AM452" i="11"/>
  <c r="AM453" i="11"/>
  <c r="AM454" i="11"/>
  <c r="AM455" i="11"/>
  <c r="AM456" i="11"/>
  <c r="AM457" i="11"/>
  <c r="AM458" i="11"/>
  <c r="AM459" i="11"/>
  <c r="AM460" i="11"/>
  <c r="AM461" i="11"/>
  <c r="AM462" i="11"/>
  <c r="AM463" i="11"/>
  <c r="AM464" i="11"/>
  <c r="AM465" i="11"/>
  <c r="AM466" i="11"/>
  <c r="AM467" i="11"/>
  <c r="AM468" i="11"/>
  <c r="AM469" i="11"/>
  <c r="AM470" i="11"/>
  <c r="AM471" i="11"/>
  <c r="AM472" i="11"/>
  <c r="AM473" i="11"/>
  <c r="AM474" i="11"/>
  <c r="AM475" i="11"/>
  <c r="AM476" i="11"/>
  <c r="AM477" i="11"/>
  <c r="AM478" i="11"/>
  <c r="AM479" i="11"/>
  <c r="AM480" i="11"/>
  <c r="AM481" i="11"/>
  <c r="AM482" i="11"/>
  <c r="AM483" i="11"/>
  <c r="AM484" i="11"/>
  <c r="AM485" i="11"/>
  <c r="AM486" i="11"/>
  <c r="AM487" i="11"/>
  <c r="AM488" i="11"/>
  <c r="AM489" i="11"/>
  <c r="AM490" i="11"/>
  <c r="AM491" i="11"/>
  <c r="AM492" i="11"/>
  <c r="AM493" i="11"/>
  <c r="AM494" i="11"/>
  <c r="AM495" i="11"/>
  <c r="AM496" i="11"/>
  <c r="AM497" i="11"/>
  <c r="AM498" i="11"/>
  <c r="AM499" i="11"/>
  <c r="AM500" i="11"/>
  <c r="AM501" i="11"/>
  <c r="AM502" i="11"/>
  <c r="AM503" i="11"/>
  <c r="AM504" i="11"/>
  <c r="AM505" i="11"/>
  <c r="AM506" i="11"/>
  <c r="AM507" i="11"/>
  <c r="AM508" i="11"/>
  <c r="AM509" i="11"/>
  <c r="AM510" i="11"/>
  <c r="AM511" i="11"/>
  <c r="AM512" i="11"/>
  <c r="AM513" i="11"/>
  <c r="AM514" i="11"/>
  <c r="AM515" i="11"/>
  <c r="AM516" i="11"/>
  <c r="AM517" i="11"/>
  <c r="AM518" i="11"/>
  <c r="AM519" i="11"/>
  <c r="AM520" i="11"/>
  <c r="AM521" i="11"/>
  <c r="AM522" i="11"/>
  <c r="AM523" i="11"/>
  <c r="AM524" i="11"/>
  <c r="AM525" i="11"/>
  <c r="AM526" i="11"/>
  <c r="AM527" i="11"/>
  <c r="AM528" i="11"/>
  <c r="AM529" i="11"/>
  <c r="AM530" i="11"/>
  <c r="AM531" i="11"/>
  <c r="AM532" i="11"/>
  <c r="AM533" i="11"/>
  <c r="AM534" i="11"/>
  <c r="AM535" i="11"/>
  <c r="AM536" i="11"/>
  <c r="AM537" i="11"/>
  <c r="AM538" i="11"/>
  <c r="AM539" i="11"/>
  <c r="AM540" i="11"/>
  <c r="AM541" i="11"/>
  <c r="AM542" i="11"/>
  <c r="AM543" i="11"/>
  <c r="AM544" i="11"/>
  <c r="AM545" i="11"/>
  <c r="AM546" i="11"/>
  <c r="AM547" i="11"/>
  <c r="AM548" i="11"/>
  <c r="AM549" i="11"/>
  <c r="AM550" i="11"/>
  <c r="AM551" i="11"/>
  <c r="AM552" i="11"/>
  <c r="AM553" i="11"/>
  <c r="AM554" i="11"/>
  <c r="AM555" i="11"/>
  <c r="AM556" i="11"/>
  <c r="AM557" i="11"/>
  <c r="AM558" i="11"/>
  <c r="AM559" i="11"/>
  <c r="AM560" i="11"/>
  <c r="AM561" i="11"/>
  <c r="AM562" i="11"/>
  <c r="AM563" i="11"/>
  <c r="AM564" i="11"/>
  <c r="AM565" i="11"/>
  <c r="AM566" i="11"/>
  <c r="AM567" i="11"/>
  <c r="AM568" i="11"/>
  <c r="AM569" i="11"/>
  <c r="AM570" i="11"/>
  <c r="AM571" i="11"/>
  <c r="AM572" i="11"/>
  <c r="AM573" i="11"/>
  <c r="AM574" i="11"/>
  <c r="AM575" i="11"/>
  <c r="AM576" i="11"/>
  <c r="AM577" i="11"/>
  <c r="AM578" i="11"/>
  <c r="AM579" i="11"/>
  <c r="AM580" i="11"/>
  <c r="AM581" i="11"/>
  <c r="AM582" i="11"/>
  <c r="AM583" i="11"/>
  <c r="AM584" i="11"/>
  <c r="AM585" i="11"/>
  <c r="AM586" i="11"/>
  <c r="AM587" i="11"/>
  <c r="AM588" i="11"/>
  <c r="AM589" i="11"/>
  <c r="AM590" i="11"/>
  <c r="AM591" i="11"/>
  <c r="AM592" i="11"/>
  <c r="AM593" i="11"/>
  <c r="AM594" i="11"/>
  <c r="AM595" i="11"/>
  <c r="AM596" i="11"/>
  <c r="AM597" i="11"/>
  <c r="AM598" i="11"/>
  <c r="AM599" i="11"/>
  <c r="AM600" i="11"/>
  <c r="AM601" i="11"/>
  <c r="AM602" i="11"/>
  <c r="AM603" i="11"/>
  <c r="AM604" i="11"/>
  <c r="AM605" i="11"/>
  <c r="AM606" i="11"/>
  <c r="AM607" i="11"/>
  <c r="AM608" i="11"/>
  <c r="AM609" i="11"/>
  <c r="AM610" i="11"/>
  <c r="AM611" i="11"/>
  <c r="AM612" i="11"/>
  <c r="AM613" i="11"/>
  <c r="AM614" i="11"/>
  <c r="AM615" i="11"/>
  <c r="AM616" i="11"/>
  <c r="AM617" i="11"/>
  <c r="AM618" i="11"/>
  <c r="AN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N43" i="11"/>
  <c r="AN44" i="11"/>
  <c r="AN45" i="11"/>
  <c r="AN46" i="11"/>
  <c r="AN47" i="11"/>
  <c r="AN48" i="11"/>
  <c r="AN49" i="11"/>
  <c r="AN50" i="11"/>
  <c r="AN51" i="11"/>
  <c r="AN52" i="11"/>
  <c r="AN53" i="11"/>
  <c r="AN54" i="11"/>
  <c r="AN55" i="11"/>
  <c r="AN56" i="11"/>
  <c r="AN57" i="11"/>
  <c r="AN58" i="11"/>
  <c r="AN59" i="11"/>
  <c r="AN60" i="11"/>
  <c r="AN61" i="11"/>
  <c r="AN62" i="11"/>
  <c r="AN63" i="11"/>
  <c r="AN64" i="11"/>
  <c r="AN65" i="11"/>
  <c r="AN66" i="11"/>
  <c r="AN67" i="11"/>
  <c r="AN68" i="11"/>
  <c r="AN69" i="11"/>
  <c r="AN70" i="11"/>
  <c r="AN71" i="11"/>
  <c r="AN72" i="11"/>
  <c r="AN73" i="11"/>
  <c r="AN74" i="11"/>
  <c r="AN75" i="11"/>
  <c r="AN76" i="11"/>
  <c r="AN77" i="11"/>
  <c r="AN78" i="11"/>
  <c r="AN79" i="11"/>
  <c r="AN80" i="11"/>
  <c r="AN81" i="11"/>
  <c r="AN82" i="11"/>
  <c r="AN83" i="11"/>
  <c r="AN84" i="11"/>
  <c r="AN85" i="11"/>
  <c r="AN86" i="11"/>
  <c r="AN87" i="11"/>
  <c r="AN88" i="11"/>
  <c r="AN89" i="11"/>
  <c r="AN90" i="11"/>
  <c r="AN91" i="11"/>
  <c r="AN92" i="11"/>
  <c r="AN93" i="11"/>
  <c r="AN94" i="11"/>
  <c r="AN95" i="11"/>
  <c r="AN96" i="11"/>
  <c r="AN97" i="11"/>
  <c r="AN98" i="11"/>
  <c r="AN99" i="11"/>
  <c r="AN100" i="11"/>
  <c r="AN101" i="11"/>
  <c r="AN102" i="11"/>
  <c r="AN103" i="11"/>
  <c r="AN104" i="11"/>
  <c r="AN105" i="11"/>
  <c r="AN106" i="11"/>
  <c r="AN107" i="11"/>
  <c r="AN108" i="11"/>
  <c r="AN109" i="11"/>
  <c r="AN110" i="11"/>
  <c r="AN111" i="11"/>
  <c r="AN112" i="11"/>
  <c r="AN113" i="11"/>
  <c r="AN114" i="11"/>
  <c r="AN115" i="11"/>
  <c r="AN116" i="11"/>
  <c r="AN117" i="11"/>
  <c r="AN118" i="11"/>
  <c r="AN119" i="11"/>
  <c r="AN120" i="11"/>
  <c r="AN121" i="11"/>
  <c r="AN122" i="11"/>
  <c r="AN123" i="11"/>
  <c r="AN124" i="11"/>
  <c r="AN125" i="11"/>
  <c r="AN126" i="11"/>
  <c r="AN127" i="11"/>
  <c r="AN128" i="11"/>
  <c r="AN129" i="11"/>
  <c r="AN130" i="11"/>
  <c r="AN131" i="11"/>
  <c r="AN132" i="11"/>
  <c r="AN133" i="11"/>
  <c r="AN134" i="11"/>
  <c r="AN135" i="11"/>
  <c r="AN136" i="11"/>
  <c r="AN137" i="11"/>
  <c r="AN138" i="11"/>
  <c r="AN139" i="11"/>
  <c r="AN140" i="11"/>
  <c r="AN141" i="11"/>
  <c r="AN142" i="11"/>
  <c r="AN143" i="11"/>
  <c r="AN144" i="11"/>
  <c r="AN145" i="11"/>
  <c r="AN146" i="11"/>
  <c r="AN147" i="11"/>
  <c r="AN148" i="11"/>
  <c r="AN149" i="11"/>
  <c r="AN150" i="11"/>
  <c r="AN151" i="11"/>
  <c r="AN152" i="11"/>
  <c r="AN153" i="11"/>
  <c r="AN154" i="11"/>
  <c r="AN155" i="11"/>
  <c r="AN156" i="11"/>
  <c r="AN157" i="11"/>
  <c r="AN158" i="11"/>
  <c r="AN159" i="11"/>
  <c r="AN160" i="11"/>
  <c r="AN161" i="11"/>
  <c r="AN162" i="11"/>
  <c r="AN163" i="11"/>
  <c r="AN164" i="11"/>
  <c r="AN165" i="11"/>
  <c r="AN166" i="11"/>
  <c r="AN167" i="11"/>
  <c r="AN168" i="11"/>
  <c r="AN169" i="11"/>
  <c r="AN170" i="11"/>
  <c r="AN171" i="11"/>
  <c r="AN172" i="11"/>
  <c r="AN173" i="11"/>
  <c r="AN174" i="11"/>
  <c r="AN175" i="11"/>
  <c r="AN176" i="11"/>
  <c r="AN177" i="11"/>
  <c r="AN178" i="11"/>
  <c r="AN179" i="11"/>
  <c r="AN180" i="11"/>
  <c r="AN181" i="11"/>
  <c r="AN182" i="11"/>
  <c r="AN183" i="11"/>
  <c r="AN184" i="11"/>
  <c r="AN185" i="11"/>
  <c r="AN186" i="11"/>
  <c r="AN187" i="11"/>
  <c r="AN188" i="11"/>
  <c r="AN189" i="11"/>
  <c r="AN190" i="11"/>
  <c r="AN191" i="11"/>
  <c r="AN192" i="11"/>
  <c r="AN193" i="11"/>
  <c r="AN194" i="11"/>
  <c r="AN195" i="11"/>
  <c r="AN196" i="11"/>
  <c r="AN197" i="11"/>
  <c r="AN198" i="11"/>
  <c r="AN199" i="11"/>
  <c r="AN200" i="11"/>
  <c r="AN201" i="11"/>
  <c r="AN202" i="11"/>
  <c r="AN203" i="11"/>
  <c r="AN204" i="11"/>
  <c r="AN205" i="11"/>
  <c r="AN206" i="11"/>
  <c r="AN207" i="11"/>
  <c r="AN208" i="11"/>
  <c r="AN209" i="11"/>
  <c r="AN210" i="11"/>
  <c r="AN211" i="11"/>
  <c r="AN212" i="11"/>
  <c r="AN213" i="11"/>
  <c r="AN214" i="11"/>
  <c r="AN215" i="11"/>
  <c r="AN216" i="11"/>
  <c r="AN217" i="11"/>
  <c r="AN218" i="11"/>
  <c r="AN219" i="11"/>
  <c r="AN220" i="11"/>
  <c r="AN221" i="11"/>
  <c r="AN222" i="11"/>
  <c r="AN223" i="11"/>
  <c r="AN224" i="11"/>
  <c r="AN225" i="11"/>
  <c r="AN226" i="11"/>
  <c r="AN227" i="11"/>
  <c r="AN228" i="11"/>
  <c r="AN229" i="11"/>
  <c r="AN230" i="11"/>
  <c r="AN231" i="11"/>
  <c r="AN232" i="11"/>
  <c r="AN233" i="11"/>
  <c r="AN234" i="11"/>
  <c r="AN235" i="11"/>
  <c r="AN236" i="11"/>
  <c r="AN237" i="11"/>
  <c r="AN238" i="11"/>
  <c r="AN239" i="11"/>
  <c r="AN240" i="11"/>
  <c r="AN241" i="11"/>
  <c r="AN242" i="11"/>
  <c r="AN243" i="11"/>
  <c r="AN244" i="11"/>
  <c r="AN245" i="11"/>
  <c r="AN246" i="11"/>
  <c r="AN247" i="11"/>
  <c r="AN248" i="11"/>
  <c r="AN249" i="11"/>
  <c r="AN250" i="11"/>
  <c r="AN251" i="11"/>
  <c r="AN252" i="11"/>
  <c r="AN253" i="11"/>
  <c r="AN254" i="11"/>
  <c r="AN255" i="11"/>
  <c r="AN256" i="11"/>
  <c r="AN257" i="11"/>
  <c r="AN258" i="11"/>
  <c r="AN259" i="11"/>
  <c r="AN260" i="11"/>
  <c r="AN261" i="11"/>
  <c r="AN262" i="11"/>
  <c r="AN263" i="11"/>
  <c r="AN264" i="11"/>
  <c r="AN265" i="11"/>
  <c r="AN266" i="11"/>
  <c r="AN267" i="11"/>
  <c r="AN268" i="11"/>
  <c r="AN269" i="11"/>
  <c r="AN270" i="11"/>
  <c r="AN271" i="11"/>
  <c r="AN272" i="11"/>
  <c r="AN273" i="11"/>
  <c r="AN274" i="11"/>
  <c r="AN275" i="11"/>
  <c r="AN276" i="11"/>
  <c r="AN277" i="11"/>
  <c r="AN278" i="11"/>
  <c r="AN279" i="11"/>
  <c r="AN280" i="11"/>
  <c r="AN281" i="11"/>
  <c r="AN282" i="11"/>
  <c r="AN283" i="11"/>
  <c r="AN284" i="11"/>
  <c r="AN285" i="11"/>
  <c r="AN286" i="11"/>
  <c r="AN287" i="11"/>
  <c r="AN288" i="11"/>
  <c r="AN289" i="11"/>
  <c r="AN290" i="11"/>
  <c r="AN291" i="11"/>
  <c r="AN292" i="11"/>
  <c r="AN293" i="11"/>
  <c r="AN294" i="11"/>
  <c r="AN295" i="11"/>
  <c r="AN296" i="11"/>
  <c r="AN297" i="11"/>
  <c r="AN298" i="11"/>
  <c r="AN299" i="11"/>
  <c r="AN300" i="11"/>
  <c r="AN301" i="11"/>
  <c r="AN302" i="11"/>
  <c r="AN303" i="11"/>
  <c r="AN304" i="11"/>
  <c r="AN305" i="11"/>
  <c r="AN306" i="11"/>
  <c r="AN307" i="11"/>
  <c r="AN308" i="11"/>
  <c r="AN309" i="11"/>
  <c r="AN310" i="11"/>
  <c r="AN311" i="11"/>
  <c r="AN312" i="11"/>
  <c r="AN313" i="11"/>
  <c r="AN314" i="11"/>
  <c r="AN315" i="11"/>
  <c r="AN316" i="11"/>
  <c r="AN317" i="11"/>
  <c r="AN318" i="11"/>
  <c r="AN319" i="11"/>
  <c r="AN320" i="11"/>
  <c r="AN321" i="11"/>
  <c r="AN322" i="11"/>
  <c r="AN323" i="11"/>
  <c r="AN324" i="11"/>
  <c r="AN325" i="11"/>
  <c r="AN326" i="11"/>
  <c r="AN327" i="11"/>
  <c r="AN328" i="11"/>
  <c r="AN329" i="11"/>
  <c r="AN330" i="11"/>
  <c r="AN331" i="11"/>
  <c r="AN332" i="11"/>
  <c r="AN333" i="11"/>
  <c r="AN334" i="11"/>
  <c r="AN335" i="11"/>
  <c r="AN336" i="11"/>
  <c r="AN337" i="11"/>
  <c r="AN338" i="11"/>
  <c r="AN339" i="11"/>
  <c r="AN340" i="11"/>
  <c r="AN341" i="11"/>
  <c r="AN342" i="11"/>
  <c r="AN343" i="11"/>
  <c r="AN344" i="11"/>
  <c r="AN345" i="11"/>
  <c r="AN346" i="11"/>
  <c r="AN347" i="11"/>
  <c r="AN348" i="11"/>
  <c r="AN349" i="11"/>
  <c r="AN350" i="11"/>
  <c r="AN351" i="11"/>
  <c r="AN352" i="11"/>
  <c r="AN353" i="11"/>
  <c r="AN354" i="11"/>
  <c r="AN355" i="11"/>
  <c r="AN356" i="11"/>
  <c r="AN357" i="11"/>
  <c r="AN358" i="11"/>
  <c r="AN359" i="11"/>
  <c r="AN360" i="11"/>
  <c r="AN361" i="11"/>
  <c r="AN362" i="11"/>
  <c r="AN363" i="11"/>
  <c r="AN364" i="11"/>
  <c r="AN365" i="11"/>
  <c r="AN366" i="11"/>
  <c r="AN367" i="11"/>
  <c r="AN368" i="11"/>
  <c r="AN369" i="11"/>
  <c r="AN370" i="11"/>
  <c r="AN371" i="11"/>
  <c r="AN372" i="11"/>
  <c r="AN373" i="11"/>
  <c r="AN374" i="11"/>
  <c r="AN375" i="11"/>
  <c r="AN376" i="11"/>
  <c r="AN377" i="11"/>
  <c r="AN378" i="11"/>
  <c r="AN379" i="11"/>
  <c r="AN380" i="11"/>
  <c r="AN381" i="11"/>
  <c r="AN382" i="11"/>
  <c r="AN383" i="11"/>
  <c r="AN384" i="11"/>
  <c r="AN385" i="11"/>
  <c r="AN386" i="11"/>
  <c r="AN387" i="11"/>
  <c r="AN388" i="11"/>
  <c r="AN389" i="11"/>
  <c r="AN390" i="11"/>
  <c r="AN391" i="11"/>
  <c r="AN392" i="11"/>
  <c r="AN393" i="11"/>
  <c r="AN394" i="11"/>
  <c r="AN395" i="11"/>
  <c r="AN396" i="11"/>
  <c r="AN397" i="11"/>
  <c r="AN398" i="11"/>
  <c r="AN399" i="11"/>
  <c r="AN400" i="11"/>
  <c r="AN401" i="11"/>
  <c r="AN402" i="11"/>
  <c r="AN403" i="11"/>
  <c r="AN404" i="11"/>
  <c r="AN405" i="11"/>
  <c r="AN406" i="11"/>
  <c r="AN407" i="11"/>
  <c r="AN408" i="11"/>
  <c r="AN409" i="11"/>
  <c r="AN410" i="11"/>
  <c r="AN411" i="11"/>
  <c r="AN412" i="11"/>
  <c r="AN413" i="11"/>
  <c r="AN414" i="11"/>
  <c r="AN415" i="11"/>
  <c r="AN416" i="11"/>
  <c r="AN417" i="11"/>
  <c r="AN418" i="11"/>
  <c r="AN419" i="11"/>
  <c r="AN420" i="11"/>
  <c r="AN421" i="11"/>
  <c r="AN422" i="11"/>
  <c r="AN423" i="11"/>
  <c r="AN424" i="11"/>
  <c r="AN425" i="11"/>
  <c r="AN426" i="11"/>
  <c r="AN427" i="11"/>
  <c r="AN428" i="11"/>
  <c r="AN429" i="11"/>
  <c r="AN430" i="11"/>
  <c r="AN431" i="11"/>
  <c r="AN432" i="11"/>
  <c r="AN433" i="11"/>
  <c r="AN434" i="11"/>
  <c r="AN435" i="11"/>
  <c r="AN436" i="11"/>
  <c r="AN437" i="11"/>
  <c r="AN438" i="11"/>
  <c r="AN439" i="11"/>
  <c r="AN440" i="11"/>
  <c r="AN441" i="11"/>
  <c r="AN442" i="11"/>
  <c r="AN443" i="11"/>
  <c r="AN444" i="11"/>
  <c r="AN445" i="11"/>
  <c r="AN446" i="11"/>
  <c r="AN447" i="11"/>
  <c r="AN448" i="11"/>
  <c r="AN449" i="11"/>
  <c r="AN450" i="11"/>
  <c r="AN451" i="11"/>
  <c r="AN452" i="11"/>
  <c r="AN453" i="11"/>
  <c r="AN454" i="11"/>
  <c r="AN455" i="11"/>
  <c r="AN456" i="11"/>
  <c r="AN457" i="11"/>
  <c r="AN458" i="11"/>
  <c r="AN459" i="11"/>
  <c r="AN460" i="11"/>
  <c r="AN461" i="11"/>
  <c r="AN462" i="11"/>
  <c r="AN463" i="11"/>
  <c r="AN464" i="11"/>
  <c r="AN465" i="11"/>
  <c r="AN466" i="11"/>
  <c r="AN467" i="11"/>
  <c r="AN468" i="11"/>
  <c r="AN469" i="11"/>
  <c r="AN470" i="11"/>
  <c r="AN471" i="11"/>
  <c r="AN472" i="11"/>
  <c r="AN473" i="11"/>
  <c r="AN474" i="11"/>
  <c r="AN475" i="11"/>
  <c r="AN476" i="11"/>
  <c r="AN477" i="11"/>
  <c r="AN478" i="11"/>
  <c r="AN479" i="11"/>
  <c r="AN480" i="11"/>
  <c r="AN481" i="11"/>
  <c r="AN482" i="11"/>
  <c r="AN483" i="11"/>
  <c r="AN484" i="11"/>
  <c r="AN485" i="11"/>
  <c r="AN486" i="11"/>
  <c r="AN487" i="11"/>
  <c r="AN488" i="11"/>
  <c r="AN489" i="11"/>
  <c r="AN490" i="11"/>
  <c r="AN491" i="11"/>
  <c r="AN492" i="11"/>
  <c r="AN493" i="11"/>
  <c r="AN494" i="11"/>
  <c r="AN495" i="11"/>
  <c r="AN496" i="11"/>
  <c r="AN497" i="11"/>
  <c r="AN498" i="11"/>
  <c r="AN499" i="11"/>
  <c r="AN500" i="11"/>
  <c r="AN501" i="11"/>
  <c r="AN502" i="11"/>
  <c r="AN503" i="11"/>
  <c r="AN504" i="11"/>
  <c r="AN505" i="11"/>
  <c r="AN506" i="11"/>
  <c r="AN507" i="11"/>
  <c r="AN508" i="11"/>
  <c r="AN509" i="11"/>
  <c r="AN510" i="11"/>
  <c r="AN511" i="11"/>
  <c r="AN512" i="11"/>
  <c r="AN513" i="11"/>
  <c r="AN514" i="11"/>
  <c r="AN515" i="11"/>
  <c r="AN516" i="11"/>
  <c r="AN517" i="11"/>
  <c r="AN518" i="11"/>
  <c r="AN519" i="11"/>
  <c r="AN520" i="11"/>
  <c r="AN521" i="11"/>
  <c r="AN522" i="11"/>
  <c r="AN523" i="11"/>
  <c r="AN524" i="11"/>
  <c r="AN525" i="11"/>
  <c r="AN526" i="11"/>
  <c r="AN527" i="11"/>
  <c r="AN528" i="11"/>
  <c r="AN529" i="11"/>
  <c r="AN530" i="11"/>
  <c r="AN531" i="11"/>
  <c r="AN532" i="11"/>
  <c r="AN533" i="11"/>
  <c r="AN534" i="11"/>
  <c r="AN535" i="11"/>
  <c r="AN536" i="11"/>
  <c r="AN537" i="11"/>
  <c r="AN538" i="11"/>
  <c r="AN539" i="11"/>
  <c r="AN540" i="11"/>
  <c r="AN541" i="11"/>
  <c r="AN542" i="11"/>
  <c r="AN543" i="11"/>
  <c r="AN544" i="11"/>
  <c r="AN545" i="11"/>
  <c r="AN546" i="11"/>
  <c r="AN547" i="11"/>
  <c r="AN548" i="11"/>
  <c r="AN549" i="11"/>
  <c r="AN550" i="11"/>
  <c r="AN551" i="11"/>
  <c r="AN552" i="11"/>
  <c r="AN553" i="11"/>
  <c r="AN554" i="11"/>
  <c r="AN555" i="11"/>
  <c r="AN556" i="11"/>
  <c r="AN557" i="11"/>
  <c r="AN558" i="11"/>
  <c r="AN559" i="11"/>
  <c r="AN560" i="11"/>
  <c r="AN561" i="11"/>
  <c r="AN562" i="11"/>
  <c r="AN563" i="11"/>
  <c r="AN564" i="11"/>
  <c r="AN565" i="11"/>
  <c r="AN566" i="11"/>
  <c r="AN567" i="11"/>
  <c r="AN568" i="11"/>
  <c r="AN569" i="11"/>
  <c r="AN570" i="11"/>
  <c r="AN571" i="11"/>
  <c r="AN572" i="11"/>
  <c r="AN573" i="11"/>
  <c r="AN574" i="11"/>
  <c r="AN575" i="11"/>
  <c r="AN576" i="11"/>
  <c r="AN577" i="11"/>
  <c r="AN578" i="11"/>
  <c r="AN579" i="11"/>
  <c r="AN580" i="11"/>
  <c r="AN581" i="11"/>
  <c r="AN582" i="11"/>
  <c r="AN583" i="11"/>
  <c r="AN584" i="11"/>
  <c r="AN585" i="11"/>
  <c r="AN586" i="11"/>
  <c r="AN587" i="11"/>
  <c r="AN588" i="11"/>
  <c r="AN589" i="11"/>
  <c r="AN590" i="11"/>
  <c r="AN591" i="11"/>
  <c r="AN592" i="11"/>
  <c r="AN593" i="11"/>
  <c r="AN594" i="11"/>
  <c r="AN595" i="11"/>
  <c r="AN596" i="11"/>
  <c r="AN597" i="11"/>
  <c r="AN598" i="11"/>
  <c r="AN599" i="11"/>
  <c r="AN600" i="11"/>
  <c r="AN601" i="11"/>
  <c r="AN602" i="11"/>
  <c r="AN603" i="11"/>
  <c r="AN604" i="11"/>
  <c r="AN605" i="11"/>
  <c r="AN606" i="11"/>
  <c r="AN607" i="11"/>
  <c r="AN608" i="11"/>
  <c r="AN609" i="11"/>
  <c r="AN610" i="11"/>
  <c r="AN611" i="11"/>
  <c r="AN612" i="11"/>
  <c r="AN613" i="11"/>
  <c r="AN614" i="11"/>
  <c r="AN615" i="11"/>
  <c r="AN616" i="11"/>
  <c r="AN617" i="11"/>
  <c r="AN618" i="11"/>
  <c r="A2" i="11" l="1"/>
  <c r="B2" i="11"/>
  <c r="A3" i="11"/>
  <c r="B3" i="11"/>
  <c r="A4" i="11"/>
  <c r="B4" i="11"/>
  <c r="A5" i="11"/>
  <c r="B5" i="11"/>
  <c r="B6" i="11"/>
  <c r="A6" i="11"/>
  <c r="A7" i="11"/>
  <c r="B7" i="11"/>
  <c r="A8" i="11"/>
  <c r="B8" i="11"/>
  <c r="B9" i="11"/>
  <c r="A9" i="11"/>
  <c r="B10" i="11"/>
  <c r="A10" i="11"/>
  <c r="A11" i="11"/>
  <c r="B11" i="11"/>
  <c r="A12" i="11"/>
  <c r="B12" i="11"/>
  <c r="A13" i="11"/>
  <c r="B13" i="11"/>
  <c r="B14" i="11"/>
  <c r="A14" i="11"/>
  <c r="A15" i="11"/>
  <c r="B15" i="11"/>
  <c r="B16" i="11"/>
  <c r="A16" i="11"/>
  <c r="A17" i="11"/>
  <c r="B17" i="11"/>
  <c r="B18" i="11"/>
  <c r="A18" i="11"/>
  <c r="A19" i="11"/>
  <c r="B19" i="11"/>
  <c r="B20" i="11"/>
  <c r="A20" i="11"/>
  <c r="A21" i="11"/>
  <c r="B21" i="11"/>
  <c r="B22" i="11"/>
  <c r="A22" i="11"/>
  <c r="B23" i="11"/>
  <c r="A23" i="11"/>
  <c r="A24" i="11"/>
  <c r="B24" i="11"/>
  <c r="B25" i="11"/>
  <c r="A25" i="11"/>
  <c r="B26" i="11"/>
  <c r="A26" i="11"/>
  <c r="B27" i="11"/>
  <c r="A27" i="11"/>
  <c r="B28" i="11"/>
  <c r="A28" i="11"/>
  <c r="B29" i="11"/>
  <c r="A29" i="11"/>
  <c r="A30" i="11"/>
  <c r="B30" i="11"/>
  <c r="B31" i="11"/>
  <c r="A31" i="11"/>
  <c r="A32" i="11"/>
  <c r="B32" i="11"/>
  <c r="B33" i="11"/>
  <c r="A33" i="11"/>
  <c r="B34" i="11"/>
  <c r="A34" i="11"/>
  <c r="A35" i="11"/>
  <c r="B35" i="11"/>
  <c r="A36" i="11"/>
  <c r="B36" i="11"/>
  <c r="B37" i="11"/>
  <c r="A37" i="11"/>
  <c r="A38" i="11"/>
  <c r="B38" i="11"/>
  <c r="A39" i="11"/>
  <c r="B39" i="11"/>
  <c r="A40" i="11"/>
  <c r="B40" i="11"/>
  <c r="B41" i="11"/>
  <c r="A41" i="11"/>
  <c r="B42" i="11"/>
  <c r="A42" i="11"/>
  <c r="A43" i="11"/>
  <c r="B43" i="11"/>
  <c r="A44" i="11"/>
  <c r="B44" i="11"/>
  <c r="A45" i="11"/>
  <c r="B45" i="11"/>
  <c r="A46" i="11"/>
  <c r="B46" i="11"/>
  <c r="A47" i="11"/>
  <c r="B47" i="11"/>
  <c r="A48" i="11"/>
  <c r="B48" i="11"/>
  <c r="B49" i="11"/>
  <c r="A49" i="11"/>
  <c r="B50" i="11"/>
  <c r="A50" i="11"/>
  <c r="B51" i="11"/>
  <c r="A51" i="11"/>
  <c r="A52" i="11"/>
  <c r="B52" i="11"/>
  <c r="A53" i="11"/>
  <c r="B53" i="11"/>
  <c r="B54" i="11"/>
  <c r="A54" i="11"/>
  <c r="B55" i="11"/>
  <c r="A55" i="11"/>
  <c r="B56" i="11"/>
  <c r="A56" i="11"/>
  <c r="B57" i="11"/>
  <c r="A57" i="11"/>
  <c r="A58" i="11"/>
  <c r="B58" i="11"/>
  <c r="B59" i="11"/>
  <c r="A59" i="11"/>
  <c r="A60" i="11"/>
  <c r="B60" i="11"/>
  <c r="B61" i="11"/>
  <c r="A61" i="11"/>
  <c r="A62" i="11"/>
  <c r="B62" i="11"/>
  <c r="B63" i="11"/>
  <c r="A63" i="11"/>
  <c r="B64" i="11"/>
  <c r="A64" i="11"/>
  <c r="B65" i="11"/>
  <c r="A65" i="11"/>
  <c r="A66" i="11"/>
  <c r="B66" i="11"/>
  <c r="B67" i="11"/>
  <c r="A67" i="11"/>
  <c r="B68" i="11"/>
  <c r="A68" i="11"/>
  <c r="B69" i="11"/>
  <c r="A69" i="11"/>
  <c r="A70" i="11"/>
  <c r="B70" i="11"/>
  <c r="A71" i="11"/>
  <c r="B71" i="11"/>
  <c r="B72" i="11"/>
  <c r="A72" i="11"/>
  <c r="B73" i="11"/>
  <c r="A73" i="11"/>
  <c r="B74" i="11"/>
  <c r="A74" i="11"/>
  <c r="B75" i="11"/>
  <c r="A75" i="11"/>
  <c r="A76" i="11"/>
  <c r="B76" i="11"/>
  <c r="B77" i="11"/>
  <c r="A77" i="11"/>
  <c r="B78" i="11"/>
  <c r="A78" i="11"/>
  <c r="B79" i="11"/>
  <c r="A79" i="11"/>
  <c r="B80" i="11"/>
  <c r="A80" i="11"/>
  <c r="B81" i="11"/>
  <c r="A81" i="11"/>
  <c r="B82" i="11"/>
  <c r="A82" i="11"/>
  <c r="B83" i="11"/>
  <c r="A83" i="11"/>
  <c r="A84" i="11"/>
  <c r="B84" i="11"/>
  <c r="A85" i="11"/>
  <c r="B85" i="11"/>
  <c r="B86" i="11"/>
  <c r="A86" i="11"/>
  <c r="B87" i="11"/>
  <c r="A87" i="11"/>
  <c r="B88" i="11"/>
  <c r="A88" i="11"/>
  <c r="A89" i="11"/>
  <c r="B89" i="11"/>
  <c r="A90" i="11"/>
  <c r="B90" i="11"/>
  <c r="A91" i="11"/>
  <c r="B91" i="11"/>
  <c r="A92" i="11"/>
  <c r="B92" i="11"/>
  <c r="A93" i="11"/>
  <c r="B93" i="11"/>
  <c r="B94" i="11"/>
  <c r="A94" i="11"/>
  <c r="A95" i="11"/>
  <c r="B95" i="11"/>
  <c r="B96" i="11"/>
  <c r="A96" i="11"/>
  <c r="A97" i="11"/>
  <c r="B97" i="11"/>
  <c r="B98" i="11"/>
  <c r="A98" i="11"/>
  <c r="B99" i="11"/>
  <c r="A99" i="11"/>
  <c r="A100" i="11"/>
  <c r="B100" i="11"/>
  <c r="A101" i="11"/>
  <c r="B101" i="11"/>
  <c r="A102" i="11"/>
  <c r="B102" i="11"/>
  <c r="B103" i="11"/>
  <c r="A103" i="11"/>
  <c r="B104" i="11"/>
  <c r="A104" i="11"/>
  <c r="A105" i="11"/>
  <c r="B105" i="11"/>
  <c r="B106" i="11"/>
  <c r="A106" i="11"/>
  <c r="B107" i="11"/>
  <c r="A107" i="11"/>
  <c r="A108" i="11"/>
  <c r="B108" i="11"/>
  <c r="B109" i="11"/>
  <c r="A109" i="11"/>
  <c r="B110" i="11"/>
  <c r="A110" i="11"/>
  <c r="A111" i="11"/>
  <c r="B111" i="11"/>
  <c r="A112" i="11"/>
  <c r="B112" i="11"/>
  <c r="A113" i="11"/>
  <c r="B113" i="11"/>
  <c r="A114" i="11"/>
  <c r="B114" i="11"/>
  <c r="A115" i="11"/>
  <c r="B115" i="11"/>
  <c r="A116" i="11"/>
  <c r="B116" i="11"/>
  <c r="B117" i="11"/>
  <c r="A117" i="11"/>
  <c r="B118" i="11"/>
  <c r="A118" i="11"/>
  <c r="B119" i="11"/>
  <c r="A119" i="11"/>
  <c r="B120" i="11"/>
  <c r="A120" i="11"/>
  <c r="B121" i="11"/>
  <c r="A121" i="11"/>
  <c r="B122" i="11"/>
  <c r="A122" i="11"/>
  <c r="B123" i="11"/>
  <c r="A123" i="11"/>
  <c r="B124" i="11"/>
  <c r="A124" i="11"/>
  <c r="B125" i="11"/>
  <c r="A125" i="11"/>
  <c r="B126" i="11"/>
  <c r="A126" i="11"/>
  <c r="A127" i="11"/>
  <c r="B127" i="11"/>
  <c r="A128" i="11"/>
  <c r="B128" i="11"/>
  <c r="B129" i="11"/>
  <c r="A129" i="11"/>
  <c r="A130" i="11"/>
  <c r="B130" i="11"/>
  <c r="A131" i="11"/>
  <c r="B131" i="11"/>
  <c r="A132" i="11"/>
  <c r="B132" i="11"/>
  <c r="A133" i="11"/>
  <c r="B133" i="11"/>
  <c r="A134" i="11"/>
  <c r="B134" i="11"/>
  <c r="A135" i="11"/>
  <c r="B135" i="11"/>
  <c r="B136" i="11"/>
  <c r="A136" i="11"/>
  <c r="B137" i="11"/>
  <c r="A137" i="11"/>
  <c r="B138" i="11"/>
  <c r="A138" i="11"/>
  <c r="B139" i="11"/>
  <c r="A139" i="11"/>
  <c r="B140" i="11"/>
  <c r="A140" i="11"/>
  <c r="B141" i="11"/>
  <c r="A141" i="11"/>
  <c r="A142" i="11"/>
  <c r="B142" i="11"/>
  <c r="B143" i="11"/>
  <c r="A143" i="11"/>
  <c r="B144" i="11"/>
  <c r="A144" i="11"/>
  <c r="B145" i="11"/>
  <c r="A145" i="11"/>
  <c r="B146" i="11"/>
  <c r="A146" i="11"/>
  <c r="A147" i="11"/>
  <c r="B147" i="11"/>
  <c r="A148" i="11"/>
  <c r="B148" i="11"/>
  <c r="B149" i="11"/>
  <c r="A149" i="11"/>
  <c r="B150" i="11"/>
  <c r="A150" i="11"/>
  <c r="A151" i="11"/>
  <c r="B151" i="11"/>
  <c r="B152" i="11"/>
  <c r="A152" i="11"/>
  <c r="A153" i="11"/>
  <c r="B153" i="11"/>
  <c r="B154" i="11"/>
  <c r="A154" i="11"/>
  <c r="B155" i="11"/>
  <c r="A155" i="11"/>
  <c r="A156" i="11"/>
  <c r="B156" i="11"/>
  <c r="A157" i="11"/>
  <c r="B157" i="11"/>
  <c r="A158" i="11"/>
  <c r="B158" i="11"/>
  <c r="A159" i="11"/>
  <c r="B159" i="11"/>
  <c r="B160" i="11"/>
  <c r="A160" i="11"/>
  <c r="A161" i="11"/>
  <c r="B161" i="11"/>
  <c r="B162" i="11"/>
  <c r="A162" i="11"/>
  <c r="A163" i="11"/>
  <c r="B163" i="11"/>
  <c r="B164" i="11"/>
  <c r="A164" i="11"/>
  <c r="B165" i="11"/>
  <c r="A165" i="11"/>
  <c r="A166" i="11"/>
  <c r="B166" i="11"/>
  <c r="B167" i="11"/>
  <c r="A167" i="11"/>
  <c r="B168" i="11"/>
  <c r="A168" i="11"/>
  <c r="A169" i="11"/>
  <c r="B169" i="11"/>
  <c r="A170" i="11"/>
  <c r="B170" i="11"/>
  <c r="B171" i="11"/>
  <c r="A171" i="11"/>
  <c r="A172" i="11"/>
  <c r="B172" i="11"/>
  <c r="B173" i="11"/>
  <c r="A173" i="11"/>
  <c r="A174" i="11"/>
  <c r="B174" i="11"/>
  <c r="B175" i="11"/>
  <c r="A175" i="11"/>
  <c r="A176" i="11"/>
  <c r="B176" i="11"/>
  <c r="B177" i="11"/>
  <c r="A177" i="11"/>
  <c r="B178" i="11"/>
  <c r="A178" i="11"/>
  <c r="B179" i="11"/>
  <c r="A179" i="11"/>
  <c r="B180" i="11"/>
  <c r="A180" i="11"/>
  <c r="A181" i="11"/>
  <c r="B181" i="11"/>
  <c r="B182" i="11"/>
  <c r="A182" i="11"/>
  <c r="A183" i="11"/>
  <c r="B183" i="11"/>
  <c r="A184" i="11"/>
  <c r="B184" i="11"/>
  <c r="B185" i="11"/>
  <c r="A185" i="11"/>
  <c r="B186" i="11"/>
  <c r="A186" i="11"/>
  <c r="B187" i="11"/>
  <c r="A187" i="11"/>
  <c r="B188" i="11"/>
  <c r="A188" i="11"/>
  <c r="A189" i="11"/>
  <c r="B189" i="11"/>
  <c r="A190" i="11"/>
  <c r="B190" i="11"/>
  <c r="B191" i="11"/>
  <c r="A191" i="11"/>
  <c r="A192" i="11"/>
  <c r="B192" i="11"/>
  <c r="B193" i="11"/>
  <c r="A193" i="11"/>
  <c r="B194" i="11"/>
  <c r="A194" i="11"/>
  <c r="A195" i="11"/>
  <c r="B195" i="11"/>
  <c r="A196" i="11"/>
  <c r="B196" i="11"/>
  <c r="A197" i="11"/>
  <c r="B197" i="11"/>
  <c r="B198" i="11"/>
  <c r="A198" i="11"/>
  <c r="A199" i="11"/>
  <c r="B199" i="11"/>
  <c r="A200" i="11"/>
  <c r="B200" i="11"/>
  <c r="A201" i="11"/>
  <c r="B201" i="11"/>
  <c r="B202" i="11"/>
  <c r="A202" i="11"/>
  <c r="A203" i="11"/>
  <c r="B203" i="11"/>
  <c r="A204" i="11"/>
  <c r="B204" i="11"/>
  <c r="B205" i="11"/>
  <c r="A205" i="11"/>
  <c r="A206" i="11"/>
  <c r="B206" i="11"/>
  <c r="A207" i="11"/>
  <c r="B207" i="11"/>
  <c r="A208" i="11"/>
  <c r="B208" i="11"/>
  <c r="B209" i="11"/>
  <c r="A209" i="11"/>
  <c r="B210" i="11"/>
  <c r="A210" i="11"/>
  <c r="B211" i="11"/>
  <c r="A211" i="11"/>
  <c r="B212" i="11"/>
  <c r="A212" i="11"/>
  <c r="B213" i="11"/>
  <c r="A213" i="11"/>
  <c r="B214" i="11"/>
  <c r="A214" i="11"/>
  <c r="A215" i="11"/>
  <c r="B215" i="11"/>
  <c r="A216" i="11"/>
  <c r="B216" i="11"/>
  <c r="A217" i="11"/>
  <c r="B217" i="11"/>
  <c r="A218" i="11"/>
  <c r="B218" i="11"/>
  <c r="A219" i="11"/>
  <c r="B219" i="11"/>
  <c r="A220" i="11"/>
  <c r="B220" i="11"/>
  <c r="A221" i="11"/>
  <c r="B221" i="11"/>
  <c r="A222" i="11"/>
  <c r="B222" i="11"/>
  <c r="B223" i="11"/>
  <c r="A223" i="11"/>
  <c r="B224" i="11"/>
  <c r="A224" i="11"/>
  <c r="B225" i="11"/>
  <c r="A225" i="11"/>
  <c r="A226" i="11"/>
  <c r="B226" i="11"/>
  <c r="A227" i="11"/>
  <c r="B227" i="11"/>
  <c r="A228" i="11"/>
  <c r="B228" i="11"/>
  <c r="A229" i="11"/>
  <c r="B229" i="11"/>
  <c r="B230" i="11"/>
  <c r="A230" i="11"/>
  <c r="A231" i="11"/>
  <c r="B231" i="11"/>
  <c r="A232" i="11"/>
  <c r="B232" i="11"/>
  <c r="A233" i="11"/>
  <c r="B233" i="11"/>
  <c r="A234" i="11"/>
  <c r="B234" i="11"/>
  <c r="B235" i="11"/>
  <c r="A235" i="11"/>
  <c r="B236" i="11"/>
  <c r="A236" i="11"/>
  <c r="B237" i="11"/>
  <c r="A237" i="11"/>
  <c r="A238" i="11"/>
  <c r="B238" i="11"/>
  <c r="B239" i="11"/>
  <c r="A239" i="11"/>
  <c r="B240" i="11"/>
  <c r="A240" i="11"/>
  <c r="A241" i="11"/>
  <c r="B241" i="11"/>
  <c r="A242" i="11"/>
  <c r="B242" i="11"/>
  <c r="A243" i="11"/>
  <c r="B243" i="11"/>
  <c r="A244" i="11"/>
  <c r="B244" i="11"/>
  <c r="B245" i="11"/>
  <c r="A245" i="11"/>
  <c r="B246" i="11"/>
  <c r="A246" i="11"/>
  <c r="A247" i="11"/>
  <c r="B247" i="11"/>
  <c r="A248" i="11"/>
  <c r="B248" i="11"/>
  <c r="B249" i="11"/>
  <c r="A249" i="11"/>
  <c r="B250" i="11"/>
  <c r="A250" i="11"/>
  <c r="B251" i="11"/>
  <c r="A251" i="11"/>
  <c r="B252" i="11"/>
  <c r="A252" i="11"/>
  <c r="A253" i="11"/>
  <c r="B253" i="11"/>
  <c r="B254" i="11"/>
  <c r="A254" i="11"/>
  <c r="B255" i="11"/>
  <c r="A255" i="11"/>
  <c r="A256" i="11"/>
  <c r="B256" i="11"/>
  <c r="A257" i="11"/>
  <c r="B257" i="11"/>
  <c r="B258" i="11"/>
  <c r="A258" i="11"/>
  <c r="B259" i="11"/>
  <c r="A259" i="11"/>
  <c r="A260" i="11"/>
  <c r="B260" i="11"/>
  <c r="B261" i="11"/>
  <c r="A261" i="11"/>
  <c r="B262" i="11"/>
  <c r="A262" i="11"/>
  <c r="B263" i="11"/>
  <c r="A263" i="11"/>
  <c r="B264" i="11"/>
  <c r="A264" i="11"/>
  <c r="A265" i="11"/>
  <c r="B265" i="11"/>
  <c r="B266" i="11"/>
  <c r="A266" i="11"/>
  <c r="A267" i="11"/>
  <c r="B267" i="11"/>
  <c r="B268" i="11"/>
  <c r="A268" i="11"/>
  <c r="B269" i="11"/>
  <c r="A269" i="11"/>
  <c r="B270" i="11"/>
  <c r="A270" i="11"/>
  <c r="B271" i="11"/>
  <c r="A271" i="11"/>
  <c r="A272" i="11"/>
  <c r="B272" i="11"/>
  <c r="A273" i="11"/>
  <c r="B273" i="11"/>
  <c r="A274" i="11"/>
  <c r="B274" i="11"/>
  <c r="A275" i="11"/>
  <c r="B275" i="11"/>
  <c r="A276" i="11"/>
  <c r="B276" i="11"/>
  <c r="A277" i="11"/>
  <c r="B277" i="11"/>
  <c r="B278" i="11"/>
  <c r="A278" i="11"/>
  <c r="B279" i="11"/>
  <c r="A279" i="11"/>
  <c r="A280" i="11"/>
  <c r="B280" i="11"/>
  <c r="B281" i="11"/>
  <c r="A281" i="11"/>
  <c r="A282" i="11"/>
  <c r="B282" i="11"/>
  <c r="B283" i="11"/>
  <c r="A283" i="11"/>
  <c r="A284" i="11"/>
  <c r="B284" i="11"/>
  <c r="A285" i="11"/>
  <c r="B285" i="11"/>
  <c r="B286" i="11"/>
  <c r="A286" i="11"/>
  <c r="B287" i="11"/>
  <c r="A287" i="11"/>
  <c r="B288" i="11"/>
  <c r="A288" i="11"/>
  <c r="A289" i="11"/>
  <c r="B289" i="11"/>
  <c r="B290" i="11"/>
  <c r="A290" i="11"/>
  <c r="B291" i="11"/>
  <c r="A291" i="11"/>
  <c r="A292" i="11"/>
  <c r="B292" i="11"/>
  <c r="A293" i="11"/>
  <c r="B293" i="11"/>
  <c r="A294" i="11"/>
  <c r="B294" i="11"/>
  <c r="A295" i="11"/>
  <c r="B295" i="11"/>
  <c r="A296" i="11"/>
  <c r="B296" i="11"/>
  <c r="A297" i="11"/>
  <c r="B297" i="11"/>
  <c r="A298" i="11"/>
  <c r="B298" i="11"/>
  <c r="A299" i="11"/>
  <c r="B299" i="11"/>
  <c r="A300" i="11"/>
  <c r="B300" i="11"/>
  <c r="B301" i="11"/>
  <c r="A301" i="11"/>
  <c r="A302" i="11"/>
  <c r="B302" i="11"/>
  <c r="A303" i="11"/>
  <c r="B303" i="11"/>
  <c r="A304" i="11"/>
  <c r="B304" i="11"/>
  <c r="A305" i="11"/>
  <c r="B305" i="11"/>
  <c r="B306" i="11"/>
  <c r="A306" i="11"/>
  <c r="B307" i="11"/>
  <c r="A307" i="11"/>
  <c r="B308" i="11"/>
  <c r="A308" i="11"/>
  <c r="A309" i="11"/>
  <c r="B309" i="11"/>
  <c r="B310" i="11"/>
  <c r="A310" i="11"/>
  <c r="A311" i="11"/>
  <c r="B311" i="11"/>
  <c r="A312" i="11"/>
  <c r="B312" i="11"/>
  <c r="A313" i="11"/>
  <c r="B313" i="11"/>
  <c r="B314" i="11"/>
  <c r="A314" i="11"/>
  <c r="B315" i="11"/>
  <c r="A315" i="11"/>
  <c r="A316" i="11"/>
  <c r="B316" i="11"/>
  <c r="A317" i="11"/>
  <c r="B317" i="11"/>
  <c r="A318" i="11"/>
  <c r="B318" i="11"/>
  <c r="B319" i="11"/>
  <c r="A319" i="11"/>
  <c r="A320" i="11"/>
  <c r="B320" i="11"/>
  <c r="A321" i="11"/>
  <c r="B321" i="11"/>
  <c r="A322" i="11"/>
  <c r="B322" i="11"/>
  <c r="B323" i="11"/>
  <c r="A323" i="11"/>
  <c r="B324" i="11"/>
  <c r="A324" i="11"/>
  <c r="B325" i="11"/>
  <c r="A325" i="11"/>
  <c r="A326" i="11"/>
  <c r="B326" i="11"/>
  <c r="B327" i="11"/>
  <c r="A327" i="11"/>
  <c r="B328" i="11"/>
  <c r="A328" i="11"/>
  <c r="A329" i="11"/>
  <c r="B329" i="11"/>
  <c r="A330" i="11"/>
  <c r="B330" i="11"/>
  <c r="B331" i="11"/>
  <c r="A331" i="11"/>
  <c r="B332" i="11"/>
  <c r="A332" i="11"/>
  <c r="A333" i="11"/>
  <c r="B333" i="11"/>
  <c r="B334" i="11"/>
  <c r="A334" i="11"/>
  <c r="B335" i="11"/>
  <c r="A335" i="11"/>
  <c r="A336" i="11"/>
  <c r="B336" i="11"/>
  <c r="A337" i="11"/>
  <c r="B337" i="11"/>
  <c r="B338" i="11"/>
  <c r="A338" i="11"/>
  <c r="B339" i="11"/>
  <c r="A339" i="11"/>
  <c r="A340" i="11"/>
  <c r="B340" i="11"/>
  <c r="A341" i="11"/>
  <c r="B341" i="11"/>
  <c r="A342" i="11"/>
  <c r="B342" i="11"/>
  <c r="A343" i="11"/>
  <c r="B343" i="11"/>
  <c r="B344" i="11"/>
  <c r="A344" i="11"/>
  <c r="B345" i="11"/>
  <c r="A345" i="11"/>
  <c r="A346" i="11"/>
  <c r="B346" i="11"/>
  <c r="A347" i="11"/>
  <c r="B347" i="11"/>
  <c r="A348" i="11"/>
  <c r="B348" i="11"/>
  <c r="A349" i="11"/>
  <c r="B349" i="11"/>
  <c r="A350" i="11"/>
  <c r="B350" i="11"/>
  <c r="A351" i="11"/>
  <c r="B351" i="11"/>
  <c r="A352" i="11"/>
  <c r="B352" i="11"/>
  <c r="B353" i="11"/>
  <c r="A353" i="11"/>
  <c r="A354" i="11"/>
  <c r="B354" i="11"/>
  <c r="B355" i="11"/>
  <c r="A355" i="11"/>
  <c r="A356" i="11"/>
  <c r="B356" i="11"/>
  <c r="B357" i="11"/>
  <c r="A357" i="11"/>
  <c r="B358" i="11"/>
  <c r="A358" i="11"/>
  <c r="B359" i="11"/>
  <c r="A359" i="11"/>
  <c r="A360" i="11"/>
  <c r="B360" i="11"/>
  <c r="A361" i="11"/>
  <c r="B361" i="11"/>
  <c r="B362" i="11"/>
  <c r="A362" i="11"/>
  <c r="B363" i="11"/>
  <c r="A363" i="11"/>
  <c r="A364" i="11"/>
  <c r="B364" i="11"/>
  <c r="B365" i="11"/>
  <c r="A365" i="11"/>
  <c r="B366" i="11"/>
  <c r="A366" i="11"/>
  <c r="A367" i="11"/>
  <c r="B367" i="11"/>
  <c r="A368" i="11"/>
  <c r="B368" i="11"/>
  <c r="B369" i="11"/>
  <c r="A369" i="11"/>
  <c r="A370" i="11"/>
  <c r="B370" i="11"/>
  <c r="B371" i="11"/>
  <c r="A371" i="11"/>
  <c r="A372" i="11"/>
  <c r="B372" i="11"/>
  <c r="B373" i="11"/>
  <c r="A373" i="11"/>
  <c r="A374" i="11"/>
  <c r="B374" i="11"/>
  <c r="B375" i="11"/>
  <c r="A375" i="11"/>
  <c r="A376" i="11"/>
  <c r="B376" i="11"/>
  <c r="A377" i="11"/>
  <c r="B377" i="11"/>
  <c r="A378" i="11"/>
  <c r="B378" i="11"/>
  <c r="A379" i="11"/>
  <c r="B379" i="11"/>
  <c r="A380" i="11"/>
  <c r="B380" i="11"/>
  <c r="B381" i="11"/>
  <c r="A381" i="11"/>
  <c r="A382" i="11"/>
  <c r="B382" i="11"/>
  <c r="A383" i="11"/>
  <c r="B383" i="11"/>
  <c r="B384" i="11"/>
  <c r="A384" i="11"/>
  <c r="B385" i="11"/>
  <c r="A385" i="11"/>
  <c r="B386" i="11"/>
  <c r="A386" i="11"/>
  <c r="B387" i="11"/>
  <c r="A387" i="11"/>
  <c r="B388" i="11"/>
  <c r="A388" i="11"/>
  <c r="B389" i="11"/>
  <c r="A389" i="11"/>
  <c r="B390" i="11"/>
  <c r="A390" i="11"/>
  <c r="A391" i="11"/>
  <c r="B391" i="11"/>
  <c r="A392" i="11"/>
  <c r="B392" i="11"/>
  <c r="A393" i="11"/>
  <c r="B393" i="11"/>
  <c r="B394" i="11"/>
  <c r="A394" i="11"/>
  <c r="A395" i="11"/>
  <c r="B395" i="11"/>
  <c r="B396" i="11"/>
  <c r="A396" i="11"/>
  <c r="B397" i="11"/>
  <c r="A397" i="11"/>
  <c r="B398" i="11"/>
  <c r="A398" i="11"/>
  <c r="B399" i="11"/>
  <c r="A399" i="11"/>
  <c r="A400" i="11"/>
  <c r="B400" i="11"/>
  <c r="B401" i="11"/>
  <c r="A401" i="11"/>
  <c r="B402" i="11"/>
  <c r="A402" i="11"/>
  <c r="B403" i="11"/>
  <c r="A403" i="11"/>
  <c r="A404" i="11"/>
  <c r="B404" i="11"/>
  <c r="B405" i="11"/>
  <c r="A405" i="11"/>
  <c r="A406" i="11"/>
  <c r="B406" i="11"/>
  <c r="A407" i="11"/>
  <c r="B407" i="11"/>
  <c r="B408" i="11"/>
  <c r="A408" i="11"/>
  <c r="B409" i="11"/>
  <c r="A409" i="11"/>
  <c r="B410" i="11"/>
  <c r="A410" i="11"/>
  <c r="A411" i="11"/>
  <c r="B411" i="11"/>
  <c r="A412" i="11"/>
  <c r="B412" i="11"/>
  <c r="A413" i="11"/>
  <c r="B413" i="11"/>
  <c r="A414" i="11"/>
  <c r="B414" i="11"/>
  <c r="A415" i="11"/>
  <c r="B415" i="11"/>
  <c r="B416" i="11"/>
  <c r="A416" i="11"/>
  <c r="B417" i="11"/>
  <c r="A417" i="11"/>
  <c r="A418" i="11"/>
  <c r="B418" i="11"/>
  <c r="B419" i="11"/>
  <c r="A419" i="11"/>
  <c r="B420" i="11"/>
  <c r="A420" i="11"/>
  <c r="B421" i="11"/>
  <c r="A421" i="11"/>
  <c r="A422" i="11"/>
  <c r="B422" i="11"/>
  <c r="B423" i="11"/>
  <c r="A423" i="11"/>
  <c r="B424" i="11"/>
  <c r="A424" i="11"/>
  <c r="A425" i="11"/>
  <c r="B425" i="11"/>
  <c r="B426" i="11"/>
  <c r="A426" i="11"/>
  <c r="B427" i="11"/>
  <c r="A427" i="11"/>
  <c r="A428" i="11"/>
  <c r="B428" i="11"/>
  <c r="B429" i="11"/>
  <c r="A429" i="11"/>
  <c r="A430" i="11"/>
  <c r="B430" i="11"/>
  <c r="B431" i="11"/>
  <c r="A431" i="11"/>
  <c r="A432" i="11"/>
  <c r="B432" i="11"/>
  <c r="B433" i="11"/>
  <c r="A433" i="11"/>
  <c r="A434" i="11"/>
  <c r="B434" i="11"/>
  <c r="B435" i="11"/>
  <c r="A435" i="11"/>
  <c r="B436" i="11"/>
  <c r="A436" i="11"/>
  <c r="A437" i="11"/>
  <c r="B437" i="11"/>
  <c r="B438" i="11"/>
  <c r="A438" i="11"/>
  <c r="B439" i="11"/>
  <c r="A439" i="11"/>
  <c r="B440" i="11"/>
  <c r="A440" i="11"/>
  <c r="B441" i="11"/>
  <c r="A441" i="11"/>
  <c r="A442" i="11"/>
  <c r="B442" i="11"/>
  <c r="A443" i="11"/>
  <c r="B443" i="11"/>
  <c r="B444" i="11"/>
  <c r="A444" i="11"/>
  <c r="B445" i="11"/>
  <c r="A445" i="11"/>
  <c r="B446" i="11"/>
  <c r="A446" i="11"/>
  <c r="A447" i="11"/>
  <c r="B447" i="11"/>
  <c r="A448" i="11"/>
  <c r="B448" i="11"/>
  <c r="A449" i="11"/>
  <c r="B449" i="11"/>
  <c r="A450" i="11"/>
  <c r="B450" i="11"/>
  <c r="B451" i="11"/>
  <c r="A451" i="11"/>
  <c r="B452" i="11"/>
  <c r="A452" i="11"/>
  <c r="B453" i="11"/>
  <c r="A453" i="11"/>
  <c r="B454" i="11"/>
  <c r="A454" i="11"/>
  <c r="B455" i="11"/>
  <c r="A455" i="11"/>
  <c r="B456" i="11"/>
  <c r="A456" i="11"/>
  <c r="B457" i="11"/>
  <c r="A457" i="11"/>
  <c r="B458" i="11"/>
  <c r="A458" i="11"/>
  <c r="B459" i="11"/>
  <c r="A459" i="11"/>
  <c r="A460" i="11"/>
  <c r="B460" i="11"/>
  <c r="B461" i="11"/>
  <c r="A461" i="11"/>
  <c r="A462" i="11"/>
  <c r="B462" i="11"/>
  <c r="A463" i="11"/>
  <c r="B463" i="11"/>
  <c r="A464" i="11"/>
  <c r="B464" i="11"/>
  <c r="A465" i="11"/>
  <c r="B465" i="11"/>
  <c r="A466" i="11"/>
  <c r="B466" i="11"/>
  <c r="B467" i="11"/>
  <c r="A467" i="11"/>
  <c r="B468" i="11"/>
  <c r="A468" i="11"/>
  <c r="A469" i="11"/>
  <c r="B469" i="11"/>
  <c r="A470" i="11"/>
  <c r="B470" i="11"/>
  <c r="A471" i="11"/>
  <c r="B471" i="11"/>
  <c r="B472" i="11"/>
  <c r="A472" i="11"/>
  <c r="B473" i="11"/>
  <c r="A473" i="11"/>
  <c r="A474" i="11"/>
  <c r="B474" i="11"/>
  <c r="B475" i="11"/>
  <c r="A475" i="11"/>
  <c r="B476" i="11"/>
  <c r="A476" i="11"/>
  <c r="B477" i="11"/>
  <c r="A477" i="11"/>
  <c r="B478" i="11"/>
  <c r="A478" i="11"/>
  <c r="B479" i="11"/>
  <c r="A479" i="11"/>
  <c r="B480" i="11"/>
  <c r="A480" i="11"/>
  <c r="A481" i="11"/>
  <c r="B481" i="11"/>
  <c r="A482" i="11"/>
  <c r="B482" i="11"/>
  <c r="A483" i="11"/>
  <c r="B483" i="11"/>
  <c r="A484" i="11"/>
  <c r="B484" i="11"/>
  <c r="A485" i="11"/>
  <c r="B485" i="11"/>
  <c r="A486" i="11"/>
  <c r="B486" i="11"/>
  <c r="A487" i="11"/>
  <c r="B487" i="11"/>
  <c r="B488" i="11"/>
  <c r="A488" i="11"/>
  <c r="B489" i="11"/>
  <c r="A489" i="11"/>
  <c r="A490" i="11"/>
  <c r="B490" i="11"/>
  <c r="B491" i="11"/>
  <c r="A491" i="11"/>
  <c r="B492" i="11"/>
  <c r="A492" i="11"/>
  <c r="A493" i="11"/>
  <c r="B493" i="11"/>
  <c r="A494" i="11"/>
  <c r="B494" i="11"/>
  <c r="A495" i="11"/>
  <c r="B495" i="11"/>
  <c r="A496" i="11"/>
  <c r="B496" i="11"/>
  <c r="B497" i="11"/>
  <c r="A497" i="11"/>
  <c r="B498" i="11"/>
  <c r="A498" i="11"/>
  <c r="B499" i="11"/>
  <c r="A499" i="11"/>
  <c r="A500" i="11"/>
  <c r="B500" i="11"/>
  <c r="B501" i="11"/>
  <c r="A501" i="11"/>
  <c r="A502" i="11"/>
  <c r="B502" i="11"/>
  <c r="B503" i="11"/>
  <c r="A503" i="11"/>
  <c r="B504" i="11"/>
  <c r="A504" i="11"/>
  <c r="B505" i="11"/>
  <c r="A505" i="11"/>
  <c r="A506" i="11"/>
  <c r="B506" i="11"/>
  <c r="B507" i="11"/>
  <c r="A507" i="11"/>
  <c r="A508" i="11"/>
  <c r="B508" i="11"/>
  <c r="B509" i="11"/>
  <c r="A509" i="11"/>
  <c r="B510" i="11"/>
  <c r="A510" i="11"/>
  <c r="A511" i="11"/>
  <c r="B511" i="11"/>
  <c r="B512" i="11"/>
  <c r="A512" i="11"/>
  <c r="B513" i="11"/>
  <c r="A513" i="11"/>
  <c r="B514" i="11"/>
  <c r="A514" i="11"/>
  <c r="B515" i="11"/>
  <c r="A515" i="11"/>
  <c r="B516" i="11"/>
  <c r="A516" i="11"/>
  <c r="A517" i="11"/>
  <c r="B517" i="11"/>
  <c r="A518" i="11"/>
  <c r="B518" i="11"/>
  <c r="A519" i="11"/>
  <c r="B519" i="11"/>
  <c r="B520" i="11"/>
  <c r="A520" i="11"/>
  <c r="A521" i="11"/>
  <c r="B521" i="11"/>
  <c r="A522" i="11"/>
  <c r="B522" i="11"/>
  <c r="B523" i="11"/>
  <c r="A523" i="11"/>
  <c r="B524" i="11"/>
  <c r="A524" i="11"/>
  <c r="B525" i="11"/>
  <c r="A525" i="11"/>
  <c r="B526" i="11"/>
  <c r="A526" i="11"/>
  <c r="A527" i="11"/>
  <c r="B527" i="11"/>
  <c r="B528" i="11"/>
  <c r="A528" i="11"/>
  <c r="B529" i="11"/>
  <c r="A529" i="11"/>
  <c r="A530" i="11"/>
  <c r="B530" i="11"/>
  <c r="A531" i="11"/>
  <c r="B531" i="11"/>
  <c r="A532" i="11"/>
  <c r="B532" i="11"/>
  <c r="A533" i="11"/>
  <c r="B533" i="11"/>
  <c r="B534" i="11"/>
  <c r="A534" i="11"/>
  <c r="A535" i="11"/>
  <c r="B535" i="11"/>
  <c r="B536" i="11"/>
  <c r="A536" i="11"/>
  <c r="A537" i="11"/>
  <c r="B537" i="11"/>
  <c r="B538" i="11"/>
  <c r="A538" i="11"/>
  <c r="A539" i="11"/>
  <c r="B539" i="11"/>
  <c r="A540" i="11"/>
  <c r="B540" i="11"/>
  <c r="A541" i="11"/>
  <c r="B541" i="11"/>
  <c r="B542" i="11"/>
  <c r="A542" i="11"/>
  <c r="B543" i="11"/>
  <c r="A543" i="11"/>
  <c r="B544" i="11"/>
  <c r="A544" i="11"/>
  <c r="A545" i="11"/>
  <c r="B545" i="11"/>
  <c r="B546" i="11"/>
  <c r="A546" i="11"/>
  <c r="A547" i="11"/>
  <c r="B547" i="11"/>
  <c r="A548" i="11"/>
  <c r="B548" i="11"/>
  <c r="A549" i="11"/>
  <c r="B549" i="11"/>
  <c r="B550" i="11"/>
  <c r="A550" i="11"/>
  <c r="B551" i="11"/>
  <c r="A551" i="11"/>
  <c r="A552" i="11"/>
  <c r="B552" i="11"/>
  <c r="B553" i="11"/>
  <c r="A553" i="11"/>
  <c r="A554" i="11"/>
  <c r="B554" i="11"/>
  <c r="B555" i="11"/>
  <c r="A555" i="11"/>
  <c r="A556" i="11"/>
  <c r="B556" i="11"/>
  <c r="A557" i="11"/>
  <c r="B557" i="11"/>
  <c r="A558" i="11"/>
  <c r="B558" i="11"/>
  <c r="B559" i="11"/>
  <c r="A559" i="11"/>
  <c r="B560" i="11"/>
  <c r="A560" i="11"/>
  <c r="B561" i="11"/>
  <c r="A561" i="11"/>
  <c r="B562" i="11"/>
  <c r="A562" i="11"/>
  <c r="A563" i="11"/>
  <c r="B563" i="11"/>
  <c r="A564" i="11"/>
  <c r="B564" i="11"/>
  <c r="B565" i="11"/>
  <c r="A565" i="11"/>
  <c r="B566" i="11"/>
  <c r="A566" i="11"/>
  <c r="B567" i="11"/>
  <c r="A567" i="11"/>
  <c r="B568" i="11"/>
  <c r="A568" i="11"/>
  <c r="A569" i="11"/>
  <c r="B569" i="11"/>
  <c r="A570" i="11"/>
  <c r="B570" i="11"/>
  <c r="A571" i="11"/>
  <c r="B571" i="11"/>
  <c r="A572" i="11"/>
  <c r="B572" i="11"/>
  <c r="A573" i="11"/>
  <c r="B573" i="11"/>
  <c r="B574" i="11"/>
  <c r="A574" i="11"/>
  <c r="B575" i="11"/>
  <c r="A575" i="11"/>
  <c r="B576" i="11"/>
  <c r="A576" i="11"/>
  <c r="A577" i="11"/>
  <c r="B577" i="11"/>
  <c r="A578" i="11"/>
  <c r="B578" i="11"/>
  <c r="A579" i="11"/>
  <c r="B579" i="11"/>
  <c r="B580" i="11"/>
  <c r="A580" i="11"/>
  <c r="B581" i="11"/>
  <c r="A581" i="11"/>
  <c r="B582" i="11"/>
  <c r="A582" i="11"/>
  <c r="B583" i="11"/>
  <c r="A583" i="11"/>
  <c r="A584" i="11"/>
  <c r="B584" i="11"/>
  <c r="B585" i="11"/>
  <c r="A585" i="11"/>
  <c r="B586" i="11"/>
  <c r="A586" i="11"/>
  <c r="A587" i="11"/>
  <c r="B587" i="11"/>
  <c r="A588" i="11"/>
  <c r="B588" i="11"/>
  <c r="A589" i="11"/>
  <c r="B589" i="11"/>
  <c r="B590" i="11"/>
  <c r="A590" i="11"/>
  <c r="B591" i="11"/>
  <c r="A591" i="11"/>
  <c r="B592" i="11"/>
  <c r="A592" i="11"/>
  <c r="A593" i="11"/>
  <c r="B593" i="11"/>
  <c r="B594" i="11"/>
  <c r="A594" i="11"/>
  <c r="A595" i="11"/>
  <c r="B595" i="11"/>
  <c r="B596" i="11"/>
  <c r="A596" i="11"/>
  <c r="B597" i="11"/>
  <c r="A597" i="11"/>
  <c r="A598" i="11"/>
  <c r="B598" i="11"/>
  <c r="A599" i="11"/>
  <c r="B599" i="11"/>
  <c r="A600" i="11"/>
  <c r="B600" i="11"/>
  <c r="A601" i="11"/>
  <c r="B601" i="11"/>
  <c r="A602" i="11"/>
  <c r="B602" i="11"/>
  <c r="A603" i="11"/>
  <c r="B603" i="11"/>
  <c r="A604" i="11"/>
  <c r="B604" i="11"/>
  <c r="A605" i="11"/>
  <c r="B605" i="11"/>
  <c r="A606" i="11"/>
  <c r="B606" i="11"/>
  <c r="B607" i="11"/>
  <c r="A607" i="11"/>
  <c r="A608" i="11"/>
  <c r="B608" i="11"/>
  <c r="A609" i="11"/>
  <c r="B609" i="11"/>
  <c r="A610" i="11"/>
  <c r="B610" i="11"/>
  <c r="B611" i="11"/>
  <c r="A611" i="11"/>
  <c r="A612" i="11"/>
  <c r="B612" i="11"/>
  <c r="A613" i="11"/>
  <c r="B613" i="11"/>
  <c r="A614" i="11"/>
  <c r="B614" i="11"/>
  <c r="B615" i="11"/>
  <c r="A615" i="11"/>
  <c r="A616" i="11"/>
  <c r="B616" i="11"/>
  <c r="B617" i="11"/>
  <c r="A617" i="11"/>
  <c r="A618" i="11"/>
  <c r="B618" i="11"/>
  <c r="H722" i="11"/>
  <c r="H723" i="11"/>
  <c r="H724" i="11"/>
  <c r="C628" i="11"/>
  <c r="C647" i="11" l="1"/>
  <c r="C696" i="11"/>
  <c r="C697" i="11"/>
  <c r="C676" i="11"/>
  <c r="C688" i="11"/>
  <c r="C646" i="11"/>
  <c r="C623" i="11"/>
  <c r="C652" i="11"/>
  <c r="C631" i="11"/>
  <c r="C674" i="11"/>
  <c r="C690" i="11"/>
  <c r="C640" i="11"/>
  <c r="C681" i="11"/>
  <c r="C648" i="11"/>
  <c r="C641" i="11"/>
  <c r="C659" i="11"/>
  <c r="C653" i="11"/>
  <c r="C660" i="11"/>
  <c r="C632" i="11"/>
  <c r="C683" i="11"/>
  <c r="C680" i="11"/>
  <c r="C645" i="11"/>
  <c r="C675" i="11"/>
  <c r="C717" i="11"/>
  <c r="C710" i="11"/>
  <c r="C625" i="11"/>
  <c r="C701" i="11"/>
  <c r="C673" i="11"/>
  <c r="C669" i="11"/>
  <c r="C723" i="11"/>
  <c r="C662" i="11"/>
  <c r="C624" i="11"/>
  <c r="C655" i="11"/>
  <c r="C703" i="11"/>
  <c r="C639" i="11"/>
  <c r="C694" i="11"/>
  <c r="C708" i="11"/>
  <c r="C724" i="11"/>
  <c r="C695" i="11"/>
  <c r="C654" i="11"/>
  <c r="C633" i="11"/>
  <c r="C666" i="11"/>
  <c r="C638" i="11"/>
  <c r="C668" i="11"/>
  <c r="C667" i="11"/>
  <c r="C661" i="11"/>
  <c r="C682" i="11"/>
  <c r="C715" i="11"/>
  <c r="C722" i="11"/>
  <c r="C687" i="11"/>
  <c r="C725" i="11"/>
  <c r="C689" i="11"/>
  <c r="C711" i="11"/>
  <c r="C716" i="11"/>
  <c r="C709" i="11"/>
  <c r="C704" i="11"/>
  <c r="C702" i="11"/>
  <c r="C718" i="11"/>
  <c r="C622" i="11"/>
  <c r="C634" i="11"/>
  <c r="B716" i="11"/>
  <c r="B710" i="11"/>
  <c r="B708" i="11"/>
  <c r="B703" i="11"/>
  <c r="B688" i="11"/>
  <c r="B682" i="11"/>
  <c r="B681" i="11"/>
  <c r="B680" i="11"/>
  <c r="B675" i="11"/>
  <c r="B661" i="11"/>
  <c r="B660" i="11"/>
  <c r="B659" i="11"/>
  <c r="B655" i="11"/>
  <c r="B638" i="11"/>
  <c r="B725" i="11"/>
  <c r="B724" i="11"/>
  <c r="B723" i="11"/>
  <c r="B722" i="11"/>
  <c r="B718" i="11"/>
  <c r="B717" i="11"/>
  <c r="B715" i="11"/>
  <c r="B711" i="11"/>
  <c r="B709" i="11"/>
  <c r="B704" i="11"/>
  <c r="B702" i="11"/>
  <c r="B683" i="11"/>
  <c r="B674" i="11"/>
  <c r="B668" i="11"/>
  <c r="B667" i="11"/>
  <c r="B666" i="11"/>
  <c r="B652" i="11"/>
  <c r="B648" i="11"/>
  <c r="B696" i="11"/>
  <c r="B694" i="11"/>
  <c r="B690" i="11"/>
  <c r="B689" i="11"/>
  <c r="B662" i="11"/>
  <c r="B654" i="11"/>
  <c r="B645" i="11"/>
  <c r="B641" i="11"/>
  <c r="B640" i="11"/>
  <c r="B639" i="11"/>
  <c r="B701" i="11"/>
  <c r="B697" i="11"/>
  <c r="B695" i="11"/>
  <c r="B687" i="11"/>
  <c r="B676" i="11"/>
  <c r="B673" i="11"/>
  <c r="B669" i="11"/>
  <c r="B653" i="11"/>
  <c r="B647" i="11"/>
  <c r="B646" i="11"/>
  <c r="H652" i="11"/>
  <c r="H631" i="11"/>
  <c r="H689" i="11"/>
  <c r="H710" i="11"/>
  <c r="H716" i="11"/>
  <c r="H633" i="11"/>
  <c r="H694" i="11"/>
  <c r="H666" i="11"/>
  <c r="H673" i="11"/>
  <c r="H715" i="11"/>
  <c r="H695" i="11"/>
  <c r="H717" i="11"/>
  <c r="H638" i="11"/>
  <c r="H675" i="11"/>
  <c r="H639" i="11"/>
  <c r="H696" i="11"/>
  <c r="H668" i="11"/>
  <c r="H687" i="11"/>
  <c r="H667" i="11"/>
  <c r="H688" i="11"/>
  <c r="H680" i="11"/>
  <c r="H653" i="11"/>
  <c r="H654" i="11"/>
  <c r="H640" i="11"/>
  <c r="H701" i="11"/>
  <c r="H659" i="11"/>
  <c r="H681" i="11"/>
  <c r="H660" i="11"/>
  <c r="H645" i="11"/>
  <c r="H703" i="11"/>
  <c r="H709" i="11"/>
  <c r="H702" i="11"/>
  <c r="H708" i="11"/>
  <c r="H632" i="11"/>
  <c r="H682" i="11"/>
  <c r="H661" i="11"/>
  <c r="H646" i="11"/>
  <c r="H647" i="11"/>
  <c r="C670" i="11" l="1"/>
  <c r="E666" i="11" s="1"/>
  <c r="C642" i="11"/>
  <c r="E638" i="11" s="1"/>
  <c r="C626" i="11"/>
  <c r="C726" i="11"/>
  <c r="E722" i="11" s="1"/>
  <c r="C656" i="11"/>
  <c r="E652" i="11" s="1"/>
  <c r="C684" i="11"/>
  <c r="E680" i="11" s="1"/>
  <c r="C649" i="11"/>
  <c r="E645" i="11" s="1"/>
  <c r="C677" i="11"/>
  <c r="E673" i="11" s="1"/>
  <c r="C705" i="11"/>
  <c r="E701" i="11" s="1"/>
  <c r="C635" i="11"/>
  <c r="E631" i="11" s="1"/>
  <c r="C663" i="11"/>
  <c r="E659" i="11" s="1"/>
  <c r="C698" i="11"/>
  <c r="E694" i="11" s="1"/>
  <c r="C691" i="11"/>
  <c r="E687" i="11" s="1"/>
  <c r="C719" i="11"/>
  <c r="E715" i="11" s="1"/>
  <c r="C712" i="11"/>
  <c r="E708" i="11" s="1"/>
  <c r="B663" i="11"/>
  <c r="B670" i="11"/>
  <c r="B712" i="11"/>
  <c r="D708" i="11" s="1"/>
  <c r="B684" i="11"/>
  <c r="D680" i="11" s="1"/>
  <c r="B726" i="11"/>
  <c r="D722" i="11" s="1"/>
  <c r="B719" i="11"/>
  <c r="D715" i="11" s="1"/>
  <c r="B656" i="11"/>
  <c r="D652" i="11" s="1"/>
  <c r="B705" i="11"/>
  <c r="D701" i="11" s="1"/>
  <c r="B691" i="11"/>
  <c r="D687" i="11" s="1"/>
  <c r="B677" i="11"/>
  <c r="D673" i="11" s="1"/>
  <c r="B642" i="11"/>
  <c r="B649" i="11"/>
  <c r="B698" i="11"/>
  <c r="B631" i="11"/>
  <c r="B625" i="11"/>
  <c r="B624" i="11"/>
  <c r="G623" i="11"/>
  <c r="G622" i="11"/>
  <c r="G625" i="11"/>
  <c r="B623" i="11"/>
  <c r="B622" i="11"/>
  <c r="G624" i="11"/>
  <c r="H674" i="11"/>
  <c r="B634" i="11"/>
  <c r="B633" i="11"/>
  <c r="B632" i="11"/>
  <c r="E624" i="11" l="1"/>
  <c r="E622" i="11"/>
  <c r="E623" i="11"/>
  <c r="D660" i="11"/>
  <c r="D661" i="11"/>
  <c r="D659" i="11"/>
  <c r="E661" i="11"/>
  <c r="E660" i="11"/>
  <c r="D668" i="11"/>
  <c r="D667" i="11"/>
  <c r="D666" i="11"/>
  <c r="E668" i="11"/>
  <c r="E667" i="11"/>
  <c r="D709" i="11"/>
  <c r="D710" i="11"/>
  <c r="E710" i="11"/>
  <c r="E709" i="11"/>
  <c r="D681" i="11"/>
  <c r="D682" i="11"/>
  <c r="E681" i="11"/>
  <c r="E682" i="11"/>
  <c r="D723" i="11"/>
  <c r="D724" i="11"/>
  <c r="E724" i="11"/>
  <c r="E723" i="11"/>
  <c r="D717" i="11"/>
  <c r="D716" i="11"/>
  <c r="E717" i="11"/>
  <c r="E716" i="11"/>
  <c r="D653" i="11"/>
  <c r="D654" i="11"/>
  <c r="E654" i="11"/>
  <c r="E653" i="11"/>
  <c r="D702" i="11"/>
  <c r="D703" i="11"/>
  <c r="E703" i="11"/>
  <c r="E702" i="11"/>
  <c r="D689" i="11"/>
  <c r="D688" i="11"/>
  <c r="E689" i="11"/>
  <c r="E688" i="11"/>
  <c r="D674" i="11"/>
  <c r="D675" i="11"/>
  <c r="E675" i="11"/>
  <c r="E674" i="11"/>
  <c r="D640" i="11"/>
  <c r="D639" i="11"/>
  <c r="E640" i="11"/>
  <c r="E639" i="11"/>
  <c r="D638" i="11"/>
  <c r="D646" i="11"/>
  <c r="D647" i="11"/>
  <c r="E647" i="11"/>
  <c r="E646" i="11"/>
  <c r="D645" i="11"/>
  <c r="D695" i="11"/>
  <c r="D696" i="11"/>
  <c r="E696" i="11"/>
  <c r="E695" i="11"/>
  <c r="D694" i="11"/>
  <c r="L622" i="11"/>
  <c r="L625" i="11"/>
  <c r="B635" i="11"/>
  <c r="L623" i="11"/>
  <c r="G626" i="11"/>
  <c r="L624" i="11"/>
  <c r="B626" i="11"/>
  <c r="D622" i="11" s="1"/>
  <c r="D633" i="11" l="1"/>
  <c r="E633" i="11"/>
  <c r="E632" i="11"/>
  <c r="D632" i="11"/>
  <c r="L626" i="11"/>
  <c r="D631" i="11"/>
  <c r="D623" i="11"/>
  <c r="D624" i="11"/>
  <c r="H622" i="11"/>
  <c r="H623" i="11"/>
  <c r="H624" i="11"/>
  <c r="M624" i="11" l="1"/>
  <c r="M623" i="11"/>
  <c r="M62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C63E22-9227-4F79-A3A6-45295D60C462}" keepAlive="1" name="Consulta - Rel 2026" description="Conexão com a consulta 'Rel 2026' na pasta de trabalho." type="5" refreshedVersion="8" background="1" saveData="1">
    <dbPr connection="Provider=Microsoft.Mashup.OleDb.1;Data Source=$Workbook$;Location=&quot;Rel 2026&quot;;Extended Properties=&quot;&quot;" command="SELECT * FROM [Rel 2026]"/>
  </connection>
  <connection id="2" xr16:uid="{F10C5DC1-AEE1-4B6D-A1B1-48B1E2B6E50A}" keepAlive="1" name="Consulta - Rel 2026 Geral" description="Conexão com a consulta 'Rel 2026 Geral' na pasta de trabalho." type="5" refreshedVersion="8" background="1" saveData="1">
    <dbPr connection="Provider=Microsoft.Mashup.OleDb.1;Data Source=$Workbook$;Location=&quot;Rel 2026 Geral&quot;;Extended Properties=&quot;&quot;" command="SELECT * FROM [Rel 2026 Geral]"/>
  </connection>
</connections>
</file>

<file path=xl/sharedStrings.xml><?xml version="1.0" encoding="utf-8"?>
<sst xmlns="http://schemas.openxmlformats.org/spreadsheetml/2006/main" count="7717" uniqueCount="1454">
  <si>
    <t>chave_loja</t>
  </si>
  <si>
    <t>nome_loja</t>
  </si>
  <si>
    <t>ag_pacb</t>
  </si>
  <si>
    <t>dt_inst_tablet</t>
  </si>
  <si>
    <t>uf</t>
  </si>
  <si>
    <t>municipio</t>
  </si>
  <si>
    <t>dt_clube</t>
  </si>
  <si>
    <t>dt_certificacao</t>
  </si>
  <si>
    <t>ger_regional</t>
  </si>
  <si>
    <t>data_ult_transacao</t>
  </si>
  <si>
    <t>qtd_TrxContabil</t>
  </si>
  <si>
    <t>qtd_contas</t>
  </si>
  <si>
    <t>qtd_contas_com_deposito</t>
  </si>
  <si>
    <t>qtd_cesta_serv</t>
  </si>
  <si>
    <t>QTD_CARTAO_EMITIDO</t>
  </si>
  <si>
    <t>vlr_lime</t>
  </si>
  <si>
    <t>QTD_CONTAS_PJ</t>
  </si>
  <si>
    <t>qtd_microsseguro</t>
  </si>
  <si>
    <t>QTD_SUPER_PROTEGIDO</t>
  </si>
  <si>
    <t>QTD_MICRO_VIVAVIDA</t>
  </si>
  <si>
    <t>QTD_PLANO_ODONTO</t>
  </si>
  <si>
    <t>QTD_SEG_RESIDENCIAL</t>
  </si>
  <si>
    <t>QTD_SEG_CARTAO_DEB</t>
  </si>
  <si>
    <t>CE</t>
  </si>
  <si>
    <t>FORTALEZA</t>
  </si>
  <si>
    <t>FORTALEZA LESTE</t>
  </si>
  <si>
    <t>Nao</t>
  </si>
  <si>
    <t>Desbloqueado</t>
  </si>
  <si>
    <t>TREINADO</t>
  </si>
  <si>
    <t>HIROSHIMA</t>
  </si>
  <si>
    <t>5367/146</t>
  </si>
  <si>
    <t>BELA CRUZ</t>
  </si>
  <si>
    <t>FORTALEZA OESTE</t>
  </si>
  <si>
    <t>IMPERIO DO BEBE</t>
  </si>
  <si>
    <t>3238/109</t>
  </si>
  <si>
    <t>LELEO CALCADOS 0004</t>
  </si>
  <si>
    <t>0684/203</t>
  </si>
  <si>
    <t>CRUZ</t>
  </si>
  <si>
    <t>Sim</t>
  </si>
  <si>
    <t>FARMACIA AMIGA DO TRABALHADOR</t>
  </si>
  <si>
    <t>0711/128</t>
  </si>
  <si>
    <t>HORIZONTE</t>
  </si>
  <si>
    <t>PENTECOSTE</t>
  </si>
  <si>
    <t>DORINHA</t>
  </si>
  <si>
    <t>1302/137</t>
  </si>
  <si>
    <t>CANINDE</t>
  </si>
  <si>
    <t>FARMARRUDA</t>
  </si>
  <si>
    <t>0458/387</t>
  </si>
  <si>
    <t>MORAUJO</t>
  </si>
  <si>
    <t>G L Construcoes</t>
  </si>
  <si>
    <t>1302/213</t>
  </si>
  <si>
    <t>CARIDADE</t>
  </si>
  <si>
    <t>JUAZEIRO DO NORTE</t>
  </si>
  <si>
    <t>FARMACIA GAMA</t>
  </si>
  <si>
    <t>0716/112</t>
  </si>
  <si>
    <t>PINDORETAMA</t>
  </si>
  <si>
    <t>Bloqueado</t>
  </si>
  <si>
    <t>AQUIRAZ</t>
  </si>
  <si>
    <t>MARCO</t>
  </si>
  <si>
    <t>QUATRO PATAS</t>
  </si>
  <si>
    <t>0767/146</t>
  </si>
  <si>
    <t>PACATUBA</t>
  </si>
  <si>
    <t>PAPELARIA COELHO E DAMASCENO</t>
  </si>
  <si>
    <t>0685/130</t>
  </si>
  <si>
    <t>ITAICABA</t>
  </si>
  <si>
    <t>Boutique Socorro Matos</t>
  </si>
  <si>
    <t>5447/127</t>
  </si>
  <si>
    <t>APUIARES</t>
  </si>
  <si>
    <t>FARMACIA PADRE CICERO 0001</t>
  </si>
  <si>
    <t>5438/068</t>
  </si>
  <si>
    <t>IBICUITINGA</t>
  </si>
  <si>
    <t>ITATIRA</t>
  </si>
  <si>
    <t>M L FONTENELE</t>
  </si>
  <si>
    <t>5387/121</t>
  </si>
  <si>
    <t>GRANJA</t>
  </si>
  <si>
    <t>ARACOIABA</t>
  </si>
  <si>
    <t>ITA MERCANTIL</t>
  </si>
  <si>
    <t>0704/119</t>
  </si>
  <si>
    <t>ITAPIUNA</t>
  </si>
  <si>
    <t>ANCORA DISTRIBUIDORA 0012</t>
  </si>
  <si>
    <t>5386/075</t>
  </si>
  <si>
    <t>EUSEBIO</t>
  </si>
  <si>
    <t>CASA DAS COPIAS SAO JOAO BATISTA</t>
  </si>
  <si>
    <t>0711/129</t>
  </si>
  <si>
    <t>DISTRIBUIDORA DE ALIMENTOS ALBUQUERQUE</t>
  </si>
  <si>
    <t>0628/090</t>
  </si>
  <si>
    <t>FARMACIA REDENCAO LIBERDADE</t>
  </si>
  <si>
    <t>5449/145</t>
  </si>
  <si>
    <t>REDENCAO</t>
  </si>
  <si>
    <t>GENERAL SAMPAIO</t>
  </si>
  <si>
    <t>MIRANDA VARIEDADES</t>
  </si>
  <si>
    <t>0719/132</t>
  </si>
  <si>
    <t>IRAUCUBA</t>
  </si>
  <si>
    <t>GUAIUBA</t>
  </si>
  <si>
    <t>I. SOARES COMERCIAL</t>
  </si>
  <si>
    <t>5367/081</t>
  </si>
  <si>
    <t>MORRINHOS</t>
  </si>
  <si>
    <t>PARAIPABA</t>
  </si>
  <si>
    <t>Loja Eubella</t>
  </si>
  <si>
    <t>5447/132</t>
  </si>
  <si>
    <t>Imperio Da Carne</t>
  </si>
  <si>
    <t>0742/076</t>
  </si>
  <si>
    <t>ACARAPE</t>
  </si>
  <si>
    <t>AK RACOES</t>
  </si>
  <si>
    <t>5367/174</t>
  </si>
  <si>
    <t>BOM PRECO</t>
  </si>
  <si>
    <t>1522/109</t>
  </si>
  <si>
    <t>PI</t>
  </si>
  <si>
    <t>CARAUBAS DO PIAUI</t>
  </si>
  <si>
    <t>TERESINA</t>
  </si>
  <si>
    <t>K CELL ACESSORIOS</t>
  </si>
  <si>
    <t>5447/137</t>
  </si>
  <si>
    <t>MERCADINHO NSA SENHORA DE FATIMA</t>
  </si>
  <si>
    <t>0702/131</t>
  </si>
  <si>
    <t>CARIRE</t>
  </si>
  <si>
    <t>FARMACIA MAIS SAUDE</t>
  </si>
  <si>
    <t>0752/128</t>
  </si>
  <si>
    <t>IBIAPINA</t>
  </si>
  <si>
    <t>MARACANAU</t>
  </si>
  <si>
    <t>MERCADINHO SAO JOSE</t>
  </si>
  <si>
    <t>1302/196</t>
  </si>
  <si>
    <t>PARAMOTI</t>
  </si>
  <si>
    <t>SUPERMERCADO NOVA OPCAO</t>
  </si>
  <si>
    <t>1781/107</t>
  </si>
  <si>
    <t>LIMOEIRO DO NORTE</t>
  </si>
  <si>
    <t>SAO GONCALO DO AMARANTE</t>
  </si>
  <si>
    <t>TABULEIRO DO NORTE</t>
  </si>
  <si>
    <t>TEJUCUOCA</t>
  </si>
  <si>
    <t>MAE E FILHA</t>
  </si>
  <si>
    <t>5387/130</t>
  </si>
  <si>
    <t>MARTINOPOLE</t>
  </si>
  <si>
    <t>STAR CONVENIENCIA</t>
  </si>
  <si>
    <t>0684/205</t>
  </si>
  <si>
    <t>ACARAU</t>
  </si>
  <si>
    <t>Fabi Modas</t>
  </si>
  <si>
    <t>5449/164</t>
  </si>
  <si>
    <t>CONSTRUSA MAT DE CONSTRUCAO</t>
  </si>
  <si>
    <t>2608/110</t>
  </si>
  <si>
    <t>TOP MOVEIS BEBERIBE 0040</t>
  </si>
  <si>
    <t>5366/090</t>
  </si>
  <si>
    <t>BEBERIBE</t>
  </si>
  <si>
    <t>CAMOCIM</t>
  </si>
  <si>
    <t>MIRAIMA</t>
  </si>
  <si>
    <t>LOPES MERCADINHO</t>
  </si>
  <si>
    <t>0699/202</t>
  </si>
  <si>
    <t>SAO LUIS DO CURU</t>
  </si>
  <si>
    <t>MERCADINHO GRANDAO</t>
  </si>
  <si>
    <t>0649/092</t>
  </si>
  <si>
    <t>SECURITY</t>
  </si>
  <si>
    <t>0684/172</t>
  </si>
  <si>
    <t>LOOK JEANS STORE</t>
  </si>
  <si>
    <t>0704/174</t>
  </si>
  <si>
    <t>CELIA MAARIA MERCADO</t>
  </si>
  <si>
    <t>0702/181</t>
  </si>
  <si>
    <t>MERCADINHO POPULAR</t>
  </si>
  <si>
    <t>0752/068</t>
  </si>
  <si>
    <t>MERCADINHO SANTO ANTONIO</t>
  </si>
  <si>
    <t>MERCADINHO COMPRE BEM</t>
  </si>
  <si>
    <t>SENADOR SA</t>
  </si>
  <si>
    <t>ALCANTARAS</t>
  </si>
  <si>
    <t>COMERCIAL CICERO GRACIANO</t>
  </si>
  <si>
    <t>5367/167</t>
  </si>
  <si>
    <t>ITAREMA</t>
  </si>
  <si>
    <t>RUSSAS</t>
  </si>
  <si>
    <t>KAUANA VARIEDADES</t>
  </si>
  <si>
    <t>5365/114</t>
  </si>
  <si>
    <t>GUARAMIRANGA</t>
  </si>
  <si>
    <t>OTICA PONTO DOS OCULOS</t>
  </si>
  <si>
    <t>0288/143</t>
  </si>
  <si>
    <t>MERCANTIL GG</t>
  </si>
  <si>
    <t>0684/176</t>
  </si>
  <si>
    <t>0703/088</t>
  </si>
  <si>
    <t>POTIRETAMA</t>
  </si>
  <si>
    <t>LOJINHA SANTA LUZIA</t>
  </si>
  <si>
    <t>5365/062</t>
  </si>
  <si>
    <t>BATURITE</t>
  </si>
  <si>
    <t>LIRA CONSTRUCOES</t>
  </si>
  <si>
    <t>0716/121</t>
  </si>
  <si>
    <t>CASCAVEL</t>
  </si>
  <si>
    <t>PONTES VARIEDADES</t>
  </si>
  <si>
    <t>5447/095</t>
  </si>
  <si>
    <t>VIVIANA COSTA VERAS</t>
  </si>
  <si>
    <t>5387/115</t>
  </si>
  <si>
    <t>COMERCIAL JB</t>
  </si>
  <si>
    <t>0715/153</t>
  </si>
  <si>
    <t>MERCADINHO SAO FRANCISCO</t>
  </si>
  <si>
    <t>MERGULHO PRESENTES</t>
  </si>
  <si>
    <t>0699/116</t>
  </si>
  <si>
    <t>CASA DA RACAO</t>
  </si>
  <si>
    <t>0699/123</t>
  </si>
  <si>
    <t>FARMACIA VASCONCELOS</t>
  </si>
  <si>
    <t>0726/165</t>
  </si>
  <si>
    <t>TIANGUA</t>
  </si>
  <si>
    <t>BOMBONIERE RENAN E MYLA</t>
  </si>
  <si>
    <t>0719/140</t>
  </si>
  <si>
    <t>FELIPE MOTO PECAS</t>
  </si>
  <si>
    <t>0719/151</t>
  </si>
  <si>
    <t>CRISTAL OTICA</t>
  </si>
  <si>
    <t>5415/135</t>
  </si>
  <si>
    <t>SANTANA DO ACARAU</t>
  </si>
  <si>
    <t>MERCADINHO E PERFUMARIA ESPACO DO BEN</t>
  </si>
  <si>
    <t>0715/158</t>
  </si>
  <si>
    <t>BARROQUINHA</t>
  </si>
  <si>
    <t>PAPELARIA PADRE LEO</t>
  </si>
  <si>
    <t>5367/160</t>
  </si>
  <si>
    <t>MERCADINHO O LOURO</t>
  </si>
  <si>
    <t>1351/321</t>
  </si>
  <si>
    <t>CENTER MAIS</t>
  </si>
  <si>
    <t>0704/167</t>
  </si>
  <si>
    <t>STAR FAE PAPELARIA</t>
  </si>
  <si>
    <t>0685/220</t>
  </si>
  <si>
    <t>ICAPUI</t>
  </si>
  <si>
    <t>IRACEMA</t>
  </si>
  <si>
    <t>0684/178</t>
  </si>
  <si>
    <t>BOMBONIERE SENA</t>
  </si>
  <si>
    <t>0685/073</t>
  </si>
  <si>
    <t>FORTIM</t>
  </si>
  <si>
    <t>VICOSA DO CEARA</t>
  </si>
  <si>
    <t>FARMACIA ESPIRITO SANTO</t>
  </si>
  <si>
    <t>1302/164</t>
  </si>
  <si>
    <t>ANCORA DISTRIBUIDORA DE ALIMENTOS 0022</t>
  </si>
  <si>
    <t>2572/140</t>
  </si>
  <si>
    <t>Sua Saude Em Boas Maos</t>
  </si>
  <si>
    <t>5367/173</t>
  </si>
  <si>
    <t>MERCADINHO NOVA ESTRELA</t>
  </si>
  <si>
    <t>0625/109</t>
  </si>
  <si>
    <t>SOBRAL</t>
  </si>
  <si>
    <t>MERCADINHO PINHEIRO 4</t>
  </si>
  <si>
    <t>0719/148</t>
  </si>
  <si>
    <t>FARMACIA SAO GONCALO</t>
  </si>
  <si>
    <t>0699/086</t>
  </si>
  <si>
    <t>MERCADINHO GABI</t>
  </si>
  <si>
    <t>0715/134</t>
  </si>
  <si>
    <t>WAUSTON CONSTRUCOES</t>
  </si>
  <si>
    <t>0704/170</t>
  </si>
  <si>
    <t>CAPISTRANO</t>
  </si>
  <si>
    <t>FARIAS E GOMES</t>
  </si>
  <si>
    <t>0702/121</t>
  </si>
  <si>
    <t>TRAIRI</t>
  </si>
  <si>
    <t>AMONTADA</t>
  </si>
  <si>
    <t>CHAVAL</t>
  </si>
  <si>
    <t>SUPER TELEFRANGO 0006</t>
  </si>
  <si>
    <t>5449/144</t>
  </si>
  <si>
    <t>COMERCIAL O JEOVA</t>
  </si>
  <si>
    <t>5303/090</t>
  </si>
  <si>
    <t>ELETROLAR 0008</t>
  </si>
  <si>
    <t>5098/084</t>
  </si>
  <si>
    <t>ALTO SANTO</t>
  </si>
  <si>
    <t>EXCLUSIVA STORE</t>
  </si>
  <si>
    <t>5415/066</t>
  </si>
  <si>
    <t>FRECHEIRINHA</t>
  </si>
  <si>
    <t>ATACAREJO JR BALCAO</t>
  </si>
  <si>
    <t>5387/141</t>
  </si>
  <si>
    <t>MULUNGU</t>
  </si>
  <si>
    <t>QUEIROZ CALCADOS</t>
  </si>
  <si>
    <t>0703/201</t>
  </si>
  <si>
    <t>VAREJAO DAS VARIEDADES</t>
  </si>
  <si>
    <t>0699/110</t>
  </si>
  <si>
    <t>AROMAS E PERFUMES</t>
  </si>
  <si>
    <t>5443/101</t>
  </si>
  <si>
    <t>PARACURU</t>
  </si>
  <si>
    <t>MERCEARIA O NILTON</t>
  </si>
  <si>
    <t>LIVRARIA DO ESTUDANTE</t>
  </si>
  <si>
    <t>0719/173</t>
  </si>
  <si>
    <t>ED FARMA</t>
  </si>
  <si>
    <t>0704/171</t>
  </si>
  <si>
    <t>ARATUBA</t>
  </si>
  <si>
    <t>0715/161</t>
  </si>
  <si>
    <t>DEPOSITO ALTO DA PAZ</t>
  </si>
  <si>
    <t>0628/083</t>
  </si>
  <si>
    <t>DEPOSITO SAN CARLOS</t>
  </si>
  <si>
    <t>0715/079</t>
  </si>
  <si>
    <t>JALU PAPELARIA</t>
  </si>
  <si>
    <t>1351/311</t>
  </si>
  <si>
    <t>MERCADINHO NOSSA SENHORA DO LIVRAMENTO</t>
  </si>
  <si>
    <t>5387/132</t>
  </si>
  <si>
    <t>MERCEARIA COMERCIAL PEDRO FILHO</t>
  </si>
  <si>
    <t>5447/091</t>
  </si>
  <si>
    <t>0288/117</t>
  </si>
  <si>
    <t>LOTUS PRODUTOS DE LIMPEZA</t>
  </si>
  <si>
    <t>5304/088</t>
  </si>
  <si>
    <t>DANNIELY VARIEDADES</t>
  </si>
  <si>
    <t>1302/157</t>
  </si>
  <si>
    <t>NEPOPHARMA</t>
  </si>
  <si>
    <t>0752/091</t>
  </si>
  <si>
    <t>VEST BRASIL</t>
  </si>
  <si>
    <t>5367/094</t>
  </si>
  <si>
    <t>Shopping do celular</t>
  </si>
  <si>
    <t>5415/174</t>
  </si>
  <si>
    <t>MASSAPE</t>
  </si>
  <si>
    <t>MERCADINHO BELEVA LTDA</t>
  </si>
  <si>
    <t>1579/075</t>
  </si>
  <si>
    <t>PALMACIA</t>
  </si>
  <si>
    <t>COMERCIAL ALVES</t>
  </si>
  <si>
    <t>1302/101</t>
  </si>
  <si>
    <t>Valeria Auto Pecas</t>
  </si>
  <si>
    <t>1351/333</t>
  </si>
  <si>
    <t>Mercantil O Legal</t>
  </si>
  <si>
    <t>0719/189</t>
  </si>
  <si>
    <t>FARMACOR</t>
  </si>
  <si>
    <t>0458/374</t>
  </si>
  <si>
    <t>COREAU</t>
  </si>
  <si>
    <t>BEM ME QUER</t>
  </si>
  <si>
    <t>0704/104</t>
  </si>
  <si>
    <t>COMERCIAL BOM PRECO</t>
  </si>
  <si>
    <t>Comercial Jb Ii</t>
  </si>
  <si>
    <t>0715/164</t>
  </si>
  <si>
    <t>MERCANTIL ANTONIO DO TABULEIRO</t>
  </si>
  <si>
    <t>5395/060</t>
  </si>
  <si>
    <t>JAGUARUANA</t>
  </si>
  <si>
    <t>MERCANTIL O IRMAO</t>
  </si>
  <si>
    <t>0719/144</t>
  </si>
  <si>
    <t>FARMACIA LUCILIA</t>
  </si>
  <si>
    <t>5415/112</t>
  </si>
  <si>
    <t>TEND TUDO 1,99</t>
  </si>
  <si>
    <t>5443/078</t>
  </si>
  <si>
    <t>MERCADINHO POMPEU</t>
  </si>
  <si>
    <t>0684/192</t>
  </si>
  <si>
    <t>Fr Vendas</t>
  </si>
  <si>
    <t>0699/126</t>
  </si>
  <si>
    <t>Farmacia Casarao Dos Medicamentos</t>
  </si>
  <si>
    <t>0713/227</t>
  </si>
  <si>
    <t>DISK SAUDE</t>
  </si>
  <si>
    <t>0703/146</t>
  </si>
  <si>
    <t>Drogaria Mais Popular</t>
  </si>
  <si>
    <t>1351/334</t>
  </si>
  <si>
    <t>MANUELE VARIEDADES</t>
  </si>
  <si>
    <t>5387/080</t>
  </si>
  <si>
    <t>ANCORA DISTRIBUIDORA DE ALIMENTOS 00021</t>
  </si>
  <si>
    <t>5367/164</t>
  </si>
  <si>
    <t>FARMACIA DONA BRANCA</t>
  </si>
  <si>
    <t>0726/158</t>
  </si>
  <si>
    <t>SUPERMERCADO SOEIRO</t>
  </si>
  <si>
    <t>5367/078</t>
  </si>
  <si>
    <t>LOJA PONTO DOMINANTE</t>
  </si>
  <si>
    <t>0458/367</t>
  </si>
  <si>
    <t>LL RACOES</t>
  </si>
  <si>
    <t>0752/124</t>
  </si>
  <si>
    <t>UBAJARA</t>
  </si>
  <si>
    <t>SUPERMERCADO MAE RAINHA 0006</t>
  </si>
  <si>
    <t>0719/168</t>
  </si>
  <si>
    <t>CASA RURAL AGROPECUARIA</t>
  </si>
  <si>
    <t>1579/140</t>
  </si>
  <si>
    <t>RAPIGRAF SERVICOS GRAFICOS</t>
  </si>
  <si>
    <t>5386/096</t>
  </si>
  <si>
    <t>Jca Moda E Variedades</t>
  </si>
  <si>
    <t>5367/170</t>
  </si>
  <si>
    <t>CYBER TCHE</t>
  </si>
  <si>
    <t>5387/078</t>
  </si>
  <si>
    <t>DONNA NENEM</t>
  </si>
  <si>
    <t>0715/076</t>
  </si>
  <si>
    <t>J I P PACHECO</t>
  </si>
  <si>
    <t>0715/129</t>
  </si>
  <si>
    <t>1351/313</t>
  </si>
  <si>
    <t>REDES DO CEARA</t>
  </si>
  <si>
    <t>0288/135</t>
  </si>
  <si>
    <t>MIMO INFANTIL</t>
  </si>
  <si>
    <t>5387/124</t>
  </si>
  <si>
    <t>INFOCELL</t>
  </si>
  <si>
    <t>5387/149</t>
  </si>
  <si>
    <t>METAL VIDROS ALUMINIO E ACESSORIOS</t>
  </si>
  <si>
    <t>1234/119</t>
  </si>
  <si>
    <t>ESSENCIA VERDE</t>
  </si>
  <si>
    <t>5447/069</t>
  </si>
  <si>
    <t>FARMELHOR</t>
  </si>
  <si>
    <t>5447/112</t>
  </si>
  <si>
    <t>0458/378</t>
  </si>
  <si>
    <t>A NOSSA FARMACIA</t>
  </si>
  <si>
    <t>0458/182</t>
  </si>
  <si>
    <t>MERUOCA</t>
  </si>
  <si>
    <t>Farmacia Altair</t>
  </si>
  <si>
    <t>FARMACIA SARA VIANA</t>
  </si>
  <si>
    <t>PALHANO MAIS</t>
  </si>
  <si>
    <t>0696/081</t>
  </si>
  <si>
    <t>PALHANO</t>
  </si>
  <si>
    <t>EFFES EMPREENDIMENTOS</t>
  </si>
  <si>
    <t>0719/155</t>
  </si>
  <si>
    <t>VITOR CONSTRUCOES</t>
  </si>
  <si>
    <t>5449/132</t>
  </si>
  <si>
    <t>Sonho De Crianca Moda Infantil</t>
  </si>
  <si>
    <t>5304/132</t>
  </si>
  <si>
    <t>OPTICA FREITAS</t>
  </si>
  <si>
    <t>0715/159</t>
  </si>
  <si>
    <t>MERCADINHO MAGALHAES</t>
  </si>
  <si>
    <t>0703/113</t>
  </si>
  <si>
    <t>CIA DOS COSMETICOS</t>
  </si>
  <si>
    <t>5366/066</t>
  </si>
  <si>
    <t>MERCADINHO BELA VISTA</t>
  </si>
  <si>
    <t>1302/217</t>
  </si>
  <si>
    <t>ERERE</t>
  </si>
  <si>
    <t>FARMACIA COMERCIAL NOSSA SENHORA DO ROSARIO</t>
  </si>
  <si>
    <t>0458/184</t>
  </si>
  <si>
    <t>GROAIRAS</t>
  </si>
  <si>
    <t>NILDO SUPERMERCADO</t>
  </si>
  <si>
    <t>0719/185</t>
  </si>
  <si>
    <t>MERCANTIL GROSSO</t>
  </si>
  <si>
    <t>5367/114</t>
  </si>
  <si>
    <t>MADEIREIRA MACIEL</t>
  </si>
  <si>
    <t>0696/105</t>
  </si>
  <si>
    <t>ELSON COMPUTADORES</t>
  </si>
  <si>
    <t>0458/389</t>
  </si>
  <si>
    <t>FARMACIA PIMENTEL</t>
  </si>
  <si>
    <t>0699/119</t>
  </si>
  <si>
    <t>MAGAZINE CARDOSO</t>
  </si>
  <si>
    <t>5798/089</t>
  </si>
  <si>
    <t>JOAQUIM PIRES</t>
  </si>
  <si>
    <t>POSTO DE MEDICAMENTOS SAO MIGUEL</t>
  </si>
  <si>
    <t>0719/142</t>
  </si>
  <si>
    <t>FARMACIA SAO BENTO</t>
  </si>
  <si>
    <t>0702/129</t>
  </si>
  <si>
    <t>5449/153</t>
  </si>
  <si>
    <t>Jh Personalizados e Papelaria</t>
  </si>
  <si>
    <t>0699/132</t>
  </si>
  <si>
    <t>DANIELE MOVEIS</t>
  </si>
  <si>
    <t>5387/120</t>
  </si>
  <si>
    <t>ELETROLAR MATRIZ</t>
  </si>
  <si>
    <t>1781/126</t>
  </si>
  <si>
    <t>COMERCIO VALDERI CAIOCA</t>
  </si>
  <si>
    <t>1351/283</t>
  </si>
  <si>
    <t>FARMACIAS JK 0003</t>
  </si>
  <si>
    <t>0715/154</t>
  </si>
  <si>
    <t>K &amp; F VARIEDADES</t>
  </si>
  <si>
    <t>0458/376</t>
  </si>
  <si>
    <t>FARMACIA DA FAMILIA</t>
  </si>
  <si>
    <t>0704/155</t>
  </si>
  <si>
    <t>JIJOCA DE JERICOACOARA</t>
  </si>
  <si>
    <t>SHALON VARIEDADES</t>
  </si>
  <si>
    <t>0684/140</t>
  </si>
  <si>
    <t>LIMA VARIEDADES</t>
  </si>
  <si>
    <t>0767/110</t>
  </si>
  <si>
    <t>SANDY VARIEDADES</t>
  </si>
  <si>
    <t>5098/061</t>
  </si>
  <si>
    <t>MULTI BRINDES</t>
  </si>
  <si>
    <t>5457/085</t>
  </si>
  <si>
    <t>FARMACIA SANTO ANTONIO</t>
  </si>
  <si>
    <t>0702/127</t>
  </si>
  <si>
    <t>BELLOPE CALCADOS</t>
  </si>
  <si>
    <t>5443/103</t>
  </si>
  <si>
    <t>Optica Freitas Granja 003</t>
  </si>
  <si>
    <t>5387/138</t>
  </si>
  <si>
    <t>MERCADINHO PADRE CICERO</t>
  </si>
  <si>
    <t>5438/067</t>
  </si>
  <si>
    <t>JAGUARETAMA</t>
  </si>
  <si>
    <t>TOP MOVEIS MESSEJANA</t>
  </si>
  <si>
    <t>0713/140</t>
  </si>
  <si>
    <t>YASMIM VARIEDADES</t>
  </si>
  <si>
    <t>0719/145</t>
  </si>
  <si>
    <t>TOP MOVEIS ACARAU 30</t>
  </si>
  <si>
    <t>0684/181</t>
  </si>
  <si>
    <t>DROGARIA MULTIFARMA</t>
  </si>
  <si>
    <t>0715/151</t>
  </si>
  <si>
    <t>SEU ATACAREJO</t>
  </si>
  <si>
    <t>1351/327</t>
  </si>
  <si>
    <t>0703/249</t>
  </si>
  <si>
    <t>COMERCIAL FROTA</t>
  </si>
  <si>
    <t>5387/076</t>
  </si>
  <si>
    <t>MEDICAL FARMA</t>
  </si>
  <si>
    <t>5415/157</t>
  </si>
  <si>
    <t>5365/132</t>
  </si>
  <si>
    <t>TOP VISAO OTICA</t>
  </si>
  <si>
    <t>5304/126</t>
  </si>
  <si>
    <t>5395/098</t>
  </si>
  <si>
    <t>ARMARINHO PRESENTEAR</t>
  </si>
  <si>
    <t>0685/076</t>
  </si>
  <si>
    <t>JCL TELAS</t>
  </si>
  <si>
    <t>DANIEL FARMA</t>
  </si>
  <si>
    <t>0716/131</t>
  </si>
  <si>
    <t>Tem De Tudo Variedades</t>
  </si>
  <si>
    <t>0719/176</t>
  </si>
  <si>
    <t>2214/093</t>
  </si>
  <si>
    <t>LA CASA DE PAPEL PAPELARIA</t>
  </si>
  <si>
    <t>5446/099</t>
  </si>
  <si>
    <t>TOP MOVEIS ITAPAJE</t>
  </si>
  <si>
    <t>0719/164</t>
  </si>
  <si>
    <t>MERCADINHO BARBOSA</t>
  </si>
  <si>
    <t>5366/078</t>
  </si>
  <si>
    <t>MERCADINHO ARAUJO</t>
  </si>
  <si>
    <t>1781/097</t>
  </si>
  <si>
    <t>QUIXERE</t>
  </si>
  <si>
    <t>KAIO SUPERMERCADO</t>
  </si>
  <si>
    <t>0726/150</t>
  </si>
  <si>
    <t>ALTAIR FARMACIA E DRUGSTORE</t>
  </si>
  <si>
    <t>5367/149</t>
  </si>
  <si>
    <t>MERCADINHO ESQUINAO</t>
  </si>
  <si>
    <t>0684/295</t>
  </si>
  <si>
    <t>TURURU</t>
  </si>
  <si>
    <t>SUPER SANTIAGO SUPERMERCADO</t>
  </si>
  <si>
    <t>5438/084</t>
  </si>
  <si>
    <t>Casa Da Racao</t>
  </si>
  <si>
    <t>5367/161</t>
  </si>
  <si>
    <t>JB MAGAZINE</t>
  </si>
  <si>
    <t>0715/165</t>
  </si>
  <si>
    <t>FARMACENTRO</t>
  </si>
  <si>
    <t>5446/106</t>
  </si>
  <si>
    <t>CAZE CAMPO E PESCA</t>
  </si>
  <si>
    <t>0685/215</t>
  </si>
  <si>
    <t>LEMOS SUPERMERCADO</t>
  </si>
  <si>
    <t>0649/128</t>
  </si>
  <si>
    <t>MERCADINHO SARAIVA</t>
  </si>
  <si>
    <t>LELEO CALCADOS</t>
  </si>
  <si>
    <t>5367/129</t>
  </si>
  <si>
    <t>MERCADINHO OSTERNO</t>
  </si>
  <si>
    <t>0699/130</t>
  </si>
  <si>
    <t>ERIVANDO CELL</t>
  </si>
  <si>
    <t>0719/113</t>
  </si>
  <si>
    <t>TURQUESA ACESSORIOS</t>
  </si>
  <si>
    <t>0625/089</t>
  </si>
  <si>
    <t>Farmacia Do D I</t>
  </si>
  <si>
    <t>0767/142</t>
  </si>
  <si>
    <t>0767/080</t>
  </si>
  <si>
    <t>MERCEARIA O FROTAO</t>
  </si>
  <si>
    <t>5367/123</t>
  </si>
  <si>
    <t>SUPERMERCADO MARQUES</t>
  </si>
  <si>
    <t>5367/083</t>
  </si>
  <si>
    <t>MERCADINHO MANCHA</t>
  </si>
  <si>
    <t>5367/089</t>
  </si>
  <si>
    <t>VITRINA MULTITUDO</t>
  </si>
  <si>
    <t>0458/384</t>
  </si>
  <si>
    <t>COMERCIAL HIANA</t>
  </si>
  <si>
    <t>5387/081</t>
  </si>
  <si>
    <t>MERCADINHO PRINCESINHA</t>
  </si>
  <si>
    <t>5387/118</t>
  </si>
  <si>
    <t>EMANUELY VARIEDADES</t>
  </si>
  <si>
    <t>5387/103</t>
  </si>
  <si>
    <t>Universo Da Beleza</t>
  </si>
  <si>
    <t>5446/145</t>
  </si>
  <si>
    <t>MERCADINHO LUIZ GOMES</t>
  </si>
  <si>
    <t>0704/124</t>
  </si>
  <si>
    <t>MERCEARIA MARCIO FILHO</t>
  </si>
  <si>
    <t>5367/062</t>
  </si>
  <si>
    <t>MERCADINHO MA COSTA</t>
  </si>
  <si>
    <t>0703/082</t>
  </si>
  <si>
    <t>SAO JOAO DO JAGUARIBE</t>
  </si>
  <si>
    <t>ELETROMODAS</t>
  </si>
  <si>
    <t>0684/430</t>
  </si>
  <si>
    <t>DJAIR MOVEIS E ELETROS</t>
  </si>
  <si>
    <t>0715/091</t>
  </si>
  <si>
    <t>MERCADINHO PRECO IDEAL</t>
  </si>
  <si>
    <t>0704/141</t>
  </si>
  <si>
    <t>Mercantil Compre Bem</t>
  </si>
  <si>
    <t>5367/171</t>
  </si>
  <si>
    <t>MERCANTIL SR. H</t>
  </si>
  <si>
    <t>0719/121</t>
  </si>
  <si>
    <t>MILCA PRESENTES</t>
  </si>
  <si>
    <t>1351/279</t>
  </si>
  <si>
    <t>SUPER MARINHEIRO</t>
  </si>
  <si>
    <t>5447/107</t>
  </si>
  <si>
    <t>0683/134</t>
  </si>
  <si>
    <t>MERCEARIA O HERMINIO</t>
  </si>
  <si>
    <t>5447/078</t>
  </si>
  <si>
    <t>MERCADINHO MATRIZ</t>
  </si>
  <si>
    <t>0685/140</t>
  </si>
  <si>
    <t>ARACATI</t>
  </si>
  <si>
    <t>MERCADINHO 2 IRMAOS</t>
  </si>
  <si>
    <t>5366/085</t>
  </si>
  <si>
    <t>B E C CONSTRUCOES</t>
  </si>
  <si>
    <t>0719/137</t>
  </si>
  <si>
    <t>FARMACIA GUAIUBA</t>
  </si>
  <si>
    <t>0767/076</t>
  </si>
  <si>
    <t>MERCADINHO SANGELA</t>
  </si>
  <si>
    <t>0716/067</t>
  </si>
  <si>
    <t>TOP MOVEIS SOBRAL</t>
  </si>
  <si>
    <t>0702/136</t>
  </si>
  <si>
    <t>ADALBERTO CONSTRUCOES</t>
  </si>
  <si>
    <t>0711/119</t>
  </si>
  <si>
    <t>INFORGAME MIX PAPELARIA</t>
  </si>
  <si>
    <t>5387/109</t>
  </si>
  <si>
    <t>IZACON</t>
  </si>
  <si>
    <t>0704/132</t>
  </si>
  <si>
    <t>ANCORA DISTRIBUIDORA 0016</t>
  </si>
  <si>
    <t>0713/141</t>
  </si>
  <si>
    <t>SUPREMA PAPEL E VARIEDADES</t>
  </si>
  <si>
    <t>0696/124</t>
  </si>
  <si>
    <t>ITAITINGA</t>
  </si>
  <si>
    <t>Drogaria Magalhaes</t>
  </si>
  <si>
    <t>5387/143</t>
  </si>
  <si>
    <t>URUOCA</t>
  </si>
  <si>
    <t>ANCORA DISTRIBUIDORA 0010</t>
  </si>
  <si>
    <t>5366/089</t>
  </si>
  <si>
    <t>EDMOVEIS</t>
  </si>
  <si>
    <t>0704/130</t>
  </si>
  <si>
    <t>MERCADINHO 3 IRMAOS</t>
  </si>
  <si>
    <t>5415/116</t>
  </si>
  <si>
    <t>DROGARIA FARMA NOVA</t>
  </si>
  <si>
    <t>5449/151</t>
  </si>
  <si>
    <t>1302/119</t>
  </si>
  <si>
    <t>Adriano Frios</t>
  </si>
  <si>
    <t>0713/223</t>
  </si>
  <si>
    <t>EDUARDO VARIEDADES</t>
  </si>
  <si>
    <t>0715/121</t>
  </si>
  <si>
    <t>SHOP ELEGANCE</t>
  </si>
  <si>
    <t>5449/130</t>
  </si>
  <si>
    <t>BARREIRA</t>
  </si>
  <si>
    <t>TOP MOVEIS LIMOEIRO 0038</t>
  </si>
  <si>
    <t>1781/135</t>
  </si>
  <si>
    <t>FARMACIA DO POVO</t>
  </si>
  <si>
    <t>0715/149</t>
  </si>
  <si>
    <t>MERCANTIL SAO GONCALO</t>
  </si>
  <si>
    <t>0719/125</t>
  </si>
  <si>
    <t>MORADA NOVA</t>
  </si>
  <si>
    <t>DROGAGILDO</t>
  </si>
  <si>
    <t>0704/202</t>
  </si>
  <si>
    <t>WEYNE OTICA</t>
  </si>
  <si>
    <t>0683/112</t>
  </si>
  <si>
    <t>Optica Freitas Cruz</t>
  </si>
  <si>
    <t>0684/207</t>
  </si>
  <si>
    <t>FARMACIA PRO SAUDE</t>
  </si>
  <si>
    <t>0752/932</t>
  </si>
  <si>
    <t>Mercadinho Luciele Variedades</t>
  </si>
  <si>
    <t>5446/141</t>
  </si>
  <si>
    <t>BENESIO ALMEIDA</t>
  </si>
  <si>
    <t>1302/206</t>
  </si>
  <si>
    <t>IDEAL FARMA</t>
  </si>
  <si>
    <t>0684/212</t>
  </si>
  <si>
    <t>DEPOSITO SERRA NOSSA LTDA ME</t>
  </si>
  <si>
    <t>5365/072</t>
  </si>
  <si>
    <t>PACOTI</t>
  </si>
  <si>
    <t>CASA PARENTE</t>
  </si>
  <si>
    <t>0715/133</t>
  </si>
  <si>
    <t>MM CELULARES IMPORTADOS E ASSISTENCIA TECNICA</t>
  </si>
  <si>
    <t>5415/155</t>
  </si>
  <si>
    <t>MAX LIVROS</t>
  </si>
  <si>
    <t>0458/098</t>
  </si>
  <si>
    <t>Vest Brasil Modas</t>
  </si>
  <si>
    <t>5367/166</t>
  </si>
  <si>
    <t>MERCADINHO RAIMUNDO ARAUJO</t>
  </si>
  <si>
    <t>5387/102</t>
  </si>
  <si>
    <t>MERCEARIA D F</t>
  </si>
  <si>
    <t>0684/196</t>
  </si>
  <si>
    <t>SOS LIMPEZA</t>
  </si>
  <si>
    <t>5367/162</t>
  </si>
  <si>
    <t>G L F ARAUJO MERCEARIA</t>
  </si>
  <si>
    <t>0719/177</t>
  </si>
  <si>
    <t>N L CONSTRUCOES</t>
  </si>
  <si>
    <t>5415/071</t>
  </si>
  <si>
    <t>ANCORA DISTRIBUIDORA 14</t>
  </si>
  <si>
    <t>0624/079</t>
  </si>
  <si>
    <t>FARMACIA GAMA 0001</t>
  </si>
  <si>
    <t>5366/092</t>
  </si>
  <si>
    <t>Tropical Brasil</t>
  </si>
  <si>
    <t>5443/110</t>
  </si>
  <si>
    <t>Farma Popular Vida</t>
  </si>
  <si>
    <t>5366/093</t>
  </si>
  <si>
    <t>MERCADINHO O TUTA</t>
  </si>
  <si>
    <t>0719/091</t>
  </si>
  <si>
    <t>JR VARIEDADES</t>
  </si>
  <si>
    <t>5387/105</t>
  </si>
  <si>
    <t>MERCEARIA O CLAUDIO</t>
  </si>
  <si>
    <t>0458/137</t>
  </si>
  <si>
    <t>EXCEL CONSTRUCOES</t>
  </si>
  <si>
    <t>0600/087</t>
  </si>
  <si>
    <t>Pontuação</t>
  </si>
  <si>
    <t>Elegível</t>
  </si>
  <si>
    <t>Resumo</t>
  </si>
  <si>
    <t>Próximo</t>
  </si>
  <si>
    <t>Não</t>
  </si>
  <si>
    <t>Sem Contas</t>
  </si>
  <si>
    <t>responsavel</t>
  </si>
  <si>
    <t>IVAN</t>
  </si>
  <si>
    <t>JUNIOR</t>
  </si>
  <si>
    <t>ALEX SIQUEIRA</t>
  </si>
  <si>
    <t>GIL</t>
  </si>
  <si>
    <t>JACK</t>
  </si>
  <si>
    <t>Responsável</t>
  </si>
  <si>
    <t>EUCLIDES</t>
  </si>
  <si>
    <t>RESIDENCIAL</t>
  </si>
  <si>
    <t>DENTAL</t>
  </si>
  <si>
    <t>MICRO</t>
  </si>
  <si>
    <t>FARMALE</t>
  </si>
  <si>
    <t>0715/156</t>
  </si>
  <si>
    <t>0726/175</t>
  </si>
  <si>
    <t>Connect+</t>
  </si>
  <si>
    <t>0752/143</t>
  </si>
  <si>
    <t>Super Tio Augusto 0004</t>
  </si>
  <si>
    <t>0767/156</t>
  </si>
  <si>
    <t>ARTE DIGITAL ACESSORIOS</t>
  </si>
  <si>
    <t>Mercadinho Cesar</t>
  </si>
  <si>
    <t>0719/192</t>
  </si>
  <si>
    <t>Posto De Medicamentos Sorriso De Maria</t>
  </si>
  <si>
    <t>0767/155</t>
  </si>
  <si>
    <t>Valdenir Moveis</t>
  </si>
  <si>
    <t>0711/132</t>
  </si>
  <si>
    <t>Otica Central</t>
  </si>
  <si>
    <t>0703/214</t>
  </si>
  <si>
    <t>C.s.f Seguranca Eletronica</t>
  </si>
  <si>
    <t>0752/142</t>
  </si>
  <si>
    <t>Supermercado Central</t>
  </si>
  <si>
    <t>0693/111</t>
  </si>
  <si>
    <t>ANCORA DISTRIBUIDORA 0001</t>
  </si>
  <si>
    <t>0649/142</t>
  </si>
  <si>
    <t>A S D Importados</t>
  </si>
  <si>
    <t>0682/083</t>
  </si>
  <si>
    <t>BEM ME QUER FLORES</t>
  </si>
  <si>
    <t>5446/149</t>
  </si>
  <si>
    <t>Farmacia Castro Lima</t>
  </si>
  <si>
    <t>5367/142</t>
  </si>
  <si>
    <t>SUPER DO BOM</t>
  </si>
  <si>
    <t>Dormir Sonhos</t>
  </si>
  <si>
    <t>5449/147</t>
  </si>
  <si>
    <t>WASTHSON</t>
  </si>
  <si>
    <t>ARICELL ASSISTENCIA TECNICA</t>
  </si>
  <si>
    <t>5415/167</t>
  </si>
  <si>
    <t>5415/134</t>
  </si>
  <si>
    <t>N F AUTOPECAS</t>
  </si>
  <si>
    <t>5415/171</t>
  </si>
  <si>
    <t>NOSSO ATACAREJO LIMOEIRO</t>
  </si>
  <si>
    <t>1781/132</t>
  </si>
  <si>
    <t>TEM DE TUDO BOMBONIERE E EMBALAGENS</t>
  </si>
  <si>
    <t>0752/122</t>
  </si>
  <si>
    <t>MERCADINHO DAYLLANOS</t>
  </si>
  <si>
    <t>0703/159</t>
  </si>
  <si>
    <t>SUPER FEIRAO DO LAR 0001</t>
  </si>
  <si>
    <t>1302/148</t>
  </si>
  <si>
    <t>MERCADINHO SERGIO</t>
  </si>
  <si>
    <t>5438/102</t>
  </si>
  <si>
    <t>EXCLUSIVA STORE 0002</t>
  </si>
  <si>
    <t>5415/115</t>
  </si>
  <si>
    <t>F C FARMACIA</t>
  </si>
  <si>
    <t>Amormeu Calcados</t>
  </si>
  <si>
    <t>0713/230</t>
  </si>
  <si>
    <t>JAISA MOVEIS E ELETRO</t>
  </si>
  <si>
    <t>0685/226</t>
  </si>
  <si>
    <t>Farmacia Santa Terezinha</t>
  </si>
  <si>
    <t>0703/215</t>
  </si>
  <si>
    <t>FABIO CELL</t>
  </si>
  <si>
    <t>0715/168</t>
  </si>
  <si>
    <t>SUPER POVAO 0001</t>
  </si>
  <si>
    <t>Agência</t>
  </si>
  <si>
    <t>FARMACIA FIQUE BEM</t>
  </si>
  <si>
    <t>5438/100</t>
  </si>
  <si>
    <t>MURICI DOS PORTELAS</t>
  </si>
  <si>
    <t>Fc Atacado</t>
  </si>
  <si>
    <t>2999/136</t>
  </si>
  <si>
    <t>CAXINGO</t>
  </si>
  <si>
    <t>COMERCIAL BETANIA</t>
  </si>
  <si>
    <t>1302/220</t>
  </si>
  <si>
    <t>SUPER TELEFRANGO 0008</t>
  </si>
  <si>
    <t>5449/171</t>
  </si>
  <si>
    <t>SMART RESET ASSISTENCIA TECNICA</t>
  </si>
  <si>
    <t>1302/203</t>
  </si>
  <si>
    <t>ANCORA DISTRIBUIDORA - FILIAL 2</t>
  </si>
  <si>
    <t>0685/153</t>
  </si>
  <si>
    <t>ISMAEL</t>
  </si>
  <si>
    <t>DARIO</t>
  </si>
  <si>
    <t>JOSELITO</t>
  </si>
  <si>
    <t>FARMACIAS JK 0002</t>
  </si>
  <si>
    <t>5387/135</t>
  </si>
  <si>
    <t>FARMACIA MENINO JESUS</t>
  </si>
  <si>
    <t>0607/063</t>
  </si>
  <si>
    <t>Tabosa Material De Construcao</t>
  </si>
  <si>
    <t>0699/133</t>
  </si>
  <si>
    <t>VLR_EXP_SORTE</t>
  </si>
  <si>
    <t>JACINTO SUPERMERCADO</t>
  </si>
  <si>
    <t>1351/286</t>
  </si>
  <si>
    <t>Power Comercio</t>
  </si>
  <si>
    <t>Farmacia Fortvida</t>
  </si>
  <si>
    <t>0752/144</t>
  </si>
  <si>
    <t>Drogaria Litoranea</t>
  </si>
  <si>
    <t>5443/112</t>
  </si>
  <si>
    <t>FORQUILHA</t>
  </si>
  <si>
    <t>Tech Seguranca Climatizacao E Tecnologia</t>
  </si>
  <si>
    <t>1781/145</t>
  </si>
  <si>
    <t>5415/170</t>
  </si>
  <si>
    <t>MERCADINHO CRUZ</t>
  </si>
  <si>
    <t>0684/138</t>
  </si>
  <si>
    <t>ATACADAO TIO XIUAUA</t>
  </si>
  <si>
    <t>0702/166</t>
  </si>
  <si>
    <t>DROGARIA VITORIA</t>
  </si>
  <si>
    <t>PADARIA IZAACK PAES</t>
  </si>
  <si>
    <t>0752/134</t>
  </si>
  <si>
    <t>5443/113</t>
  </si>
  <si>
    <t>MERCADINHO ALMEIDA DANTAS</t>
  </si>
  <si>
    <t>Comercial Nb</t>
  </si>
  <si>
    <t>1302/227</t>
  </si>
  <si>
    <t>MERCADINHO ALVES</t>
  </si>
  <si>
    <t>1302/226</t>
  </si>
  <si>
    <t>LDO CELULARES &amp; ACESSORIOS</t>
  </si>
  <si>
    <t>0719/194</t>
  </si>
  <si>
    <t>GI VARIEDADES</t>
  </si>
  <si>
    <t>5415/180</t>
  </si>
  <si>
    <t>Cantinho Baby</t>
  </si>
  <si>
    <t>0726/176</t>
  </si>
  <si>
    <t>Mercadinho Gomes De Melo</t>
  </si>
  <si>
    <t>0715/170</t>
  </si>
  <si>
    <t>CASA DOS RECEPTORES</t>
  </si>
  <si>
    <t>REIMAR SUPERMERCADOS 0009</t>
  </si>
  <si>
    <t>0716/174</t>
  </si>
  <si>
    <t>REIMAR SUPERMERCADOS 0008</t>
  </si>
  <si>
    <t>0711/133</t>
  </si>
  <si>
    <t>J 3 Pecas E Servicos</t>
  </si>
  <si>
    <t>0719/195</t>
  </si>
  <si>
    <t>MERCEARIA</t>
  </si>
  <si>
    <t>5387/171</t>
  </si>
  <si>
    <t>JA SHOP</t>
  </si>
  <si>
    <t>5386/107</t>
  </si>
  <si>
    <t>Bellope Calcados</t>
  </si>
  <si>
    <t>0699/138</t>
  </si>
  <si>
    <t>Minimercadinho Silvia Helena</t>
  </si>
  <si>
    <t>0742/075</t>
  </si>
  <si>
    <t>Optica Freitas 0002</t>
  </si>
  <si>
    <t>5387/172</t>
  </si>
  <si>
    <t>MARANGUAPE</t>
  </si>
  <si>
    <t>CAUCAIA</t>
  </si>
  <si>
    <t>MERCEARIA CAVALCANTE</t>
  </si>
  <si>
    <t>0458/452</t>
  </si>
  <si>
    <t>LOJAS DRAGAO</t>
  </si>
  <si>
    <t>0405/101</t>
  </si>
  <si>
    <t>MERCADINHO BOM PRECO</t>
  </si>
  <si>
    <t>DEMERVAL LOBAO</t>
  </si>
  <si>
    <t>DROGARIA J M</t>
  </si>
  <si>
    <t>0405/124</t>
  </si>
  <si>
    <t>MONSENHOR GIL</t>
  </si>
  <si>
    <t>ARMARINHO ALENCAR</t>
  </si>
  <si>
    <t>BENEDITINOS</t>
  </si>
  <si>
    <t>DROGARIA SANTA LUZIA</t>
  </si>
  <si>
    <t>5792/081</t>
  </si>
  <si>
    <t>CABECEIRAS DO PIAUI</t>
  </si>
  <si>
    <t>BOA HORA</t>
  </si>
  <si>
    <t>ALTO LONGA</t>
  </si>
  <si>
    <t>MERCADINHO DA FAMILIA</t>
  </si>
  <si>
    <t>0985/095</t>
  </si>
  <si>
    <t>CAPITAO DE CAMPOS</t>
  </si>
  <si>
    <t>0985/128</t>
  </si>
  <si>
    <t>CAMPO MAIOR</t>
  </si>
  <si>
    <t>BOQUEIRAO DO PIAUI</t>
  </si>
  <si>
    <t>MERCADINHO PAULO SERGIO</t>
  </si>
  <si>
    <t>0985/127</t>
  </si>
  <si>
    <t>SIGEFREDO PACHECO</t>
  </si>
  <si>
    <t>COMERCIAL SIGEFREDO</t>
  </si>
  <si>
    <t>0985/135</t>
  </si>
  <si>
    <t>VAREJAO ALVES</t>
  </si>
  <si>
    <t>5798/090</t>
  </si>
  <si>
    <t>SAO JOAO DO ARRAIAL</t>
  </si>
  <si>
    <t>DOMINGOS MOURAO</t>
  </si>
  <si>
    <t>LAGOA DO PIAUI</t>
  </si>
  <si>
    <t>SAO JOAO DA SERRA</t>
  </si>
  <si>
    <t>DROGARIA CASTRO</t>
  </si>
  <si>
    <t>5798/092</t>
  </si>
  <si>
    <t>LUZILANDIA</t>
  </si>
  <si>
    <t>COMERCIAL SAO RAIMUNDO</t>
  </si>
  <si>
    <t>5792/060</t>
  </si>
  <si>
    <t>BARRAS</t>
  </si>
  <si>
    <t>PEDRO II</t>
  </si>
  <si>
    <t>5792/088</t>
  </si>
  <si>
    <t>BATALHA</t>
  </si>
  <si>
    <t>COCAL</t>
  </si>
  <si>
    <t>COMERCIAL KENNEDY</t>
  </si>
  <si>
    <t>5792/097</t>
  </si>
  <si>
    <t>NOSSA SENHORA DOS REMEDIOS</t>
  </si>
  <si>
    <t>BURITI DOS LOPES</t>
  </si>
  <si>
    <t>ESPERANTINA</t>
  </si>
  <si>
    <t>MERCADINHO SAO JUDAS TADEU</t>
  </si>
  <si>
    <t>5792/070</t>
  </si>
  <si>
    <t>COMERCIAL SENHOR DO BOMFIM</t>
  </si>
  <si>
    <t>5792/094</t>
  </si>
  <si>
    <t>PORTO</t>
  </si>
  <si>
    <t>RAMON VARIEDADES</t>
  </si>
  <si>
    <t>1522/162</t>
  </si>
  <si>
    <t>PARNAIBA</t>
  </si>
  <si>
    <t>TECLENET.COM</t>
  </si>
  <si>
    <t>0405/334</t>
  </si>
  <si>
    <t>AGUA BRANCA</t>
  </si>
  <si>
    <t>J C VARIEDADES</t>
  </si>
  <si>
    <t>5808/160</t>
  </si>
  <si>
    <t>LEANDRO E LEONCIO MERCADINHO</t>
  </si>
  <si>
    <t>5798/097</t>
  </si>
  <si>
    <t>COCAL DE TELHA</t>
  </si>
  <si>
    <t>LUIS CORREIA</t>
  </si>
  <si>
    <t>DROGARIA GENERICA</t>
  </si>
  <si>
    <t>5798/102</t>
  </si>
  <si>
    <t>5798/101</t>
  </si>
  <si>
    <t>PLANTOFARMA</t>
  </si>
  <si>
    <t>5798/106</t>
  </si>
  <si>
    <t>COMERCIAL A DEUSELINA</t>
  </si>
  <si>
    <t>5792/110</t>
  </si>
  <si>
    <t>MA</t>
  </si>
  <si>
    <t>TIMON</t>
  </si>
  <si>
    <t>FARMACIA N S DO CARMO</t>
  </si>
  <si>
    <t>5808/089</t>
  </si>
  <si>
    <t>PIRIPIRI</t>
  </si>
  <si>
    <t>MERCADINHO ZE PRETO</t>
  </si>
  <si>
    <t>1351/281</t>
  </si>
  <si>
    <t>MERCANTIL Z OLIVEIRA</t>
  </si>
  <si>
    <t>0854/136</t>
  </si>
  <si>
    <t>MERCADINHO O ROBERTO</t>
  </si>
  <si>
    <t>0405/481</t>
  </si>
  <si>
    <t>DROGARIA PAGUE BEM</t>
  </si>
  <si>
    <t>5792/120</t>
  </si>
  <si>
    <t>A F UCHOA TECIDOS</t>
  </si>
  <si>
    <t>5806/092</t>
  </si>
  <si>
    <t>CASTELO DO PIAUI</t>
  </si>
  <si>
    <t>COMERCIAL REGINO</t>
  </si>
  <si>
    <t>0985/395</t>
  </si>
  <si>
    <t>JUAZEIRO DO PIAUI</t>
  </si>
  <si>
    <t>MILTON BRANDAO</t>
  </si>
  <si>
    <t>MERCADINHO AREIA</t>
  </si>
  <si>
    <t>5795/105</t>
  </si>
  <si>
    <t>5792/122</t>
  </si>
  <si>
    <t>EXCLUSIVA CELULAR E ACESSORIOS</t>
  </si>
  <si>
    <t>5790/107</t>
  </si>
  <si>
    <t>COMERCIAL GARCIA</t>
  </si>
  <si>
    <t>5792/126</t>
  </si>
  <si>
    <t>MATIAS OLIMPIO</t>
  </si>
  <si>
    <t>BE MERCADINHO JAMES RESENDE</t>
  </si>
  <si>
    <t>5792/130</t>
  </si>
  <si>
    <t>DROGAMAR</t>
  </si>
  <si>
    <t>1522/155</t>
  </si>
  <si>
    <t>BURITI DOS MONTES</t>
  </si>
  <si>
    <t>SAO MIGUEL DO TAPUIO</t>
  </si>
  <si>
    <t>DROGARIA MAIS SAUDE</t>
  </si>
  <si>
    <t>5798/135</t>
  </si>
  <si>
    <t>J F VARIEDADES E PERSONALIZACAO</t>
  </si>
  <si>
    <t>5792/136</t>
  </si>
  <si>
    <t>BEM BARATO DROGARIAS</t>
  </si>
  <si>
    <t>0854/157</t>
  </si>
  <si>
    <t>COMERCIAL O ZUZINHA</t>
  </si>
  <si>
    <t>5792/140</t>
  </si>
  <si>
    <t>LAGOA DE SAO FRANCISCO</t>
  </si>
  <si>
    <t>RIBEIRO ELETROMOVEIS</t>
  </si>
  <si>
    <t>ALTOS</t>
  </si>
  <si>
    <t>BEM ESTAR DROGARIA</t>
  </si>
  <si>
    <t>5792/141</t>
  </si>
  <si>
    <t>COMERCIAL ARAUJO</t>
  </si>
  <si>
    <t>5792/142</t>
  </si>
  <si>
    <t>SUPER IDEAL</t>
  </si>
  <si>
    <t>5792/156</t>
  </si>
  <si>
    <t>CAMPO LARGO DO PIAUI</t>
  </si>
  <si>
    <t>EXPRESSO VARIEDADES</t>
  </si>
  <si>
    <t>5795/130</t>
  </si>
  <si>
    <t>5806/122</t>
  </si>
  <si>
    <t>MERCEARIA AMORIM CAVALCANTE</t>
  </si>
  <si>
    <t>5798/152</t>
  </si>
  <si>
    <t>SUPERMERCADO CARDOSO</t>
  </si>
  <si>
    <t>SUPERMERCADO CARDOSO 0002</t>
  </si>
  <si>
    <t>TOINHA VARIEDADES</t>
  </si>
  <si>
    <t>5798/156</t>
  </si>
  <si>
    <t>DROGARIA SANTO EXPEDITO</t>
  </si>
  <si>
    <t>5792/161</t>
  </si>
  <si>
    <t>ASSUNCAO DO PIAUI</t>
  </si>
  <si>
    <t>SAO PEDRO DO PIAUI</t>
  </si>
  <si>
    <t>MARCELO MOTOS</t>
  </si>
  <si>
    <t>1522/265</t>
  </si>
  <si>
    <t>M PEREIRA CONSTRUCOES</t>
  </si>
  <si>
    <t>1522/268</t>
  </si>
  <si>
    <t>ALL OF CELL</t>
  </si>
  <si>
    <t>0985/431</t>
  </si>
  <si>
    <t>STUDIO CHAGUINHA</t>
  </si>
  <si>
    <t>5806/135</t>
  </si>
  <si>
    <t>DROGARIA DONA DEDITA</t>
  </si>
  <si>
    <t>5790/151</t>
  </si>
  <si>
    <t>Estacao Farma</t>
  </si>
  <si>
    <t>1522/272</t>
  </si>
  <si>
    <t>BOM PRINCIPIO DO PIAUI</t>
  </si>
  <si>
    <t>Drogaria Maanaim</t>
  </si>
  <si>
    <t>5792/193</t>
  </si>
  <si>
    <t>Comercial Canbistinha</t>
  </si>
  <si>
    <t>0985/345</t>
  </si>
  <si>
    <t>Drogaria Lopes</t>
  </si>
  <si>
    <t>5798/169</t>
  </si>
  <si>
    <t>Drogaria Dois Irmaos</t>
  </si>
  <si>
    <t>5806/139</t>
  </si>
  <si>
    <t>Expresso Variedades Ii</t>
  </si>
  <si>
    <t>5795/143</t>
  </si>
  <si>
    <t>Cm Farma</t>
  </si>
  <si>
    <t>5792/198</t>
  </si>
  <si>
    <t>Otica Piripiri</t>
  </si>
  <si>
    <t>5808/206</t>
  </si>
  <si>
    <t>Costa Atacarejo</t>
  </si>
  <si>
    <t>0985/438</t>
  </si>
  <si>
    <t>BARAO CONVENIENCIA</t>
  </si>
  <si>
    <t>1522/280</t>
  </si>
  <si>
    <t>Mais Calcados</t>
  </si>
  <si>
    <t>0854/191</t>
  </si>
  <si>
    <t>RAISSA ARMARINHOS</t>
  </si>
  <si>
    <t>FARMACIA SAO JOSE</t>
  </si>
  <si>
    <t>MERCANTIL FREITAS</t>
  </si>
  <si>
    <t>0854/100</t>
  </si>
  <si>
    <t>PRIMUS MOTOS</t>
  </si>
  <si>
    <t>0405/076</t>
  </si>
  <si>
    <t>BARRO DURO</t>
  </si>
  <si>
    <t>TOP MOVEIS PARNAIBA 0023</t>
  </si>
  <si>
    <t>1522/259</t>
  </si>
  <si>
    <t>J.K. COMESTICOS</t>
  </si>
  <si>
    <t>1351/100</t>
  </si>
  <si>
    <t>1351/098</t>
  </si>
  <si>
    <t>EUTAZIO MAGAZINE</t>
  </si>
  <si>
    <t>5446/080</t>
  </si>
  <si>
    <t>0458/303</t>
  </si>
  <si>
    <t>URUBURETAMA</t>
  </si>
  <si>
    <t>SUPER DIKA</t>
  </si>
  <si>
    <t>0295/070</t>
  </si>
  <si>
    <t>DROGARIA PLASFRAN</t>
  </si>
  <si>
    <t>1351/170</t>
  </si>
  <si>
    <t>ITAPIPOCA</t>
  </si>
  <si>
    <t>GERMANA CONFECCOES</t>
  </si>
  <si>
    <t>0458/317</t>
  </si>
  <si>
    <t>BICHOS E COMPANHIA</t>
  </si>
  <si>
    <t>0645/102</t>
  </si>
  <si>
    <t>FARMACIAS BONS AMIGOS</t>
  </si>
  <si>
    <t>FARMACIA BONS AMIGOS ITAPIPOCA</t>
  </si>
  <si>
    <t>1351/185</t>
  </si>
  <si>
    <t>1351/205</t>
  </si>
  <si>
    <t>OCARA</t>
  </si>
  <si>
    <t>SUPER OCARA CENTER</t>
  </si>
  <si>
    <t>0765/116</t>
  </si>
  <si>
    <t>MERCADINHO SERVE BEM</t>
  </si>
  <si>
    <t>0458/327</t>
  </si>
  <si>
    <t>MERCADINHO EVAIR</t>
  </si>
  <si>
    <t>0765/117</t>
  </si>
  <si>
    <t>TOP MOVEIS LJ MARANGUAPE 14</t>
  </si>
  <si>
    <t>1579/190</t>
  </si>
  <si>
    <t>TOP MOVEIS PACAJUS</t>
  </si>
  <si>
    <t>0765/120</t>
  </si>
  <si>
    <t>PACAJUS</t>
  </si>
  <si>
    <t>FJM INFOTMATICA E PAPELARIA</t>
  </si>
  <si>
    <t>1351/213</t>
  </si>
  <si>
    <t>PADARIA DU CUMPADI</t>
  </si>
  <si>
    <t>0458/335</t>
  </si>
  <si>
    <t>POSTO DE MEDICAMENTOS NSA SENHORA DAS DORES</t>
  </si>
  <si>
    <t>0458/337</t>
  </si>
  <si>
    <t>FARMACIA SAO RAFAEL</t>
  </si>
  <si>
    <t>0458/338</t>
  </si>
  <si>
    <t>TOP MOVEIS SOBRAL II</t>
  </si>
  <si>
    <t>0458/364</t>
  </si>
  <si>
    <t>POP FARMA BONS AMIGOS</t>
  </si>
  <si>
    <t>1351/231</t>
  </si>
  <si>
    <t>TOP MOVEIS ITAPIPOCA 002</t>
  </si>
  <si>
    <t>1351/233</t>
  </si>
  <si>
    <t>UPA DIGITAL</t>
  </si>
  <si>
    <t>1379/129</t>
  </si>
  <si>
    <t>ANCORA DISTRIBUIDORA 0020</t>
  </si>
  <si>
    <t>0765/129</t>
  </si>
  <si>
    <t>PAPELARIA BEL VARIEDADES</t>
  </si>
  <si>
    <t>0458/365</t>
  </si>
  <si>
    <t>ALS ASSISTENCIA LINK SOFTWARE</t>
  </si>
  <si>
    <t>1351/242</t>
  </si>
  <si>
    <t>0295/254</t>
  </si>
  <si>
    <t>Mercadinho Super Familia</t>
  </si>
  <si>
    <t>0765/139</t>
  </si>
  <si>
    <t>Mercadinho Laura</t>
  </si>
  <si>
    <t>1351/256</t>
  </si>
  <si>
    <t>0458/424</t>
  </si>
  <si>
    <t>Farmacia Neves</t>
  </si>
  <si>
    <t>0645/153</t>
  </si>
  <si>
    <t>Estock Embalagens</t>
  </si>
  <si>
    <t>1379/145</t>
  </si>
  <si>
    <t>PLAY TECH</t>
  </si>
  <si>
    <t>1302/231</t>
  </si>
  <si>
    <t>DANDAN MOVEIS</t>
  </si>
  <si>
    <t>0703/087</t>
  </si>
  <si>
    <t>Mercadao Das Pecas</t>
  </si>
  <si>
    <t>5808/218</t>
  </si>
  <si>
    <t>5367/181</t>
  </si>
  <si>
    <t>PI/MA</t>
  </si>
  <si>
    <t>GORDIN DO 10</t>
  </si>
  <si>
    <t>1351/248</t>
  </si>
  <si>
    <t>Comercial Ecomonico</t>
  </si>
  <si>
    <t>5792/204</t>
  </si>
  <si>
    <t>Viva Comercio</t>
  </si>
  <si>
    <t>5798/172</t>
  </si>
  <si>
    <t>Jes Materiais E Cm Moveis</t>
  </si>
  <si>
    <t>1677/155</t>
  </si>
  <si>
    <t>SANTA QUITERIA</t>
  </si>
  <si>
    <t>Status</t>
  </si>
  <si>
    <t>Yago Prado Mercantil</t>
  </si>
  <si>
    <t>LIZ FARMA</t>
  </si>
  <si>
    <t>5365/141</t>
  </si>
  <si>
    <t>Bomboniere Doce Vida</t>
  </si>
  <si>
    <t>0713/232</t>
  </si>
  <si>
    <t>Oculos &amp; Cia</t>
  </si>
  <si>
    <t>0765/171</t>
  </si>
  <si>
    <t>Posto De Medicamentos Saude Ja</t>
  </si>
  <si>
    <t>5443/114</t>
  </si>
  <si>
    <t>Mercadinho Flavio Fernando</t>
  </si>
  <si>
    <t>5367/182</t>
  </si>
  <si>
    <t>REFERENCIA</t>
  </si>
  <si>
    <t>BLOQUEADO</t>
  </si>
  <si>
    <t>DT_BLOQUEADO</t>
  </si>
  <si>
    <t>Neném Kids</t>
  </si>
  <si>
    <t>TOP MÓVEIS – PARACURU 0048</t>
  </si>
  <si>
    <t>DROGARIA SÃO FRANCISCO</t>
  </si>
  <si>
    <t>TOP MÓVEIS – CAUCAIA 0018</t>
  </si>
  <si>
    <t>Mult Store Acessórios</t>
  </si>
  <si>
    <t>MATERRIAL DE CONSTRUÇÃO</t>
  </si>
  <si>
    <t>5449/172</t>
  </si>
  <si>
    <t>MARANATA FOTOS</t>
  </si>
  <si>
    <t>1522/276</t>
  </si>
  <si>
    <t>1579/231</t>
  </si>
  <si>
    <t>MERCADINHO MORADA NOVA</t>
  </si>
  <si>
    <t>3456/067</t>
  </si>
  <si>
    <t>Comercial Vaguim LJ 0002</t>
  </si>
  <si>
    <t>0405/790</t>
  </si>
  <si>
    <t>DROGARIAS PAGUE CERTO MATRIZ</t>
  </si>
  <si>
    <t>0677/211</t>
  </si>
  <si>
    <t>NOVA RUSSAS</t>
  </si>
  <si>
    <t>Lojao Conforto</t>
  </si>
  <si>
    <t>5443/111</t>
  </si>
  <si>
    <t>Muambaria Perfumaria</t>
  </si>
  <si>
    <t>0684/218</t>
  </si>
  <si>
    <t>Esperanca Center</t>
  </si>
  <si>
    <t>0765/144</t>
  </si>
  <si>
    <t>J.M. CONSTRUCOES</t>
  </si>
  <si>
    <t>1579/218</t>
  </si>
  <si>
    <t>MERCADO P H OLIVEIRA</t>
  </si>
  <si>
    <t>0719/184</t>
  </si>
  <si>
    <t>Mundo Dos Presentes</t>
  </si>
  <si>
    <t>5395/102</t>
  </si>
  <si>
    <t>ROSSY</t>
  </si>
  <si>
    <t>NOVA ENERGY</t>
  </si>
  <si>
    <t>0765/173</t>
  </si>
  <si>
    <t>CRISTAL OTICAS</t>
  </si>
  <si>
    <t>0684/223</t>
  </si>
  <si>
    <t>MERCEARIA O HELENO</t>
  </si>
  <si>
    <t>5387/094</t>
  </si>
  <si>
    <t>MERCADINHO LIMA BRITO</t>
  </si>
  <si>
    <t>0937/119</t>
  </si>
  <si>
    <t>ALAGOINHA DO PIAUI</t>
  </si>
  <si>
    <t>ALEGRETE DO PIAUI</t>
  </si>
  <si>
    <t>MERCADINHO TEIXEIRA</t>
  </si>
  <si>
    <t>0937/365</t>
  </si>
  <si>
    <t>CARIDADE DO PIAUI</t>
  </si>
  <si>
    <t>0937/513</t>
  </si>
  <si>
    <t>SAO JOSE DO PIAUI</t>
  </si>
  <si>
    <t>HELI DA SILVA VARIEDADES</t>
  </si>
  <si>
    <t>0937/431</t>
  </si>
  <si>
    <t>ISAIAS COELHO</t>
  </si>
  <si>
    <t>MEGA INFORMATICA</t>
  </si>
  <si>
    <t>0937/547</t>
  </si>
  <si>
    <t>ITAINOPOLIS</t>
  </si>
  <si>
    <t>SAO JOAO DA VARJOTA</t>
  </si>
  <si>
    <t>MERCADINHO SAO VICENTE</t>
  </si>
  <si>
    <t>0937/247</t>
  </si>
  <si>
    <t>COMECIAL PROGRESSO</t>
  </si>
  <si>
    <t>0937/334</t>
  </si>
  <si>
    <t>MONSENHOR HIPOLITO</t>
  </si>
  <si>
    <t>COMERCIAL SOUSA</t>
  </si>
  <si>
    <t>0937/322</t>
  </si>
  <si>
    <t>0937/515</t>
  </si>
  <si>
    <t>SANTO ANTONIO DE LISBOA</t>
  </si>
  <si>
    <t>Alencar Construcoes</t>
  </si>
  <si>
    <t>0726/179</t>
  </si>
  <si>
    <t>PICOS</t>
  </si>
  <si>
    <t>TOP MOVEIS PICOS</t>
  </si>
  <si>
    <t>0937/522</t>
  </si>
  <si>
    <t>FARMACENTER</t>
  </si>
  <si>
    <t>0937/533</t>
  </si>
  <si>
    <t>RR INFORMATICA</t>
  </si>
  <si>
    <t>0937/331</t>
  </si>
  <si>
    <t>IPIRANGA DO PIAUI</t>
  </si>
  <si>
    <t>MERCADINHO RAIANA</t>
  </si>
  <si>
    <t>0937/524</t>
  </si>
  <si>
    <t>SAO JULIAO</t>
  </si>
  <si>
    <t>FARMACIA RAILANE</t>
  </si>
  <si>
    <t>0937/507</t>
  </si>
  <si>
    <t>0937/742</t>
  </si>
  <si>
    <t>GEMINIANO</t>
  </si>
  <si>
    <t>ENCANTO MIX</t>
  </si>
  <si>
    <t>1579/233</t>
  </si>
  <si>
    <t>Frigorifico Master Carnes</t>
  </si>
  <si>
    <t>5447/142</t>
  </si>
  <si>
    <t>Lumir Comercio &amp; Distribuidora</t>
  </si>
  <si>
    <t>0624/087</t>
  </si>
  <si>
    <t>Ebenezer Supermercado</t>
  </si>
  <si>
    <t>IMPERIO RACOES</t>
  </si>
  <si>
    <t>0726/249</t>
  </si>
  <si>
    <t>JG COSMETICOS</t>
  </si>
  <si>
    <t>0765/145</t>
  </si>
  <si>
    <t>FRIGORIFICO POPULAR</t>
  </si>
  <si>
    <t>0716/173</t>
  </si>
  <si>
    <t>0726/268</t>
  </si>
  <si>
    <t>0726/255</t>
  </si>
  <si>
    <t>0726/266</t>
  </si>
  <si>
    <t>Style Variedades</t>
  </si>
  <si>
    <t>0752/145</t>
  </si>
  <si>
    <t>MIX LINGERIE</t>
  </si>
  <si>
    <t>Posto Uniforca</t>
  </si>
  <si>
    <t>5806/150</t>
  </si>
  <si>
    <t>UNIVERSO CELL</t>
  </si>
  <si>
    <t>0649/147</t>
  </si>
  <si>
    <t>Roberto Pharma</t>
  </si>
  <si>
    <t>0405/792</t>
  </si>
  <si>
    <t>Mercadinho Gomes</t>
  </si>
  <si>
    <t>TUDO DE BOM</t>
  </si>
  <si>
    <t>0458/160</t>
  </si>
  <si>
    <t>MERCEARIA MERCANTIL</t>
  </si>
  <si>
    <t>0685/155</t>
  </si>
  <si>
    <t>ELIENE CALCADOS 0002</t>
  </si>
  <si>
    <t>1351/238</t>
  </si>
  <si>
    <t>UMIRIM</t>
  </si>
  <si>
    <t>IOSO ACESSORIOS</t>
  </si>
  <si>
    <t>1234/129</t>
  </si>
  <si>
    <t>NYCOLLAS</t>
  </si>
  <si>
    <t>1001 COISAS</t>
  </si>
  <si>
    <t>JOAO JOSE MERCEARIA</t>
  </si>
  <si>
    <t>0685/242</t>
  </si>
  <si>
    <t>0985/299</t>
  </si>
  <si>
    <t>0726/274</t>
  </si>
  <si>
    <t>0726/198</t>
  </si>
  <si>
    <t>0726/270</t>
  </si>
  <si>
    <t>O BELLA MODAS</t>
  </si>
  <si>
    <t>5806/149</t>
  </si>
  <si>
    <t>BANCA DE REVISATAS O JAIRO</t>
  </si>
  <si>
    <t>0684/217</t>
  </si>
  <si>
    <t>LOURO VARIEDADES</t>
  </si>
  <si>
    <t>5365/078</t>
  </si>
  <si>
    <t>Mercadinho Madalena</t>
  </si>
  <si>
    <t>5449/173</t>
  </si>
  <si>
    <t>Drogaria Genesis</t>
  </si>
  <si>
    <t>5798/179</t>
  </si>
  <si>
    <t>NUTRIMAX SUPLEMENTOS</t>
  </si>
  <si>
    <t>0752/146</t>
  </si>
  <si>
    <t>VLR_CREDITO_PARCEL</t>
  </si>
  <si>
    <t>PINK LYCE</t>
  </si>
  <si>
    <t>JM CAPAS E ACESSÓRIOS</t>
  </si>
  <si>
    <t>0625/152</t>
  </si>
  <si>
    <t>ITAPAJE</t>
  </si>
  <si>
    <t>OTOPECAS</t>
  </si>
  <si>
    <t>0985/211</t>
  </si>
  <si>
    <t>Comercial O Edienai</t>
  </si>
  <si>
    <t>5792/210</t>
  </si>
  <si>
    <t>MERCADINHO ADAO</t>
  </si>
  <si>
    <t>0985/427</t>
  </si>
  <si>
    <t>Do Povo Casa De Construções</t>
  </si>
  <si>
    <t>Zero</t>
  </si>
  <si>
    <t>3848/204</t>
  </si>
  <si>
    <t>3848/225</t>
  </si>
  <si>
    <t>5446/241</t>
  </si>
  <si>
    <t>3848/221</t>
  </si>
  <si>
    <t>5446/192</t>
  </si>
  <si>
    <t>3848/143</t>
  </si>
  <si>
    <t>5446/225</t>
  </si>
  <si>
    <t>3848/222</t>
  </si>
  <si>
    <t>5446/244</t>
  </si>
  <si>
    <t>Iby Motos</t>
  </si>
  <si>
    <t>5438/132</t>
  </si>
  <si>
    <t>SOBRAL COLCHÕES</t>
  </si>
  <si>
    <t>0702/186</t>
  </si>
  <si>
    <t>EUNARDS COMERCIAL</t>
  </si>
  <si>
    <t>1351/315</t>
  </si>
  <si>
    <t>CENTRAL MOTO PECAS</t>
  </si>
  <si>
    <t>1302/175</t>
  </si>
  <si>
    <t>MERCADO SUPER NO PRECO</t>
  </si>
  <si>
    <t>2572/142</t>
  </si>
  <si>
    <t>DROGARIA BRASIL POPULAR</t>
  </si>
  <si>
    <t>0726/273</t>
  </si>
  <si>
    <t>FG FARMA</t>
  </si>
  <si>
    <t>Mercearia JC</t>
  </si>
  <si>
    <t>5387/147</t>
  </si>
  <si>
    <t>Muambaria Cruz</t>
  </si>
  <si>
    <t>0684/211</t>
  </si>
  <si>
    <t>DROGARIA SANTA LUZIA 0002</t>
  </si>
  <si>
    <t>5792/212</t>
  </si>
  <si>
    <t>PRIMO CELL</t>
  </si>
  <si>
    <t>5438/133</t>
  </si>
  <si>
    <t>5367/168</t>
  </si>
  <si>
    <t>5795/149</t>
  </si>
  <si>
    <t>Mercadinho Zé Hugo</t>
  </si>
  <si>
    <t>0704/191</t>
  </si>
  <si>
    <t>DROGARIA SANTA LUZIA 0003</t>
  </si>
  <si>
    <t>5792/213</t>
  </si>
  <si>
    <t>MIRELLY SUPERMERCADOS FILIAL 0002</t>
  </si>
  <si>
    <t>0625/133</t>
  </si>
  <si>
    <t>Salud Posto de Medicamentos</t>
  </si>
  <si>
    <t>5449/175</t>
  </si>
  <si>
    <t>RIBEIRO PEÇAS</t>
  </si>
  <si>
    <t>0719/199</t>
  </si>
  <si>
    <t>PADARIA E MERCEARIA GABRIELE</t>
  </si>
  <si>
    <t>1302/233</t>
  </si>
  <si>
    <t>vlr_consignado_total</t>
  </si>
  <si>
    <t>vlr_consignado_inss</t>
  </si>
  <si>
    <t>vlr_consignado_pub</t>
  </si>
  <si>
    <t>vlr_consignado_priv</t>
  </si>
  <si>
    <t>LOJA DE FERRAGENS BOA SORTE</t>
  </si>
  <si>
    <t>0295/217</t>
  </si>
  <si>
    <t>0854/193</t>
  </si>
  <si>
    <t>Ale Variedades</t>
  </si>
  <si>
    <t>1302/234</t>
  </si>
  <si>
    <t>0288/202</t>
  </si>
  <si>
    <t>HALYSSANDRA CONSTRUCOES</t>
  </si>
  <si>
    <t>5415/102</t>
  </si>
  <si>
    <t>PARAIPAO</t>
  </si>
  <si>
    <t>5446/147</t>
  </si>
  <si>
    <t>Techmix</t>
  </si>
  <si>
    <t>0684/229</t>
  </si>
  <si>
    <t>Mercadinho Ryan</t>
  </si>
  <si>
    <t>1302/235</t>
  </si>
  <si>
    <t>MERCEARIA SE TU UMA BENCAO</t>
  </si>
  <si>
    <t>MERCADINHO HERCULES</t>
  </si>
  <si>
    <t>0937/236</t>
  </si>
  <si>
    <t>AW IMPRESSOES</t>
  </si>
  <si>
    <t>0621/084</t>
  </si>
  <si>
    <t>Drogaria Saude Vital</t>
  </si>
  <si>
    <t>0985/454</t>
  </si>
  <si>
    <t>Super Tio Augusto 0005</t>
  </si>
  <si>
    <t>0752/147</t>
  </si>
  <si>
    <t>Farmacia Do Trabalhador Do Preco Baixo</t>
  </si>
  <si>
    <t>0683/143</t>
  </si>
  <si>
    <t>Bella Moda Intima</t>
  </si>
  <si>
    <t>5438/135</t>
  </si>
  <si>
    <t>FRIGORIFICO CHIQUINHO DOS CARNEIROS</t>
  </si>
  <si>
    <t>0645/124</t>
  </si>
  <si>
    <t>Junho Cell</t>
  </si>
  <si>
    <t>1379/138</t>
  </si>
  <si>
    <t>Supermercado Sao Joaquim</t>
  </si>
  <si>
    <t>0685/243</t>
  </si>
  <si>
    <t>DROGARIA WANDERLLEY</t>
  </si>
  <si>
    <t>3848/157</t>
  </si>
  <si>
    <t>MERCADINHO BARBARA</t>
  </si>
  <si>
    <t>2245/074</t>
  </si>
  <si>
    <t>SUPERMERCADO O BINGA</t>
  </si>
  <si>
    <t>2245/067</t>
  </si>
  <si>
    <t>TOP MOVEIS ITAREMA 0034</t>
  </si>
  <si>
    <t>2245/070</t>
  </si>
  <si>
    <t>MELHOR FARMA</t>
  </si>
  <si>
    <t>5798/158</t>
  </si>
  <si>
    <t>FARMACIA UNIFARMA</t>
  </si>
  <si>
    <t>2245/072</t>
  </si>
  <si>
    <t>MERCEARIA CASA DO OVO</t>
  </si>
  <si>
    <t>0985/455</t>
  </si>
  <si>
    <t>Oticas Vitta</t>
  </si>
  <si>
    <t>5806/152</t>
  </si>
  <si>
    <t>RAIMAR SUPERMERCADOS LJ 11</t>
  </si>
  <si>
    <t>5449/176</t>
  </si>
  <si>
    <t>COMERCIAL ROCHA ALMEIDA</t>
  </si>
  <si>
    <t>0715/120</t>
  </si>
  <si>
    <t>L E L UTILIDADES</t>
  </si>
  <si>
    <t>0704/186</t>
  </si>
  <si>
    <t>Ed Frios</t>
  </si>
  <si>
    <t>5415/184</t>
  </si>
  <si>
    <t>Wilza Variedades</t>
  </si>
  <si>
    <t>0645/155</t>
  </si>
  <si>
    <t>IMPORTCELL</t>
  </si>
  <si>
    <t>5367/112</t>
  </si>
  <si>
    <t>DEPOSITO SANTO ANTONIO</t>
  </si>
  <si>
    <t>0767/078</t>
  </si>
  <si>
    <t>Lev Magazine Moveis E Eletro</t>
  </si>
  <si>
    <t>1234/131</t>
  </si>
  <si>
    <t>ESSENCIAL FASHION 0002</t>
  </si>
  <si>
    <t>0719/201</t>
  </si>
  <si>
    <t>LOJAO FURTADO</t>
  </si>
  <si>
    <t>5795/104</t>
  </si>
  <si>
    <t>FARMACIA LIMA</t>
  </si>
  <si>
    <t>0937/419</t>
  </si>
  <si>
    <t>Drogaria Premium + Eugelina Cosmeticos</t>
  </si>
  <si>
    <t>5806/153</t>
  </si>
  <si>
    <t>Posto De Medicamentos Sao Lucas</t>
  </si>
  <si>
    <t>0752/139</t>
  </si>
  <si>
    <t>Q Barato Mercadinho Variedades</t>
  </si>
  <si>
    <t>0628/097</t>
  </si>
  <si>
    <t>0702/179</t>
  </si>
  <si>
    <t>FARMACIA PADRE CICERO 0005</t>
  </si>
  <si>
    <t>5438/106</t>
  </si>
  <si>
    <t>FARMACIA BEM ESTAR</t>
  </si>
  <si>
    <t>0711/135</t>
  </si>
  <si>
    <t>PAPELARIA AQUARELA</t>
  </si>
  <si>
    <t>5367/151</t>
  </si>
  <si>
    <t>OFICINA DO CELULAR</t>
  </si>
  <si>
    <t>Nutri Farma</t>
  </si>
  <si>
    <t>0726/213</t>
  </si>
  <si>
    <t>ITAJAVE CELULAR</t>
  </si>
  <si>
    <t>0719/169</t>
  </si>
  <si>
    <t>Mercearia</t>
  </si>
  <si>
    <t>0458/455</t>
  </si>
  <si>
    <t>FARMACIA BATURITE</t>
  </si>
  <si>
    <t>5365/064</t>
  </si>
  <si>
    <t>Mercado Opa</t>
  </si>
  <si>
    <t>0937/780</t>
  </si>
  <si>
    <t>MED CENTER</t>
  </si>
  <si>
    <t>0288/177</t>
  </si>
  <si>
    <t>Drogaria Itapipoca 0001</t>
  </si>
  <si>
    <t>1351/347</t>
  </si>
  <si>
    <t>CÉLIO</t>
  </si>
  <si>
    <t>0726/278</t>
  </si>
  <si>
    <t>Mercadinho Cynara</t>
  </si>
  <si>
    <t>0726/214</t>
  </si>
  <si>
    <t>0726/063</t>
  </si>
  <si>
    <t>Essencial Fashion</t>
  </si>
  <si>
    <t>0719/181</t>
  </si>
  <si>
    <t>FARMACIA SANTA TEREZINHA</t>
  </si>
  <si>
    <t>5365/095</t>
  </si>
  <si>
    <t>Mercadinho  Herminio lj 002</t>
  </si>
  <si>
    <t>5447/139</t>
  </si>
  <si>
    <t>Absoluta Perfumaria E Cosmeticos</t>
  </si>
  <si>
    <t>0684/224</t>
  </si>
  <si>
    <t>Drogarias Sao Jose</t>
  </si>
  <si>
    <t>1351/349</t>
  </si>
  <si>
    <t>Farmacia Pontes</t>
  </si>
  <si>
    <t>5395/104</t>
  </si>
  <si>
    <t>Mercadinho Souza</t>
  </si>
  <si>
    <t>5367/165</t>
  </si>
  <si>
    <t>1351/314</t>
  </si>
  <si>
    <t>Shalon Variedades 2245</t>
  </si>
  <si>
    <t>2245/078</t>
  </si>
  <si>
    <t>CCM VARIEDADES</t>
  </si>
  <si>
    <t>Ellyfarma</t>
  </si>
  <si>
    <t>2245/066</t>
  </si>
  <si>
    <t>TA BARATO DEMAIS JR loaj 2</t>
  </si>
  <si>
    <t>5415/178</t>
  </si>
  <si>
    <t>CASA SAO JOAO</t>
  </si>
  <si>
    <t>5367/067</t>
  </si>
  <si>
    <t>Grupo Invista</t>
  </si>
  <si>
    <t>5446/210</t>
  </si>
  <si>
    <t>FARMACIA FROTA</t>
  </si>
  <si>
    <t>5303/075</t>
  </si>
  <si>
    <t>CASA SAO FRANCISCO</t>
  </si>
  <si>
    <t>5365/124</t>
  </si>
  <si>
    <t>DROGARIAS FARMA MAIS SAUDE</t>
  </si>
  <si>
    <t>1351/346</t>
  </si>
  <si>
    <t>MERCADINHO SAMUCA</t>
  </si>
  <si>
    <t>0649/137</t>
  </si>
  <si>
    <t>Mega 20</t>
  </si>
  <si>
    <t>2245/065</t>
  </si>
  <si>
    <t>Absoluta Moveis</t>
  </si>
  <si>
    <t>5098/088</t>
  </si>
  <si>
    <t>SUPER TIO AUGUSTO 0003</t>
  </si>
  <si>
    <t>0752/127</t>
  </si>
  <si>
    <t>MUCAMBO</t>
  </si>
  <si>
    <t>Alfametal &amp; Construcoes</t>
  </si>
  <si>
    <t>1351/350</t>
  </si>
  <si>
    <t>São Francisco Hortifruti</t>
  </si>
  <si>
    <t>1302/237</t>
  </si>
  <si>
    <t>JPK MODAS</t>
  </si>
  <si>
    <t>0719/183</t>
  </si>
  <si>
    <t>FACIL FARMA</t>
  </si>
  <si>
    <t>1302/173</t>
  </si>
  <si>
    <t>GYLKA CONFECCOES</t>
  </si>
  <si>
    <t>0767/105</t>
  </si>
  <si>
    <t>BROTHER NET TEIXEIRA ME</t>
  </si>
  <si>
    <t>5367/138</t>
  </si>
  <si>
    <t>FARMACIA ESTAR BEM</t>
  </si>
  <si>
    <t>5438/122</t>
  </si>
  <si>
    <t>Prospect Autos</t>
  </si>
  <si>
    <t>0649/148</t>
  </si>
  <si>
    <t>PAULO</t>
  </si>
  <si>
    <t>CRIS VARIEDADES</t>
  </si>
  <si>
    <t>1351/351</t>
  </si>
  <si>
    <t>Elegível2</t>
  </si>
  <si>
    <t>Pontuação2</t>
  </si>
  <si>
    <t>Sem Cesta</t>
  </si>
  <si>
    <t>Com Cesta</t>
  </si>
  <si>
    <t>%</t>
  </si>
  <si>
    <t>EDY CALCADOS</t>
  </si>
  <si>
    <t>5443/104</t>
  </si>
  <si>
    <t>COMERCIAL O CHAGAS</t>
  </si>
  <si>
    <t>1522/070</t>
  </si>
  <si>
    <t>ESTACAO CONSTRUCOES</t>
  </si>
  <si>
    <t>0985/312</t>
  </si>
  <si>
    <t>MINI MERCADO EBENEZER</t>
  </si>
  <si>
    <t>0685/161</t>
  </si>
  <si>
    <t>Super Savana</t>
  </si>
  <si>
    <t>1302/211</t>
  </si>
  <si>
    <t>Pro Limp</t>
  </si>
  <si>
    <t>0767/144</t>
  </si>
  <si>
    <t>Coordenador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</si>
</sst>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0" fontId="0" fillId="0" borderId="2" xfId="1" applyNumberFormat="1" applyFont="1" applyBorder="1"/>
    <xf numFmtId="10" fontId="0" fillId="0" borderId="7" xfId="1" applyNumberFormat="1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6" xfId="0" applyBorder="1"/>
    <xf numFmtId="0" fontId="0" fillId="2" borderId="16" xfId="0" applyFill="1" applyBorder="1"/>
    <xf numFmtId="10" fontId="0" fillId="0" borderId="0" xfId="1" applyNumberFormat="1" applyFont="1"/>
    <xf numFmtId="0" fontId="0" fillId="0" borderId="17" xfId="0" applyBorder="1"/>
    <xf numFmtId="10" fontId="0" fillId="0" borderId="19" xfId="1" applyNumberFormat="1" applyFont="1" applyBorder="1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0" fillId="0" borderId="25" xfId="0" applyBorder="1"/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9" xfId="0" applyBorder="1" applyAlignment="1">
      <alignment horizontal="right"/>
    </xf>
  </cellXfs>
  <cellStyles count="2">
    <cellStyle name="Normal" xfId="0" builtinId="0"/>
    <cellStyle name="Porcentagem" xfId="1" builtinId="5"/>
  </cellStyles>
  <dxfs count="70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51B5C2E-A508-456A-8C20-6A75FBF43E13}" autoFormatId="16" applyNumberFormats="0" applyBorderFormats="0" applyFontFormats="0" applyPatternFormats="0" applyAlignmentFormats="0" applyWidthHeightFormats="0">
  <queryTableRefresh nextId="103" unboundColumnsLeft="4" unboundColumnsRight="3">
    <queryTableFields count="40">
      <queryTableField id="42" dataBound="0" tableColumnId="42"/>
      <queryTableField id="101" dataBound="0" tableColumnId="20"/>
      <queryTableField id="41" dataBound="0" tableColumnId="41"/>
      <queryTableField id="48" dataBound="0" tableColumnId="48"/>
      <queryTableField id="77" name="chave_loja" tableColumnId="1"/>
      <queryTableField id="2" name="nome_loja" tableColumnId="2"/>
      <queryTableField id="3" name="ag_pacb" tableColumnId="3"/>
      <queryTableField id="4" name="dt_inst_tablet" tableColumnId="4"/>
      <queryTableField id="6" name="uf" tableColumnId="6"/>
      <queryTableField id="7" name="municipio" tableColumnId="7"/>
      <queryTableField id="8" name="dt_clube" tableColumnId="8"/>
      <queryTableField id="9" name="dt_certificacao" tableColumnId="9"/>
      <queryTableField id="10" name="ger_regional" tableColumnId="10"/>
      <queryTableField id="11" name="data_ult_transacao" tableColumnId="11"/>
      <queryTableField id="12" name="qtd_TrxContabil" tableColumnId="12"/>
      <queryTableField id="13" name="qtd_contas" tableColumnId="13"/>
      <queryTableField id="14" name="qtd_contas_com_deposito" tableColumnId="14"/>
      <queryTableField id="15" name="qtd_cesta_serv" tableColumnId="15"/>
      <queryTableField id="18" name="QTD_CARTAO_EMITIDO" tableColumnId="18"/>
      <queryTableField id="23" name="vlr_lime" tableColumnId="23"/>
      <queryTableField id="78" name="vlr_consignado_total" tableColumnId="5"/>
      <queryTableField id="79" name="vlr_consignado_inss" tableColumnId="16"/>
      <queryTableField id="80" name="vlr_consignado_pub" tableColumnId="17"/>
      <queryTableField id="81" name="vlr_consignado_priv" tableColumnId="19"/>
      <queryTableField id="74" name="VLR_CREDITO_PARCEL" tableColumnId="44"/>
      <queryTableField id="28" name="QTD_CONTAS_PJ" tableColumnId="28"/>
      <queryTableField id="30" name="qtd_microsseguro" tableColumnId="30"/>
      <queryTableField id="31" name="QTD_SUPER_PROTEGIDO" tableColumnId="31"/>
      <queryTableField id="32" name="QTD_MICRO_VIVAVIDA" tableColumnId="32"/>
      <queryTableField id="33" name="QTD_PLANO_ODONTO" tableColumnId="33"/>
      <queryTableField id="34" name="QTD_SEG_RESIDENCIAL" tableColumnId="34"/>
      <queryTableField id="35" name="QTD_SEG_CARTAO_DEB" tableColumnId="35"/>
      <queryTableField id="50" name="VLR_EXP_SORTE" tableColumnId="50"/>
      <queryTableField id="36" name="REFERENCIA" tableColumnId="36"/>
      <queryTableField id="37" name="BLOQUEADO" tableColumnId="37"/>
      <queryTableField id="68" name="DT_BLOQUEADO" tableColumnId="38"/>
      <queryTableField id="60" name="Status" tableColumnId="45"/>
      <queryTableField id="40" dataBound="0" tableColumnId="40"/>
      <queryTableField id="76" dataBound="0" tableColumnId="46"/>
      <queryTableField id="102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719F67-ACAE-495D-9050-807515292386}" name="Rel_2026" displayName="Rel_2026" ref="A1:AN619" tableType="queryTable" totalsRowCount="1">
  <autoFilter ref="A1:AN618" xr:uid="{0B719F67-ACAE-495D-9050-807515292386}"/>
  <tableColumns count="40">
    <tableColumn id="42" xr3:uid="{F213EA82-5E15-4D45-8B93-BEEBE0EF9515}" uniqueName="42" name="Elegível" queryTableFieldId="42" dataDxfId="69">
      <calculatedColumnFormula>IF(Rel_2026[[#This Row],[Zero]]=0,"Zero",IF(Rel_2026[[#This Row],[Pontuação]]&gt;=10,"Sim",IF(Rel_2026[[#This Row],[Pontuação]]&gt;=5,"Próximo","Não")))</calculatedColumnFormula>
    </tableColumn>
    <tableColumn id="20" xr3:uid="{DCF13D5A-50DF-474C-896D-AFFE3545AC80}" uniqueName="20" name="Elegível2" queryTableFieldId="101" dataDxfId="68">
      <calculatedColumnFormula>IF(Rel_2026[[#This Row],[Zero]]=0,"Zero",IF(Rel_2026[[#This Row],[Pontuação2]]&gt;=10,"Sim",IF(Rel_2026[[#This Row],[Pontuação2]]&gt;=5,"Próximo","Não")))</calculatedColumnFormula>
    </tableColumn>
    <tableColumn id="41" xr3:uid="{02D0B8F5-872C-4A1A-B7A1-EB331A34F9FF}" uniqueName="41" name="Responsável" queryTableFieldId="41" dataDxfId="67">
      <calculatedColumnFormula>IFERROR(VLOOKUP(Rel_2026[[#This Row],[chave_loja]],Responsavel!A:B,2,FALSE),"EUCLIDES")</calculatedColumnFormula>
    </tableColumn>
    <tableColumn id="48" xr3:uid="{8518D775-916C-4F4F-AF5A-6AE1C8C0EC9C}" uniqueName="48" name="Agência" queryTableFieldId="48" dataDxfId="66">
      <calculatedColumnFormula>LEFT(Rel_2026[[#This Row],[ag_pacb]],4)</calculatedColumnFormula>
    </tableColumn>
    <tableColumn id="1" xr3:uid="{D3B7D8E3-735C-4C74-91BE-C9FEA5795645}" uniqueName="1" name="chave_loja" queryTableFieldId="77"/>
    <tableColumn id="2" xr3:uid="{4333F821-10E6-4B9A-A4F6-B88CB2A4D147}" uniqueName="2" name="nome_loja" queryTableFieldId="2" dataDxfId="65"/>
    <tableColumn id="3" xr3:uid="{2380DCC2-F693-4A44-A4F0-F0E73DD0C3C2}" uniqueName="3" name="ag_pacb" queryTableFieldId="3" dataDxfId="64"/>
    <tableColumn id="4" xr3:uid="{C7FB53EB-B78A-44EC-856D-6872DB55B826}" uniqueName="4" name="dt_inst_tablet" queryTableFieldId="4" dataDxfId="63" totalsRowDxfId="3"/>
    <tableColumn id="6" xr3:uid="{351B8D73-7C04-4E6D-B852-65982FB49CEA}" uniqueName="6" name="uf" queryTableFieldId="6" dataDxfId="62"/>
    <tableColumn id="7" xr3:uid="{168B68D1-F18A-4629-9A93-F998BF1123EB}" uniqueName="7" name="municipio" queryTableFieldId="7" dataDxfId="61"/>
    <tableColumn id="8" xr3:uid="{01E9D10E-4E54-474F-B8A8-00EBB86F2D87}" uniqueName="8" name="dt_clube" queryTableFieldId="8" dataDxfId="60" totalsRowDxfId="2"/>
    <tableColumn id="9" xr3:uid="{92B0D46D-2407-434D-BB39-8486C47FC3AC}" uniqueName="9" name="dt_certificacao" queryTableFieldId="9" dataDxfId="59" totalsRowDxfId="1"/>
    <tableColumn id="10" xr3:uid="{72170234-B156-48EC-B8D8-FEE657C1D2A6}" uniqueName="10" name="ger_regional" queryTableFieldId="10" dataDxfId="58"/>
    <tableColumn id="11" xr3:uid="{C1FA43C4-018C-4601-8285-75F3C8037A91}" uniqueName="11" name="data_ult_transacao" queryTableFieldId="11" dataDxfId="57" totalsRowDxfId="0"/>
    <tableColumn id="12" xr3:uid="{80142388-B33B-4439-9AD3-45D163647649}" uniqueName="12" name="qtd_TrxContabil" queryTableFieldId="12"/>
    <tableColumn id="13" xr3:uid="{45E76A5D-E99B-4116-8260-CA99B77B61BC}" uniqueName="13" name="qtd_contas" totalsRowFunction="custom" queryTableFieldId="13">
      <totalsRowFormula>SUBTOTAL(9,Rel_2026[qtd_contas])</totalsRowFormula>
    </tableColumn>
    <tableColumn id="14" xr3:uid="{90D31989-BEDE-47D4-A601-B18FC45E35F0}" uniqueName="14" name="qtd_contas_com_deposito" totalsRowFunction="custom" queryTableFieldId="14">
      <totalsRowFormula>SUBTOTAL(9,Rel_2026[qtd_contas_com_deposito])</totalsRowFormula>
    </tableColumn>
    <tableColumn id="15" xr3:uid="{203B1ACA-754B-4521-9390-99BD5C4E5182}" uniqueName="15" name="qtd_cesta_serv" totalsRowFunction="custom" queryTableFieldId="15">
      <totalsRowFormula>SUBTOTAL(9,Rel_2026[qtd_cesta_serv])</totalsRowFormula>
    </tableColumn>
    <tableColumn id="18" xr3:uid="{52D869F3-A191-468A-A6EF-1B55DC783CD4}" uniqueName="18" name="QTD_CARTAO_EMITIDO" totalsRowFunction="custom" queryTableFieldId="18">
      <totalsRowFormula>SUBTOTAL(9,Rel_2026[QTD_CARTAO_EMITIDO])</totalsRowFormula>
    </tableColumn>
    <tableColumn id="23" xr3:uid="{4BC1396A-D09F-401E-8C9A-13BE54F3EF34}" uniqueName="23" name="vlr_lime" queryTableFieldId="23"/>
    <tableColumn id="5" xr3:uid="{45F2F244-D129-4C74-8F8E-92BA3F1F03A4}" uniqueName="5" name="vlr_consignado_total" queryTableFieldId="78" dataDxfId="56"/>
    <tableColumn id="16" xr3:uid="{D21B0289-3808-46D6-88A1-1DF0B836C69D}" uniqueName="16" name="vlr_consignado_inss" queryTableFieldId="79" dataDxfId="55"/>
    <tableColumn id="17" xr3:uid="{C8736946-B23E-4F73-BBCD-0DED8819909B}" uniqueName="17" name="vlr_consignado_pub" queryTableFieldId="80" dataDxfId="54"/>
    <tableColumn id="19" xr3:uid="{4A426DED-9EBB-4BDD-A0A3-4B7D6307270C}" uniqueName="19" name="vlr_consignado_priv" queryTableFieldId="81" dataDxfId="53"/>
    <tableColumn id="44" xr3:uid="{3ADAB657-2784-4AC8-BF33-72B35FD0F8FD}" uniqueName="44" name="VLR_CREDITO_PARCEL" totalsRowFunction="custom" queryTableFieldId="74" dataDxfId="52">
      <totalsRowFormula>SUBTOTAL(9,Rel_2026[VLR_CREDITO_PARCEL])</totalsRowFormula>
    </tableColumn>
    <tableColumn id="28" xr3:uid="{77CC64CD-A8DE-4640-9423-52C9EE8065FB}" uniqueName="28" name="QTD_CONTAS_PJ" totalsRowFunction="custom" queryTableFieldId="28">
      <totalsRowFormula>SUBTOTAL(9,Rel_2026[QTD_CONTAS_PJ])</totalsRowFormula>
    </tableColumn>
    <tableColumn id="30" xr3:uid="{D6F679B5-D006-453B-A135-9153EA381DB8}" uniqueName="30" name="qtd_microsseguro" totalsRowFunction="custom" queryTableFieldId="30">
      <totalsRowFormula>SUBTOTAL(9,Rel_2026[qtd_microsseguro])</totalsRowFormula>
    </tableColumn>
    <tableColumn id="31" xr3:uid="{C43256DB-1020-43C3-AC6E-4D2B9ED56D2C}" uniqueName="31" name="QTD_SUPER_PROTEGIDO" totalsRowFunction="custom" queryTableFieldId="31">
      <totalsRowFormula>SUBTOTAL(9,Rel_2026[QTD_SUPER_PROTEGIDO])</totalsRowFormula>
    </tableColumn>
    <tableColumn id="32" xr3:uid="{1E31FC76-92BC-4FE7-AC38-95E4094C8181}" uniqueName="32" name="QTD_MICRO_VIVAVIDA" totalsRowFunction="custom" queryTableFieldId="32">
      <totalsRowFormula>SUBTOTAL(9,Rel_2026[QTD_MICRO_VIVAVIDA])</totalsRowFormula>
    </tableColumn>
    <tableColumn id="33" xr3:uid="{B686DD7E-2A3C-4D73-9859-9C182EC79FFF}" uniqueName="33" name="QTD_PLANO_ODONTO" totalsRowFunction="custom" queryTableFieldId="33">
      <totalsRowFormula>SUBTOTAL(9,Rel_2026[QTD_PLANO_ODONTO])</totalsRowFormula>
    </tableColumn>
    <tableColumn id="34" xr3:uid="{3AC1A9AC-361C-4A01-94B9-FC972CD7D5AF}" uniqueName="34" name="QTD_SEG_RESIDENCIAL" totalsRowFunction="custom" queryTableFieldId="34">
      <totalsRowFormula>SUBTOTAL(9,Rel_2026[QTD_SEG_RESIDENCIAL])</totalsRowFormula>
    </tableColumn>
    <tableColumn id="35" xr3:uid="{0F54B178-1E94-4EC0-BC2B-93F993DD5D37}" uniqueName="35" name="QTD_SEG_CARTAO_DEB" totalsRowFunction="custom" queryTableFieldId="35">
      <totalsRowFormula>SUBTOTAL(9,Rel_2026[QTD_SEG_CARTAO_DEB])</totalsRowFormula>
    </tableColumn>
    <tableColumn id="50" xr3:uid="{080E0007-D422-410E-B638-DBECD21D78E6}" uniqueName="50" name="VLR_EXP_SORTE" queryTableFieldId="50" dataDxfId="51"/>
    <tableColumn id="36" xr3:uid="{54AEAC9D-6F30-4BFD-8A27-645045663925}" uniqueName="36" name="REFERENCIA" queryTableFieldId="36" dataDxfId="50"/>
    <tableColumn id="37" xr3:uid="{32F61529-7F38-4986-AC7B-CB4A572E4DD5}" uniqueName="37" name="BLOQUEADO" queryTableFieldId="37" dataDxfId="49"/>
    <tableColumn id="38" xr3:uid="{1EB0818F-C1C1-4DDB-8420-557EA95286A2}" uniqueName="38" name="DT_BLOQUEADO" queryTableFieldId="68" dataDxfId="48"/>
    <tableColumn id="45" xr3:uid="{44CE5991-D127-4B6B-A77A-BEEFB225BF4F}" uniqueName="45" name="Status" queryTableFieldId="60" dataDxfId="47"/>
    <tableColumn id="40" xr3:uid="{6295212B-0E3B-4C3E-97CD-1F6D523D6E97}" uniqueName="40" name="Pontuação" queryTableFieldId="40" dataDxfId="46">
      <calculatedColumnFormula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calculatedColumnFormula>
    </tableColumn>
    <tableColumn id="46" xr3:uid="{4DF3BCC5-7FF0-46D7-B3D1-229D64049A9C}" uniqueName="46" name="Zero" queryTableFieldId="76" dataDxfId="45">
      <calculatedColumnFormula>SUM(Rel_2026[[#This Row],[qtd_TrxContabil]:[VLR_EXP_SORTE]])</calculatedColumnFormula>
    </tableColumn>
    <tableColumn id="21" xr3:uid="{0DD28C36-0F45-4457-9496-B5350EF01783}" uniqueName="21" name="Pontuação2" queryTableFieldId="102" dataDxfId="44">
      <calculatedColumnFormula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6D11-01DC-4F38-A662-1980B00DA89B}">
  <dimension ref="A1:BS726"/>
  <sheetViews>
    <sheetView tabSelected="1" topLeftCell="A606" workbookViewId="0">
      <selection activeCell="E616" sqref="E616"/>
    </sheetView>
  </sheetViews>
  <sheetFormatPr defaultRowHeight="14.4" x14ac:dyDescent="0.3"/>
  <cols>
    <col min="1" max="1" width="9.6640625" bestFit="1" customWidth="1"/>
    <col min="2" max="2" width="10.6640625" bestFit="1" customWidth="1"/>
    <col min="3" max="3" width="13.6640625" bestFit="1" customWidth="1"/>
    <col min="4" max="4" width="9.77734375" bestFit="1" customWidth="1"/>
    <col min="5" max="5" width="12" bestFit="1" customWidth="1"/>
    <col min="6" max="6" width="46" bestFit="1" customWidth="1"/>
    <col min="7" max="7" width="10.109375" bestFit="1" customWidth="1"/>
    <col min="8" max="8" width="14.6640625" bestFit="1" customWidth="1"/>
    <col min="9" max="9" width="4.77734375" bestFit="1" customWidth="1"/>
    <col min="10" max="10" width="28.5546875" bestFit="1" customWidth="1"/>
    <col min="11" max="11" width="10.44140625" bestFit="1" customWidth="1"/>
    <col min="12" max="12" width="15.88671875" bestFit="1" customWidth="1"/>
    <col min="13" max="13" width="17.88671875" bestFit="1" customWidth="1"/>
    <col min="14" max="14" width="19.109375" bestFit="1" customWidth="1"/>
    <col min="15" max="15" width="16.5546875" bestFit="1" customWidth="1"/>
    <col min="16" max="16" width="12.44140625" bestFit="1" customWidth="1"/>
    <col min="17" max="17" width="25.33203125" bestFit="1" customWidth="1"/>
    <col min="18" max="18" width="15.77734375" bestFit="1" customWidth="1"/>
    <col min="19" max="19" width="22.21875" bestFit="1" customWidth="1"/>
    <col min="20" max="20" width="9.88671875" bestFit="1" customWidth="1"/>
    <col min="21" max="21" width="20.44140625" bestFit="1" customWidth="1"/>
    <col min="22" max="22" width="19.88671875" bestFit="1" customWidth="1"/>
    <col min="23" max="24" width="19.77734375" bestFit="1" customWidth="1"/>
    <col min="25" max="25" width="21.88671875" bestFit="1" customWidth="1"/>
    <col min="26" max="26" width="17.109375" bestFit="1" customWidth="1"/>
    <col min="27" max="27" width="18.21875" bestFit="1" customWidth="1"/>
    <col min="28" max="28" width="24" bestFit="1" customWidth="1"/>
    <col min="29" max="29" width="22" bestFit="1" customWidth="1"/>
    <col min="30" max="30" width="21.6640625" bestFit="1" customWidth="1"/>
    <col min="31" max="31" width="23" bestFit="1" customWidth="1"/>
    <col min="32" max="32" width="22.77734375" bestFit="1" customWidth="1"/>
    <col min="33" max="33" width="16.6640625" bestFit="1" customWidth="1"/>
    <col min="34" max="34" width="13.6640625" bestFit="1" customWidth="1"/>
    <col min="35" max="35" width="13.77734375" bestFit="1" customWidth="1"/>
    <col min="36" max="36" width="16.77734375" bestFit="1" customWidth="1"/>
    <col min="37" max="37" width="9.44140625" bestFit="1" customWidth="1"/>
    <col min="38" max="38" width="12" bestFit="1" customWidth="1"/>
    <col min="39" max="39" width="7" bestFit="1" customWidth="1"/>
    <col min="40" max="40" width="13" bestFit="1" customWidth="1"/>
    <col min="41" max="48" width="6" bestFit="1" customWidth="1"/>
    <col min="49" max="49" width="12" bestFit="1" customWidth="1"/>
    <col min="50" max="50" width="7" bestFit="1" customWidth="1"/>
    <col min="51" max="51" width="23" bestFit="1" customWidth="1"/>
    <col min="52" max="52" width="22.6640625" bestFit="1" customWidth="1"/>
    <col min="53" max="53" width="17" bestFit="1" customWidth="1"/>
    <col min="54" max="54" width="16.6640625" bestFit="1" customWidth="1"/>
    <col min="55" max="55" width="21.88671875" bestFit="1" customWidth="1"/>
    <col min="56" max="57" width="13.6640625" bestFit="1" customWidth="1"/>
    <col min="58" max="58" width="16.6640625" bestFit="1" customWidth="1"/>
    <col min="59" max="59" width="9.44140625" bestFit="1" customWidth="1"/>
    <col min="60" max="60" width="5" bestFit="1" customWidth="1"/>
    <col min="61" max="61" width="6" customWidth="1"/>
    <col min="62" max="62" width="12" bestFit="1" customWidth="1"/>
    <col min="63" max="63" width="7" bestFit="1" customWidth="1"/>
    <col min="64" max="64" width="12.5546875" bestFit="1" customWidth="1"/>
    <col min="65" max="65" width="14.6640625" bestFit="1" customWidth="1"/>
    <col min="66" max="66" width="16.5546875" bestFit="1" customWidth="1"/>
    <col min="67" max="67" width="9.44140625" bestFit="1" customWidth="1"/>
    <col min="68" max="68" width="12" bestFit="1" customWidth="1"/>
    <col min="69" max="70" width="13.6640625" bestFit="1" customWidth="1"/>
    <col min="71" max="71" width="16.6640625" bestFit="1" customWidth="1"/>
    <col min="72" max="72" width="17.5546875" customWidth="1"/>
    <col min="73" max="73" width="12" bestFit="1" customWidth="1"/>
  </cols>
  <sheetData>
    <row r="1" spans="1:40" x14ac:dyDescent="0.3">
      <c r="A1" t="s">
        <v>652</v>
      </c>
      <c r="B1" t="s">
        <v>1436</v>
      </c>
      <c r="C1" t="s">
        <v>663</v>
      </c>
      <c r="D1" t="s">
        <v>727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1268</v>
      </c>
      <c r="V1" t="s">
        <v>1269</v>
      </c>
      <c r="W1" t="s">
        <v>1270</v>
      </c>
      <c r="X1" t="s">
        <v>1271</v>
      </c>
      <c r="Y1" t="s">
        <v>1211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751</v>
      </c>
      <c r="AH1" t="s">
        <v>1075</v>
      </c>
      <c r="AI1" t="s">
        <v>1076</v>
      </c>
      <c r="AJ1" t="s">
        <v>1077</v>
      </c>
      <c r="AK1" t="s">
        <v>1063</v>
      </c>
      <c r="AL1" t="s">
        <v>651</v>
      </c>
      <c r="AM1" t="s">
        <v>1223</v>
      </c>
      <c r="AN1" t="s">
        <v>1437</v>
      </c>
    </row>
    <row r="2" spans="1:40" x14ac:dyDescent="0.3">
      <c r="A2" t="str">
        <f>IF(Rel_2026[[#This Row],[Zero]]=0,"Zero",IF(Rel_2026[[#This Row],[Pontuação]]&gt;=10,"Sim",IF(Rel_2026[[#This Row],[Pontuação]]&gt;=5,"Próximo","Não")))</f>
        <v>Não</v>
      </c>
      <c r="B2" t="str">
        <f>IF(Rel_2026[[#This Row],[Zero]]=0,"Zero",IF(Rel_2026[[#This Row],[Pontuação2]]&gt;=10,"Sim",IF(Rel_2026[[#This Row],[Pontuação2]]&gt;=5,"Próximo","Não")))</f>
        <v>Não</v>
      </c>
      <c r="C2" t="str">
        <f>IFERROR(VLOOKUP(Rel_2026[[#This Row],[chave_loja]],Responsavel!A:B,2,FALSE),"EUCLIDES")</f>
        <v>JUNIOR</v>
      </c>
      <c r="D2" t="str">
        <f>LEFT(Rel_2026[[#This Row],[ag_pacb]],4)</f>
        <v>1351</v>
      </c>
      <c r="E2">
        <v>408134</v>
      </c>
      <c r="F2" t="s">
        <v>295</v>
      </c>
      <c r="G2" t="s">
        <v>296</v>
      </c>
      <c r="H2" s="1">
        <v>45793</v>
      </c>
      <c r="I2" t="s">
        <v>23</v>
      </c>
      <c r="J2" t="s">
        <v>239</v>
      </c>
      <c r="K2" s="1">
        <v>45623</v>
      </c>
      <c r="L2" s="1">
        <v>45817</v>
      </c>
      <c r="M2" t="s">
        <v>32</v>
      </c>
      <c r="N2" s="1">
        <v>46248</v>
      </c>
      <c r="O2">
        <v>141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s">
        <v>26</v>
      </c>
      <c r="AI2" t="s">
        <v>27</v>
      </c>
      <c r="AJ2" s="1"/>
      <c r="AK2" t="s">
        <v>28</v>
      </c>
      <c r="AL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">
        <f>SUM(Rel_2026[[#This Row],[qtd_TrxContabil]:[VLR_EXP_SORTE]])</f>
        <v>141</v>
      </c>
      <c r="AN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" spans="1:40" x14ac:dyDescent="0.3">
      <c r="A3" t="str">
        <f>IF(Rel_2026[[#This Row],[Zero]]=0,"Zero",IF(Rel_2026[[#This Row],[Pontuação]]&gt;=10,"Sim",IF(Rel_2026[[#This Row],[Pontuação]]&gt;=5,"Próximo","Não")))</f>
        <v>Não</v>
      </c>
      <c r="B3" t="str">
        <f>IF(Rel_2026[[#This Row],[Zero]]=0,"Zero",IF(Rel_2026[[#This Row],[Pontuação2]]&gt;=10,"Sim",IF(Rel_2026[[#This Row],[Pontuação2]]&gt;=5,"Próximo","Não")))</f>
        <v>Não</v>
      </c>
      <c r="C3" t="str">
        <f>IFERROR(VLOOKUP(Rel_2026[[#This Row],[chave_loja]],Responsavel!A:B,2,FALSE),"EUCLIDES")</f>
        <v>ROSSY</v>
      </c>
      <c r="D3" t="str">
        <f>LEFT(Rel_2026[[#This Row],[ag_pacb]],4)</f>
        <v>0854</v>
      </c>
      <c r="E3">
        <v>423538</v>
      </c>
      <c r="F3" t="s">
        <v>1222</v>
      </c>
      <c r="G3" t="s">
        <v>1274</v>
      </c>
      <c r="H3" s="1">
        <v>46134</v>
      </c>
      <c r="I3" t="s">
        <v>875</v>
      </c>
      <c r="J3" t="s">
        <v>876</v>
      </c>
      <c r="K3" s="1">
        <v>46125</v>
      </c>
      <c r="L3" s="1">
        <v>46149</v>
      </c>
      <c r="M3" t="s">
        <v>109</v>
      </c>
      <c r="N3" s="1">
        <v>46254</v>
      </c>
      <c r="O3">
        <v>163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s">
        <v>26</v>
      </c>
      <c r="AI3" t="s">
        <v>27</v>
      </c>
      <c r="AJ3" s="1"/>
      <c r="AK3" t="s">
        <v>28</v>
      </c>
      <c r="AL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">
        <f>SUM(Rel_2026[[#This Row],[qtd_TrxContabil]:[VLR_EXP_SORTE]])</f>
        <v>163</v>
      </c>
      <c r="AN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" spans="1:40" x14ac:dyDescent="0.3">
      <c r="A4" t="str">
        <f>IF(Rel_2026[[#This Row],[Zero]]=0,"Zero",IF(Rel_2026[[#This Row],[Pontuação]]&gt;=10,"Sim",IF(Rel_2026[[#This Row],[Pontuação]]&gt;=5,"Próximo","Não")))</f>
        <v>Sim</v>
      </c>
      <c r="B4" t="str">
        <f>IF(Rel_2026[[#This Row],[Zero]]=0,"Zero",IF(Rel_2026[[#This Row],[Pontuação2]]&gt;=10,"Sim",IF(Rel_2026[[#This Row],[Pontuação2]]&gt;=5,"Próximo","Não")))</f>
        <v>Sim</v>
      </c>
      <c r="C4" t="str">
        <f>IFERROR(VLOOKUP(Rel_2026[[#This Row],[chave_loja]],Responsavel!A:B,2,FALSE),"EUCLIDES")</f>
        <v>CÉLIO</v>
      </c>
      <c r="D4" t="str">
        <f>LEFT(Rel_2026[[#This Row],[ag_pacb]],4)</f>
        <v>0625</v>
      </c>
      <c r="E4">
        <v>136478</v>
      </c>
      <c r="F4" t="s">
        <v>505</v>
      </c>
      <c r="G4" t="s">
        <v>506</v>
      </c>
      <c r="H4" s="1">
        <v>45120</v>
      </c>
      <c r="I4" t="s">
        <v>23</v>
      </c>
      <c r="J4" t="s">
        <v>24</v>
      </c>
      <c r="K4" s="1">
        <v>45306</v>
      </c>
      <c r="L4" s="1">
        <v>45495</v>
      </c>
      <c r="M4" t="s">
        <v>32</v>
      </c>
      <c r="N4" s="1">
        <v>46254</v>
      </c>
      <c r="O4">
        <v>14</v>
      </c>
      <c r="P4">
        <v>21</v>
      </c>
      <c r="Q4">
        <v>0</v>
      </c>
      <c r="R4">
        <v>14</v>
      </c>
      <c r="S4">
        <v>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4</v>
      </c>
      <c r="AC4">
        <v>0</v>
      </c>
      <c r="AD4">
        <v>0</v>
      </c>
      <c r="AE4">
        <v>0</v>
      </c>
      <c r="AF4">
        <v>15</v>
      </c>
      <c r="AG4">
        <v>0</v>
      </c>
      <c r="AH4" t="s">
        <v>26</v>
      </c>
      <c r="AI4" t="s">
        <v>27</v>
      </c>
      <c r="AJ4" s="1"/>
      <c r="AK4" t="s">
        <v>28</v>
      </c>
      <c r="AL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63</v>
      </c>
      <c r="AM4">
        <f>SUM(Rel_2026[[#This Row],[qtd_TrxContabil]:[VLR_EXP_SORTE]])</f>
        <v>71</v>
      </c>
      <c r="AN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105</v>
      </c>
    </row>
    <row r="5" spans="1:40" x14ac:dyDescent="0.3">
      <c r="A5" t="str">
        <f>IF(Rel_2026[[#This Row],[Zero]]=0,"Zero",IF(Rel_2026[[#This Row],[Pontuação]]&gt;=10,"Sim",IF(Rel_2026[[#This Row],[Pontuação]]&gt;=5,"Próximo","Não")))</f>
        <v>Sim</v>
      </c>
      <c r="B5" t="str">
        <f>IF(Rel_2026[[#This Row],[Zero]]=0,"Zero",IF(Rel_2026[[#This Row],[Pontuação2]]&gt;=10,"Sim",IF(Rel_2026[[#This Row],[Pontuação2]]&gt;=5,"Próximo","Não")))</f>
        <v>Sim</v>
      </c>
      <c r="C5" t="str">
        <f>IFERROR(VLOOKUP(Rel_2026[[#This Row],[chave_loja]],Responsavel!A:B,2,FALSE),"EUCLIDES")</f>
        <v>WASTHSON</v>
      </c>
      <c r="D5" t="str">
        <f>LEFT(Rel_2026[[#This Row],[ag_pacb]],4)</f>
        <v>0702</v>
      </c>
      <c r="E5">
        <v>180964</v>
      </c>
      <c r="F5" t="s">
        <v>112</v>
      </c>
      <c r="G5" t="s">
        <v>113</v>
      </c>
      <c r="H5" s="1">
        <v>45128</v>
      </c>
      <c r="I5" t="s">
        <v>23</v>
      </c>
      <c r="J5" t="s">
        <v>114</v>
      </c>
      <c r="K5" s="1">
        <v>43795</v>
      </c>
      <c r="L5" s="1">
        <v>45597</v>
      </c>
      <c r="M5" t="s">
        <v>32</v>
      </c>
      <c r="N5" s="1">
        <v>46254</v>
      </c>
      <c r="O5">
        <v>556</v>
      </c>
      <c r="P5">
        <v>2</v>
      </c>
      <c r="Q5">
        <v>2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s">
        <v>26</v>
      </c>
      <c r="AI5" t="s">
        <v>27</v>
      </c>
      <c r="AJ5" s="1"/>
      <c r="AK5" t="s">
        <v>28</v>
      </c>
      <c r="AL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5">
        <f>SUM(Rel_2026[[#This Row],[qtd_TrxContabil]:[VLR_EXP_SORTE]])</f>
        <v>561</v>
      </c>
      <c r="AN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</v>
      </c>
    </row>
    <row r="6" spans="1:40" x14ac:dyDescent="0.3">
      <c r="A6" t="str">
        <f>IF(Rel_2026[[#This Row],[Zero]]=0,"Zero",IF(Rel_2026[[#This Row],[Pontuação]]&gt;=10,"Sim",IF(Rel_2026[[#This Row],[Pontuação]]&gt;=5,"Próximo","Não")))</f>
        <v>Sim</v>
      </c>
      <c r="B6" t="str">
        <f>IF(Rel_2026[[#This Row],[Zero]]=0,"Zero",IF(Rel_2026[[#This Row],[Pontuação2]]&gt;=10,"Sim",IF(Rel_2026[[#This Row],[Pontuação2]]&gt;=5,"Próximo","Não")))</f>
        <v>Sim</v>
      </c>
      <c r="C6" t="str">
        <f>IFERROR(VLOOKUP(Rel_2026[[#This Row],[chave_loja]],Responsavel!A:B,2,FALSE),"EUCLIDES")</f>
        <v>NYCOLLAS</v>
      </c>
      <c r="D6" t="str">
        <f>LEFT(Rel_2026[[#This Row],[ag_pacb]],4)</f>
        <v>5443</v>
      </c>
      <c r="E6">
        <v>248370</v>
      </c>
      <c r="F6" t="s">
        <v>436</v>
      </c>
      <c r="G6" t="s">
        <v>437</v>
      </c>
      <c r="H6" s="1">
        <v>45082</v>
      </c>
      <c r="I6" t="s">
        <v>23</v>
      </c>
      <c r="J6" t="s">
        <v>260</v>
      </c>
      <c r="K6" s="1">
        <v>45306</v>
      </c>
      <c r="L6" s="1">
        <v>45131</v>
      </c>
      <c r="M6" t="s">
        <v>32</v>
      </c>
      <c r="N6" s="1">
        <v>46254</v>
      </c>
      <c r="O6">
        <v>99</v>
      </c>
      <c r="P6">
        <v>2</v>
      </c>
      <c r="Q6">
        <v>2</v>
      </c>
      <c r="R6">
        <v>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26</v>
      </c>
      <c r="AI6" t="s">
        <v>27</v>
      </c>
      <c r="AJ6" s="1"/>
      <c r="AK6" t="s">
        <v>28</v>
      </c>
      <c r="AL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6">
        <f>SUM(Rel_2026[[#This Row],[qtd_TrxContabil]:[VLR_EXP_SORTE]])</f>
        <v>105</v>
      </c>
      <c r="AN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7" spans="1:40" x14ac:dyDescent="0.3">
      <c r="A7" t="str">
        <f>IF(Rel_2026[[#This Row],[Zero]]=0,"Zero",IF(Rel_2026[[#This Row],[Pontuação]]&gt;=10,"Sim",IF(Rel_2026[[#This Row],[Pontuação]]&gt;=5,"Próximo","Não")))</f>
        <v>Sim</v>
      </c>
      <c r="B7" t="str">
        <f>IF(Rel_2026[[#This Row],[Zero]]=0,"Zero",IF(Rel_2026[[#This Row],[Pontuação2]]&gt;=10,"Sim",IF(Rel_2026[[#This Row],[Pontuação2]]&gt;=5,"Próximo","Não")))</f>
        <v>Sim</v>
      </c>
      <c r="C7" t="str">
        <f>IFERROR(VLOOKUP(Rel_2026[[#This Row],[chave_loja]],Responsavel!A:B,2,FALSE),"EUCLIDES")</f>
        <v>GIL</v>
      </c>
      <c r="D7" t="str">
        <f>LEFT(Rel_2026[[#This Row],[ag_pacb]],4)</f>
        <v>5387</v>
      </c>
      <c r="E7">
        <v>44568</v>
      </c>
      <c r="F7" t="s">
        <v>454</v>
      </c>
      <c r="G7" t="s">
        <v>455</v>
      </c>
      <c r="H7" s="1">
        <v>45138</v>
      </c>
      <c r="I7" t="s">
        <v>23</v>
      </c>
      <c r="J7" t="s">
        <v>130</v>
      </c>
      <c r="K7" s="1">
        <v>42137</v>
      </c>
      <c r="L7" s="1">
        <v>45468</v>
      </c>
      <c r="M7" t="s">
        <v>32</v>
      </c>
      <c r="N7" s="1">
        <v>46254</v>
      </c>
      <c r="O7">
        <v>2172</v>
      </c>
      <c r="P7">
        <v>10</v>
      </c>
      <c r="Q7">
        <v>0</v>
      </c>
      <c r="R7">
        <v>9</v>
      </c>
      <c r="S7">
        <v>1</v>
      </c>
      <c r="T7">
        <v>1866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 t="s">
        <v>38</v>
      </c>
      <c r="AI7" t="s">
        <v>27</v>
      </c>
      <c r="AJ7" s="1"/>
      <c r="AK7" t="s">
        <v>28</v>
      </c>
      <c r="AL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49</v>
      </c>
      <c r="AM7">
        <f>SUM(Rel_2026[[#This Row],[qtd_TrxContabil]:[VLR_EXP_SORTE]])</f>
        <v>4059</v>
      </c>
      <c r="AN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76</v>
      </c>
    </row>
    <row r="8" spans="1:40" x14ac:dyDescent="0.3">
      <c r="A8" t="str">
        <f>IF(Rel_2026[[#This Row],[Zero]]=0,"Zero",IF(Rel_2026[[#This Row],[Pontuação]]&gt;=10,"Sim",IF(Rel_2026[[#This Row],[Pontuação]]&gt;=5,"Próximo","Não")))</f>
        <v>Não</v>
      </c>
      <c r="B8" t="str">
        <f>IF(Rel_2026[[#This Row],[Zero]]=0,"Zero",IF(Rel_2026[[#This Row],[Pontuação2]]&gt;=10,"Sim",IF(Rel_2026[[#This Row],[Pontuação2]]&gt;=5,"Próximo","Não")))</f>
        <v>Não</v>
      </c>
      <c r="C8" t="str">
        <f>IFERROR(VLOOKUP(Rel_2026[[#This Row],[chave_loja]],Responsavel!A:B,2,FALSE),"EUCLIDES")</f>
        <v>JACK</v>
      </c>
      <c r="D8" t="str">
        <f>LEFT(Rel_2026[[#This Row],[ag_pacb]],4)</f>
        <v>5808</v>
      </c>
      <c r="E8">
        <v>147670</v>
      </c>
      <c r="F8" t="s">
        <v>877</v>
      </c>
      <c r="G8" t="s">
        <v>878</v>
      </c>
      <c r="H8" s="1">
        <v>45204</v>
      </c>
      <c r="I8" t="s">
        <v>107</v>
      </c>
      <c r="J8" t="s">
        <v>879</v>
      </c>
      <c r="K8" s="1">
        <v>42636</v>
      </c>
      <c r="L8" s="1">
        <v>44572</v>
      </c>
      <c r="M8" t="s">
        <v>109</v>
      </c>
      <c r="N8" s="1">
        <v>46254</v>
      </c>
      <c r="O8">
        <v>318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s">
        <v>26</v>
      </c>
      <c r="AI8" t="s">
        <v>27</v>
      </c>
      <c r="AJ8" s="1"/>
      <c r="AK8" t="s">
        <v>28</v>
      </c>
      <c r="AL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8">
        <f>SUM(Rel_2026[[#This Row],[qtd_TrxContabil]:[VLR_EXP_SORTE]])</f>
        <v>318</v>
      </c>
      <c r="AN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9" spans="1:40" x14ac:dyDescent="0.3">
      <c r="A9" t="str">
        <f>IF(Rel_2026[[#This Row],[Zero]]=0,"Zero",IF(Rel_2026[[#This Row],[Pontuação]]&gt;=10,"Sim",IF(Rel_2026[[#This Row],[Pontuação]]&gt;=5,"Próximo","Não")))</f>
        <v>Zero</v>
      </c>
      <c r="B9" t="str">
        <f>IF(Rel_2026[[#This Row],[Zero]]=0,"Zero",IF(Rel_2026[[#This Row],[Pontuação2]]&gt;=10,"Sim",IF(Rel_2026[[#This Row],[Pontuação2]]&gt;=5,"Próximo","Não")))</f>
        <v>Zero</v>
      </c>
      <c r="C9" t="str">
        <f>IFERROR(VLOOKUP(Rel_2026[[#This Row],[chave_loja]],Responsavel!A:B,2,FALSE),"EUCLIDES")</f>
        <v>ALEX SIQUEIRA</v>
      </c>
      <c r="D9" t="str">
        <f>LEFT(Rel_2026[[#This Row],[ag_pacb]],4)</f>
        <v>0752</v>
      </c>
      <c r="E9">
        <v>415561</v>
      </c>
      <c r="F9" t="s">
        <v>1345</v>
      </c>
      <c r="G9" t="s">
        <v>1346</v>
      </c>
      <c r="H9" s="1">
        <v>45880</v>
      </c>
      <c r="I9" t="s">
        <v>23</v>
      </c>
      <c r="J9" t="s">
        <v>338</v>
      </c>
      <c r="K9" s="1">
        <v>45875</v>
      </c>
      <c r="L9" s="1">
        <v>45890</v>
      </c>
      <c r="M9" t="s">
        <v>109</v>
      </c>
      <c r="N9" s="1">
        <v>46104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s">
        <v>26</v>
      </c>
      <c r="AI9" t="s">
        <v>56</v>
      </c>
      <c r="AJ9" s="1">
        <v>46199</v>
      </c>
      <c r="AK9" t="s">
        <v>28</v>
      </c>
      <c r="AL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9">
        <f>SUM(Rel_2026[[#This Row],[qtd_TrxContabil]:[VLR_EXP_SORTE]])</f>
        <v>0</v>
      </c>
      <c r="AN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0" spans="1:40" x14ac:dyDescent="0.3">
      <c r="A10" t="str">
        <f>IF(Rel_2026[[#This Row],[Zero]]=0,"Zero",IF(Rel_2026[[#This Row],[Pontuação]]&gt;=10,"Sim",IF(Rel_2026[[#This Row],[Pontuação]]&gt;=5,"Próximo","Não")))</f>
        <v>Sim</v>
      </c>
      <c r="B10" t="str">
        <f>IF(Rel_2026[[#This Row],[Zero]]=0,"Zero",IF(Rel_2026[[#This Row],[Pontuação2]]&gt;=10,"Sim",IF(Rel_2026[[#This Row],[Pontuação2]]&gt;=5,"Próximo","Não")))</f>
        <v>Sim</v>
      </c>
      <c r="C10" t="str">
        <f>IFERROR(VLOOKUP(Rel_2026[[#This Row],[chave_loja]],Responsavel!A:B,2,FALSE),"EUCLIDES")</f>
        <v>ROSSY</v>
      </c>
      <c r="D10" t="str">
        <f>LEFT(Rel_2026[[#This Row],[ag_pacb]],4)</f>
        <v>5792</v>
      </c>
      <c r="E10">
        <v>153607</v>
      </c>
      <c r="F10" t="s">
        <v>886</v>
      </c>
      <c r="G10" t="s">
        <v>887</v>
      </c>
      <c r="H10" s="1">
        <v>45127</v>
      </c>
      <c r="I10" t="s">
        <v>107</v>
      </c>
      <c r="J10" t="s">
        <v>816</v>
      </c>
      <c r="K10" s="1">
        <v>42636</v>
      </c>
      <c r="L10" s="1">
        <v>46156</v>
      </c>
      <c r="M10" t="s">
        <v>109</v>
      </c>
      <c r="N10" s="1">
        <v>46254</v>
      </c>
      <c r="O10">
        <v>795</v>
      </c>
      <c r="P10">
        <v>3</v>
      </c>
      <c r="Q10">
        <v>0</v>
      </c>
      <c r="R10">
        <v>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2</v>
      </c>
      <c r="AG10">
        <v>0</v>
      </c>
      <c r="AH10" t="s">
        <v>38</v>
      </c>
      <c r="AI10" t="s">
        <v>27</v>
      </c>
      <c r="AJ10" s="1"/>
      <c r="AK10" t="s">
        <v>28</v>
      </c>
      <c r="AL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10">
        <f>SUM(Rel_2026[[#This Row],[qtd_TrxContabil]:[VLR_EXP_SORTE]])</f>
        <v>804</v>
      </c>
      <c r="AN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19</v>
      </c>
    </row>
    <row r="11" spans="1:40" x14ac:dyDescent="0.3">
      <c r="A11" t="str">
        <f>IF(Rel_2026[[#This Row],[Zero]]=0,"Zero",IF(Rel_2026[[#This Row],[Pontuação]]&gt;=10,"Sim",IF(Rel_2026[[#This Row],[Pontuação]]&gt;=5,"Próximo","Não")))</f>
        <v>Não</v>
      </c>
      <c r="B11" t="str">
        <f>IF(Rel_2026[[#This Row],[Zero]]=0,"Zero",IF(Rel_2026[[#This Row],[Pontuação2]]&gt;=10,"Sim",IF(Rel_2026[[#This Row],[Pontuação2]]&gt;=5,"Próximo","Não")))</f>
        <v>Não</v>
      </c>
      <c r="C11" t="str">
        <f>IFERROR(VLOOKUP(Rel_2026[[#This Row],[chave_loja]],Responsavel!A:B,2,FALSE),"EUCLIDES")</f>
        <v>DARIO</v>
      </c>
      <c r="D11" t="str">
        <f>LEFT(Rel_2026[[#This Row],[ag_pacb]],4)</f>
        <v>1781</v>
      </c>
      <c r="E11">
        <v>221909</v>
      </c>
      <c r="F11" t="s">
        <v>705</v>
      </c>
      <c r="G11" t="s">
        <v>706</v>
      </c>
      <c r="H11" s="1">
        <v>45107</v>
      </c>
      <c r="I11" t="s">
        <v>23</v>
      </c>
      <c r="J11" t="s">
        <v>124</v>
      </c>
      <c r="K11" s="1">
        <v>45306</v>
      </c>
      <c r="L11" s="1">
        <v>45175</v>
      </c>
      <c r="M11" t="s">
        <v>25</v>
      </c>
      <c r="N11" s="1">
        <v>46254</v>
      </c>
      <c r="O11">
        <v>1709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s">
        <v>38</v>
      </c>
      <c r="AI11" t="s">
        <v>27</v>
      </c>
      <c r="AJ11" s="1"/>
      <c r="AK11" t="s">
        <v>28</v>
      </c>
      <c r="AL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1">
        <f>SUM(Rel_2026[[#This Row],[qtd_TrxContabil]:[VLR_EXP_SORTE]])</f>
        <v>1709</v>
      </c>
      <c r="AN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2" spans="1:40" x14ac:dyDescent="0.3">
      <c r="A12" t="str">
        <f>IF(Rel_2026[[#This Row],[Zero]]=0,"Zero",IF(Rel_2026[[#This Row],[Pontuação]]&gt;=10,"Sim",IF(Rel_2026[[#This Row],[Pontuação]]&gt;=5,"Próximo","Não")))</f>
        <v>Não</v>
      </c>
      <c r="B12" t="str">
        <f>IF(Rel_2026[[#This Row],[Zero]]=0,"Zero",IF(Rel_2026[[#This Row],[Pontuação2]]&gt;=10,"Sim",IF(Rel_2026[[#This Row],[Pontuação2]]&gt;=5,"Próximo","Não")))</f>
        <v>Não</v>
      </c>
      <c r="C12" t="str">
        <f>IFERROR(VLOOKUP(Rel_2026[[#This Row],[chave_loja]],Responsavel!A:B,2,FALSE),"EUCLIDES")</f>
        <v>JUNIOR</v>
      </c>
      <c r="D12" t="str">
        <f>LEFT(Rel_2026[[#This Row],[ag_pacb]],4)</f>
        <v>0684</v>
      </c>
      <c r="E12">
        <v>242211</v>
      </c>
      <c r="F12" t="s">
        <v>316</v>
      </c>
      <c r="G12" t="s">
        <v>317</v>
      </c>
      <c r="H12" s="1">
        <v>45161</v>
      </c>
      <c r="I12" t="s">
        <v>23</v>
      </c>
      <c r="J12" t="s">
        <v>133</v>
      </c>
      <c r="K12" s="1">
        <v>44951</v>
      </c>
      <c r="L12" s="1">
        <v>46065</v>
      </c>
      <c r="M12" t="s">
        <v>32</v>
      </c>
      <c r="N12" s="1">
        <v>46252</v>
      </c>
      <c r="O12">
        <v>78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s">
        <v>26</v>
      </c>
      <c r="AI12" t="s">
        <v>27</v>
      </c>
      <c r="AJ12" s="1"/>
      <c r="AK12" t="s">
        <v>28</v>
      </c>
      <c r="AL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2">
        <f>SUM(Rel_2026[[#This Row],[qtd_TrxContabil]:[VLR_EXP_SORTE]])</f>
        <v>78</v>
      </c>
      <c r="AN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3" spans="1:40" x14ac:dyDescent="0.3">
      <c r="A13" t="str">
        <f>IF(Rel_2026[[#This Row],[Zero]]=0,"Zero",IF(Rel_2026[[#This Row],[Pontuação]]&gt;=10,"Sim",IF(Rel_2026[[#This Row],[Pontuação]]&gt;=5,"Próximo","Não")))</f>
        <v>Sim</v>
      </c>
      <c r="B13" t="str">
        <f>IF(Rel_2026[[#This Row],[Zero]]=0,"Zero",IF(Rel_2026[[#This Row],[Pontuação2]]&gt;=10,"Sim",IF(Rel_2026[[#This Row],[Pontuação2]]&gt;=5,"Próximo","Não")))</f>
        <v>Sim</v>
      </c>
      <c r="C13" t="str">
        <f>IFERROR(VLOOKUP(Rel_2026[[#This Row],[chave_loja]],Responsavel!A:B,2,FALSE),"EUCLIDES")</f>
        <v>JACK</v>
      </c>
      <c r="D13" t="str">
        <f>LEFT(Rel_2026[[#This Row],[ag_pacb]],4)</f>
        <v>0985</v>
      </c>
      <c r="E13">
        <v>424682</v>
      </c>
      <c r="F13" t="s">
        <v>1317</v>
      </c>
      <c r="G13" t="s">
        <v>1318</v>
      </c>
      <c r="H13" s="1">
        <v>46185</v>
      </c>
      <c r="I13" t="s">
        <v>107</v>
      </c>
      <c r="J13" t="s">
        <v>823</v>
      </c>
      <c r="K13" s="1">
        <v>46182</v>
      </c>
      <c r="L13" s="1">
        <v>46205</v>
      </c>
      <c r="M13" t="s">
        <v>109</v>
      </c>
      <c r="N13" s="1">
        <v>46254</v>
      </c>
      <c r="O13">
        <v>116</v>
      </c>
      <c r="P13">
        <v>4</v>
      </c>
      <c r="Q13">
        <v>3</v>
      </c>
      <c r="R13">
        <v>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</v>
      </c>
      <c r="AG13">
        <v>0</v>
      </c>
      <c r="AH13" t="s">
        <v>26</v>
      </c>
      <c r="AI13" t="s">
        <v>27</v>
      </c>
      <c r="AJ13" s="1"/>
      <c r="AK13" t="s">
        <v>28</v>
      </c>
      <c r="AL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  <c r="AM13">
        <f>SUM(Rel_2026[[#This Row],[qtd_TrxContabil]:[VLR_EXP_SORTE]])</f>
        <v>131</v>
      </c>
      <c r="AN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36</v>
      </c>
    </row>
    <row r="14" spans="1:40" x14ac:dyDescent="0.3">
      <c r="A14" t="str">
        <f>IF(Rel_2026[[#This Row],[Zero]]=0,"Zero",IF(Rel_2026[[#This Row],[Pontuação]]&gt;=10,"Sim",IF(Rel_2026[[#This Row],[Pontuação]]&gt;=5,"Próximo","Não")))</f>
        <v>Não</v>
      </c>
      <c r="B14" t="str">
        <f>IF(Rel_2026[[#This Row],[Zero]]=0,"Zero",IF(Rel_2026[[#This Row],[Pontuação2]]&gt;=10,"Sim",IF(Rel_2026[[#This Row],[Pontuação2]]&gt;=5,"Próximo","Não")))</f>
        <v>Não</v>
      </c>
      <c r="C14" t="str">
        <f>IFERROR(VLOOKUP(Rel_2026[[#This Row],[chave_loja]],Responsavel!A:B,2,FALSE),"EUCLIDES")</f>
        <v>ISMAEL</v>
      </c>
      <c r="D14" t="str">
        <f>LEFT(Rel_2026[[#This Row],[ag_pacb]],4)</f>
        <v>1302</v>
      </c>
      <c r="E14">
        <v>150023</v>
      </c>
      <c r="F14" t="s">
        <v>726</v>
      </c>
      <c r="G14" t="s">
        <v>585</v>
      </c>
      <c r="H14" s="1">
        <v>45155</v>
      </c>
      <c r="I14" t="s">
        <v>23</v>
      </c>
      <c r="J14" t="s">
        <v>71</v>
      </c>
      <c r="K14" s="1">
        <v>42551</v>
      </c>
      <c r="L14" s="1">
        <v>46227</v>
      </c>
      <c r="M14" t="s">
        <v>32</v>
      </c>
      <c r="N14" s="1">
        <v>46254</v>
      </c>
      <c r="O14">
        <v>617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 t="s">
        <v>26</v>
      </c>
      <c r="AI14" t="s">
        <v>27</v>
      </c>
      <c r="AJ14" s="1"/>
      <c r="AK14" t="s">
        <v>28</v>
      </c>
      <c r="AL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14">
        <f>SUM(Rel_2026[[#This Row],[qtd_TrxContabil]:[VLR_EXP_SORTE]])</f>
        <v>619</v>
      </c>
      <c r="AN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</row>
    <row r="15" spans="1:40" x14ac:dyDescent="0.3">
      <c r="A15" t="str">
        <f>IF(Rel_2026[[#This Row],[Zero]]=0,"Zero",IF(Rel_2026[[#This Row],[Pontuação]]&gt;=10,"Sim",IF(Rel_2026[[#This Row],[Pontuação]]&gt;=5,"Próximo","Não")))</f>
        <v>Não</v>
      </c>
      <c r="B15" t="str">
        <f>IF(Rel_2026[[#This Row],[Zero]]=0,"Zero",IF(Rel_2026[[#This Row],[Pontuação2]]&gt;=10,"Sim",IF(Rel_2026[[#This Row],[Pontuação2]]&gt;=5,"Próximo","Não")))</f>
        <v>Não</v>
      </c>
      <c r="C15" t="str">
        <f>IFERROR(VLOOKUP(Rel_2026[[#This Row],[chave_loja]],Responsavel!A:B,2,FALSE),"EUCLIDES")</f>
        <v>NYCOLLAS</v>
      </c>
      <c r="D15" t="str">
        <f>LEFT(Rel_2026[[#This Row],[ag_pacb]],4)</f>
        <v>0719</v>
      </c>
      <c r="E15">
        <v>201292</v>
      </c>
      <c r="F15" t="s">
        <v>193</v>
      </c>
      <c r="G15" t="s">
        <v>194</v>
      </c>
      <c r="H15" s="1">
        <v>44365</v>
      </c>
      <c r="I15" t="s">
        <v>23</v>
      </c>
      <c r="J15" t="s">
        <v>92</v>
      </c>
      <c r="K15" s="1">
        <v>44469</v>
      </c>
      <c r="L15" s="1">
        <v>45911</v>
      </c>
      <c r="M15" t="s">
        <v>32</v>
      </c>
      <c r="N15" s="1">
        <v>46254</v>
      </c>
      <c r="O15">
        <v>587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38</v>
      </c>
      <c r="AI15" t="s">
        <v>27</v>
      </c>
      <c r="AJ15" s="1"/>
      <c r="AK15" t="s">
        <v>28</v>
      </c>
      <c r="AL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5">
        <f>SUM(Rel_2026[[#This Row],[qtd_TrxContabil]:[VLR_EXP_SORTE]])</f>
        <v>587</v>
      </c>
      <c r="AN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6" spans="1:40" x14ac:dyDescent="0.3">
      <c r="A16" t="str">
        <f>IF(Rel_2026[[#This Row],[Zero]]=0,"Zero",IF(Rel_2026[[#This Row],[Pontuação]]&gt;=10,"Sim",IF(Rel_2026[[#This Row],[Pontuação]]&gt;=5,"Próximo","Não")))</f>
        <v>Não</v>
      </c>
      <c r="B16" t="str">
        <f>IF(Rel_2026[[#This Row],[Zero]]=0,"Zero",IF(Rel_2026[[#This Row],[Pontuação2]]&gt;=10,"Sim",IF(Rel_2026[[#This Row],[Pontuação2]]&gt;=5,"Próximo","Não")))</f>
        <v>Não</v>
      </c>
      <c r="C16" t="str">
        <f>IFERROR(VLOOKUP(Rel_2026[[#This Row],[chave_loja]],Responsavel!A:B,2,FALSE),"EUCLIDES")</f>
        <v>ROSSY</v>
      </c>
      <c r="D16" t="str">
        <f>LEFT(Rel_2026[[#This Row],[ag_pacb]],4)</f>
        <v>5792</v>
      </c>
      <c r="E16">
        <v>403204</v>
      </c>
      <c r="F16" t="s">
        <v>953</v>
      </c>
      <c r="G16" t="s">
        <v>954</v>
      </c>
      <c r="H16" s="1">
        <v>45450</v>
      </c>
      <c r="I16" t="s">
        <v>107</v>
      </c>
      <c r="J16" t="s">
        <v>841</v>
      </c>
      <c r="K16" s="1">
        <v>45429</v>
      </c>
      <c r="L16" s="1">
        <v>45454</v>
      </c>
      <c r="M16" t="s">
        <v>109</v>
      </c>
      <c r="N16" s="1">
        <v>46254</v>
      </c>
      <c r="O16">
        <v>739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26</v>
      </c>
      <c r="AI16" t="s">
        <v>27</v>
      </c>
      <c r="AJ16" s="1"/>
      <c r="AK16" t="s">
        <v>28</v>
      </c>
      <c r="AL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6">
        <f>SUM(Rel_2026[[#This Row],[qtd_TrxContabil]:[VLR_EXP_SORTE]])</f>
        <v>739</v>
      </c>
      <c r="AN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7" spans="1:40" x14ac:dyDescent="0.3">
      <c r="A17" t="str">
        <f>IF(Rel_2026[[#This Row],[Zero]]=0,"Zero",IF(Rel_2026[[#This Row],[Pontuação]]&gt;=10,"Sim",IF(Rel_2026[[#This Row],[Pontuação]]&gt;=5,"Próximo","Não")))</f>
        <v>Não</v>
      </c>
      <c r="B17" t="str">
        <f>IF(Rel_2026[[#This Row],[Zero]]=0,"Zero",IF(Rel_2026[[#This Row],[Pontuação2]]&gt;=10,"Sim",IF(Rel_2026[[#This Row],[Pontuação2]]&gt;=5,"Próximo","Não")))</f>
        <v>Não</v>
      </c>
      <c r="C17" t="str">
        <f>IFERROR(VLOOKUP(Rel_2026[[#This Row],[chave_loja]],Responsavel!A:B,2,FALSE),"EUCLIDES")</f>
        <v>ISMAEL</v>
      </c>
      <c r="D17" t="str">
        <f>LEFT(Rel_2026[[#This Row],[ag_pacb]],4)</f>
        <v>0704</v>
      </c>
      <c r="E17">
        <v>423957</v>
      </c>
      <c r="F17" t="s">
        <v>1256</v>
      </c>
      <c r="G17" t="s">
        <v>1257</v>
      </c>
      <c r="H17" s="1">
        <v>46148</v>
      </c>
      <c r="I17" t="s">
        <v>23</v>
      </c>
      <c r="J17" t="s">
        <v>75</v>
      </c>
      <c r="K17" s="1">
        <v>46146</v>
      </c>
      <c r="L17" s="1">
        <v>46161</v>
      </c>
      <c r="M17" t="s">
        <v>25</v>
      </c>
      <c r="N17" s="1">
        <v>46254</v>
      </c>
      <c r="O17">
        <v>188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40</v>
      </c>
      <c r="AH17" t="s">
        <v>26</v>
      </c>
      <c r="AI17" t="s">
        <v>27</v>
      </c>
      <c r="AJ17" s="1"/>
      <c r="AK17" t="s">
        <v>28</v>
      </c>
      <c r="AL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</v>
      </c>
      <c r="AM17">
        <f>SUM(Rel_2026[[#This Row],[qtd_TrxContabil]:[VLR_EXP_SORTE]])</f>
        <v>228</v>
      </c>
      <c r="AN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</v>
      </c>
    </row>
    <row r="18" spans="1:40" x14ac:dyDescent="0.3">
      <c r="A18" t="str">
        <f>IF(Rel_2026[[#This Row],[Zero]]=0,"Zero",IF(Rel_2026[[#This Row],[Pontuação]]&gt;=10,"Sim",IF(Rel_2026[[#This Row],[Pontuação]]&gt;=5,"Próximo","Não")))</f>
        <v>Não</v>
      </c>
      <c r="B18" t="str">
        <f>IF(Rel_2026[[#This Row],[Zero]]=0,"Zero",IF(Rel_2026[[#This Row],[Pontuação2]]&gt;=10,"Sim",IF(Rel_2026[[#This Row],[Pontuação2]]&gt;=5,"Próximo","Não")))</f>
        <v>Não</v>
      </c>
      <c r="C18" t="str">
        <f>IFERROR(VLOOKUP(Rel_2026[[#This Row],[chave_loja]],Responsavel!A:B,2,FALSE),"EUCLIDES")</f>
        <v>EUCLIDES</v>
      </c>
      <c r="D18" t="str">
        <f>LEFT(Rel_2026[[#This Row],[ag_pacb]],4)</f>
        <v>0677</v>
      </c>
      <c r="E18">
        <v>179990</v>
      </c>
      <c r="F18" t="s">
        <v>1092</v>
      </c>
      <c r="G18" t="s">
        <v>1093</v>
      </c>
      <c r="H18" s="1">
        <v>46077</v>
      </c>
      <c r="I18" t="s">
        <v>23</v>
      </c>
      <c r="J18" t="s">
        <v>1094</v>
      </c>
      <c r="K18" s="1">
        <v>43741</v>
      </c>
      <c r="L18" s="1">
        <v>43756</v>
      </c>
      <c r="M18" t="s">
        <v>52</v>
      </c>
      <c r="N18" s="1">
        <v>46254</v>
      </c>
      <c r="O18">
        <v>302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38</v>
      </c>
      <c r="AI18" t="s">
        <v>27</v>
      </c>
      <c r="AJ18" s="1"/>
      <c r="AK18" t="s">
        <v>28</v>
      </c>
      <c r="AL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8">
        <f>SUM(Rel_2026[[#This Row],[qtd_TrxContabil]:[VLR_EXP_SORTE]])</f>
        <v>302</v>
      </c>
      <c r="AN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9" spans="1:40" x14ac:dyDescent="0.3">
      <c r="A19" t="str">
        <f>IF(Rel_2026[[#This Row],[Zero]]=0,"Zero",IF(Rel_2026[[#This Row],[Pontuação]]&gt;=10,"Sim",IF(Rel_2026[[#This Row],[Pontuação]]&gt;=5,"Próximo","Não")))</f>
        <v>Não</v>
      </c>
      <c r="B19" t="str">
        <f>IF(Rel_2026[[#This Row],[Zero]]=0,"Zero",IF(Rel_2026[[#This Row],[Pontuação2]]&gt;=10,"Sim",IF(Rel_2026[[#This Row],[Pontuação2]]&gt;=5,"Próximo","Não")))</f>
        <v>Não</v>
      </c>
      <c r="C19" t="str">
        <f>IFERROR(VLOOKUP(Rel_2026[[#This Row],[chave_loja]],Responsavel!A:B,2,FALSE),"EUCLIDES")</f>
        <v>CÉLIO</v>
      </c>
      <c r="D19" t="str">
        <f>LEFT(Rel_2026[[#This Row],[ag_pacb]],4)</f>
        <v>0625</v>
      </c>
      <c r="E19">
        <v>249255</v>
      </c>
      <c r="F19" t="s">
        <v>1260</v>
      </c>
      <c r="G19" t="s">
        <v>1261</v>
      </c>
      <c r="H19" s="1">
        <v>45110</v>
      </c>
      <c r="I19" t="s">
        <v>23</v>
      </c>
      <c r="J19" t="s">
        <v>24</v>
      </c>
      <c r="K19" s="1">
        <v>45306</v>
      </c>
      <c r="L19" s="1">
        <v>45117</v>
      </c>
      <c r="M19" t="s">
        <v>32</v>
      </c>
      <c r="N19" s="1">
        <v>46254</v>
      </c>
      <c r="O19">
        <v>69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s">
        <v>26</v>
      </c>
      <c r="AI19" t="s">
        <v>27</v>
      </c>
      <c r="AJ19" s="1"/>
      <c r="AK19" t="s">
        <v>28</v>
      </c>
      <c r="AL1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9">
        <f>SUM(Rel_2026[[#This Row],[qtd_TrxContabil]:[VLR_EXP_SORTE]])</f>
        <v>69</v>
      </c>
      <c r="AN1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0" spans="1:40" x14ac:dyDescent="0.3">
      <c r="A20" t="str">
        <f>IF(Rel_2026[[#This Row],[Zero]]=0,"Zero",IF(Rel_2026[[#This Row],[Pontuação]]&gt;=10,"Sim",IF(Rel_2026[[#This Row],[Pontuação]]&gt;=5,"Próximo","Não")))</f>
        <v>Próximo</v>
      </c>
      <c r="B20" t="str">
        <f>IF(Rel_2026[[#This Row],[Zero]]=0,"Zero",IF(Rel_2026[[#This Row],[Pontuação2]]&gt;=10,"Sim",IF(Rel_2026[[#This Row],[Pontuação2]]&gt;=5,"Próximo","Não")))</f>
        <v>Sim</v>
      </c>
      <c r="C20" t="str">
        <f>IFERROR(VLOOKUP(Rel_2026[[#This Row],[chave_loja]],Responsavel!A:B,2,FALSE),"EUCLIDES")</f>
        <v>ROSSY</v>
      </c>
      <c r="D20" t="str">
        <f>LEFT(Rel_2026[[#This Row],[ag_pacb]],4)</f>
        <v>5792</v>
      </c>
      <c r="E20">
        <v>200238</v>
      </c>
      <c r="F20" t="s">
        <v>924</v>
      </c>
      <c r="G20" t="s">
        <v>925</v>
      </c>
      <c r="H20" s="1">
        <v>44634</v>
      </c>
      <c r="I20" t="s">
        <v>107</v>
      </c>
      <c r="J20" t="s">
        <v>926</v>
      </c>
      <c r="K20" s="1">
        <v>44378</v>
      </c>
      <c r="L20" s="1">
        <v>46253</v>
      </c>
      <c r="M20" t="s">
        <v>109</v>
      </c>
      <c r="N20" s="1">
        <v>46254</v>
      </c>
      <c r="O20">
        <v>577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 t="s">
        <v>38</v>
      </c>
      <c r="AI20" t="s">
        <v>27</v>
      </c>
      <c r="AJ20" s="1"/>
      <c r="AK20" t="s">
        <v>28</v>
      </c>
      <c r="AL2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20">
        <f>SUM(Rel_2026[[#This Row],[qtd_TrxContabil]:[VLR_EXP_SORTE]])</f>
        <v>581</v>
      </c>
      <c r="AN2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21" spans="1:40" x14ac:dyDescent="0.3">
      <c r="A21" t="str">
        <f>IF(Rel_2026[[#This Row],[Zero]]=0,"Zero",IF(Rel_2026[[#This Row],[Pontuação]]&gt;=10,"Sim",IF(Rel_2026[[#This Row],[Pontuação]]&gt;=5,"Próximo","Não")))</f>
        <v>Sim</v>
      </c>
      <c r="B21" t="str">
        <f>IF(Rel_2026[[#This Row],[Zero]]=0,"Zero",IF(Rel_2026[[#This Row],[Pontuação2]]&gt;=10,"Sim",IF(Rel_2026[[#This Row],[Pontuação2]]&gt;=5,"Próximo","Não")))</f>
        <v>Sim</v>
      </c>
      <c r="C21" t="str">
        <f>IFERROR(VLOOKUP(Rel_2026[[#This Row],[chave_loja]],Responsavel!A:B,2,FALSE),"EUCLIDES")</f>
        <v>JACK</v>
      </c>
      <c r="D21" t="str">
        <f>LEFT(Rel_2026[[#This Row],[ag_pacb]],4)</f>
        <v>5808</v>
      </c>
      <c r="E21">
        <v>412735</v>
      </c>
      <c r="F21" t="s">
        <v>965</v>
      </c>
      <c r="G21" t="s">
        <v>966</v>
      </c>
      <c r="H21" s="1">
        <v>45803</v>
      </c>
      <c r="I21" t="s">
        <v>107</v>
      </c>
      <c r="J21" t="s">
        <v>879</v>
      </c>
      <c r="K21" s="1">
        <v>45793</v>
      </c>
      <c r="L21" s="1">
        <v>46161</v>
      </c>
      <c r="M21" t="s">
        <v>109</v>
      </c>
      <c r="N21" s="1">
        <v>46254</v>
      </c>
      <c r="O21">
        <v>104</v>
      </c>
      <c r="P21">
        <v>5</v>
      </c>
      <c r="Q21">
        <v>3</v>
      </c>
      <c r="R21">
        <v>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 t="s">
        <v>26</v>
      </c>
      <c r="AI21" t="s">
        <v>27</v>
      </c>
      <c r="AJ21" s="1"/>
      <c r="AK21" t="s">
        <v>28</v>
      </c>
      <c r="AL2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27</v>
      </c>
      <c r="AM21">
        <f>SUM(Rel_2026[[#This Row],[qtd_TrxContabil]:[VLR_EXP_SORTE]])</f>
        <v>118</v>
      </c>
      <c r="AN2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42</v>
      </c>
    </row>
    <row r="22" spans="1:40" x14ac:dyDescent="0.3">
      <c r="A22" t="str">
        <f>IF(Rel_2026[[#This Row],[Zero]]=0,"Zero",IF(Rel_2026[[#This Row],[Pontuação]]&gt;=10,"Sim",IF(Rel_2026[[#This Row],[Pontuação]]&gt;=5,"Próximo","Não")))</f>
        <v>Sim</v>
      </c>
      <c r="B22" t="str">
        <f>IF(Rel_2026[[#This Row],[Zero]]=0,"Zero",IF(Rel_2026[[#This Row],[Pontuação2]]&gt;=10,"Sim",IF(Rel_2026[[#This Row],[Pontuação2]]&gt;=5,"Próximo","Não")))</f>
        <v>Sim</v>
      </c>
      <c r="C22" t="str">
        <f>IFERROR(VLOOKUP(Rel_2026[[#This Row],[chave_loja]],Responsavel!A:B,2,FALSE),"EUCLIDES")</f>
        <v>NYCOLLAS</v>
      </c>
      <c r="D22" t="str">
        <f>LEFT(Rel_2026[[#This Row],[ag_pacb]],4)</f>
        <v>5447</v>
      </c>
      <c r="E22">
        <v>422777</v>
      </c>
      <c r="F22" t="s">
        <v>1158</v>
      </c>
      <c r="G22" t="s">
        <v>1159</v>
      </c>
      <c r="H22" s="1">
        <v>46093</v>
      </c>
      <c r="I22" t="s">
        <v>23</v>
      </c>
      <c r="J22" t="s">
        <v>42</v>
      </c>
      <c r="K22" s="1">
        <v>46086</v>
      </c>
      <c r="L22" s="1">
        <v>46104</v>
      </c>
      <c r="M22" t="s">
        <v>32</v>
      </c>
      <c r="N22" s="1">
        <v>46254</v>
      </c>
      <c r="O22">
        <v>323</v>
      </c>
      <c r="P22">
        <v>0</v>
      </c>
      <c r="Q22">
        <v>0</v>
      </c>
      <c r="R22">
        <v>0</v>
      </c>
      <c r="S22">
        <v>0</v>
      </c>
      <c r="T22">
        <v>204</v>
      </c>
      <c r="U22">
        <v>22715</v>
      </c>
      <c r="V22">
        <v>22715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</v>
      </c>
      <c r="AE22">
        <v>1</v>
      </c>
      <c r="AF22">
        <v>0</v>
      </c>
      <c r="AG22">
        <v>0</v>
      </c>
      <c r="AH22" t="s">
        <v>26</v>
      </c>
      <c r="AI22" t="s">
        <v>27</v>
      </c>
      <c r="AJ22" s="1"/>
      <c r="AK22" t="s">
        <v>28</v>
      </c>
      <c r="AL2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28</v>
      </c>
      <c r="AM22">
        <f>SUM(Rel_2026[[#This Row],[qtd_TrxContabil]:[VLR_EXP_SORTE]])</f>
        <v>45960</v>
      </c>
      <c r="AN2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28</v>
      </c>
    </row>
    <row r="23" spans="1:40" x14ac:dyDescent="0.3">
      <c r="A23" t="str">
        <f>IF(Rel_2026[[#This Row],[Zero]]=0,"Zero",IF(Rel_2026[[#This Row],[Pontuação]]&gt;=10,"Sim",IF(Rel_2026[[#This Row],[Pontuação]]&gt;=5,"Próximo","Não")))</f>
        <v>Não</v>
      </c>
      <c r="B23" t="str">
        <f>IF(Rel_2026[[#This Row],[Zero]]=0,"Zero",IF(Rel_2026[[#This Row],[Pontuação2]]&gt;=10,"Sim",IF(Rel_2026[[#This Row],[Pontuação2]]&gt;=5,"Próximo","Não")))</f>
        <v>Não</v>
      </c>
      <c r="C23" t="str">
        <f>IFERROR(VLOOKUP(Rel_2026[[#This Row],[chave_loja]],Responsavel!A:B,2,FALSE),"EUCLIDES")</f>
        <v>JUNIOR</v>
      </c>
      <c r="D23" t="str">
        <f>LEFT(Rel_2026[[#This Row],[ag_pacb]],4)</f>
        <v>5367</v>
      </c>
      <c r="E23">
        <v>158929</v>
      </c>
      <c r="F23" t="s">
        <v>395</v>
      </c>
      <c r="G23" t="s">
        <v>396</v>
      </c>
      <c r="H23" s="1">
        <v>44718</v>
      </c>
      <c r="I23" t="s">
        <v>23</v>
      </c>
      <c r="J23" t="s">
        <v>58</v>
      </c>
      <c r="K23" s="1">
        <v>43381</v>
      </c>
      <c r="L23" s="1">
        <v>44813</v>
      </c>
      <c r="M23" t="s">
        <v>32</v>
      </c>
      <c r="N23" s="1">
        <v>46254</v>
      </c>
      <c r="O23">
        <v>269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s">
        <v>26</v>
      </c>
      <c r="AI23" t="s">
        <v>27</v>
      </c>
      <c r="AJ23" s="1"/>
      <c r="AK23" t="s">
        <v>28</v>
      </c>
      <c r="AL2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3">
        <f>SUM(Rel_2026[[#This Row],[qtd_TrxContabil]:[VLR_EXP_SORTE]])</f>
        <v>269</v>
      </c>
      <c r="AN2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4" spans="1:40" x14ac:dyDescent="0.3">
      <c r="A24" t="str">
        <f>IF(Rel_2026[[#This Row],[Zero]]=0,"Zero",IF(Rel_2026[[#This Row],[Pontuação]]&gt;=10,"Sim",IF(Rel_2026[[#This Row],[Pontuação]]&gt;=5,"Próximo","Não")))</f>
        <v>Não</v>
      </c>
      <c r="B24" t="str">
        <f>IF(Rel_2026[[#This Row],[Zero]]=0,"Zero",IF(Rel_2026[[#This Row],[Pontuação2]]&gt;=10,"Sim",IF(Rel_2026[[#This Row],[Pontuação2]]&gt;=5,"Próximo","Não")))</f>
        <v>Não</v>
      </c>
      <c r="C24" t="str">
        <f>IFERROR(VLOOKUP(Rel_2026[[#This Row],[chave_loja]],Responsavel!A:B,2,FALSE),"EUCLIDES")</f>
        <v>ISMAEL</v>
      </c>
      <c r="D24" t="str">
        <f>LEFT(Rel_2026[[#This Row],[ag_pacb]],4)</f>
        <v>1302</v>
      </c>
      <c r="E24">
        <v>217629</v>
      </c>
      <c r="F24" t="s">
        <v>734</v>
      </c>
      <c r="G24" t="s">
        <v>735</v>
      </c>
      <c r="H24" s="1">
        <v>45972</v>
      </c>
      <c r="I24" t="s">
        <v>23</v>
      </c>
      <c r="J24" t="s">
        <v>51</v>
      </c>
      <c r="K24" s="1">
        <v>44319</v>
      </c>
      <c r="L24" s="1">
        <v>44511</v>
      </c>
      <c r="M24" t="s">
        <v>32</v>
      </c>
      <c r="N24" s="1">
        <v>46254</v>
      </c>
      <c r="O24">
        <v>298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s">
        <v>26</v>
      </c>
      <c r="AI24" t="s">
        <v>27</v>
      </c>
      <c r="AJ24" s="1"/>
      <c r="AK24" t="s">
        <v>28</v>
      </c>
      <c r="AL2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4">
        <f>SUM(Rel_2026[[#This Row],[qtd_TrxContabil]:[VLR_EXP_SORTE]])</f>
        <v>298</v>
      </c>
      <c r="AN2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5" spans="1:40" x14ac:dyDescent="0.3">
      <c r="A25" t="str">
        <f>IF(Rel_2026[[#This Row],[Zero]]=0,"Zero",IF(Rel_2026[[#This Row],[Pontuação]]&gt;=10,"Sim",IF(Rel_2026[[#This Row],[Pontuação]]&gt;=5,"Próximo","Não")))</f>
        <v>Sim</v>
      </c>
      <c r="B25" t="str">
        <f>IF(Rel_2026[[#This Row],[Zero]]=0,"Zero",IF(Rel_2026[[#This Row],[Pontuação2]]&gt;=10,"Sim",IF(Rel_2026[[#This Row],[Pontuação2]]&gt;=5,"Próximo","Não")))</f>
        <v>Sim</v>
      </c>
      <c r="C25" t="str">
        <f>IFERROR(VLOOKUP(Rel_2026[[#This Row],[chave_loja]],Responsavel!A:B,2,FALSE),"EUCLIDES")</f>
        <v>ISMAEL</v>
      </c>
      <c r="D25" t="str">
        <f>LEFT(Rel_2026[[#This Row],[ag_pacb]],4)</f>
        <v>1302</v>
      </c>
      <c r="E25">
        <v>170679</v>
      </c>
      <c r="F25" t="s">
        <v>43</v>
      </c>
      <c r="G25" t="s">
        <v>44</v>
      </c>
      <c r="H25" s="1">
        <v>45173</v>
      </c>
      <c r="I25" t="s">
        <v>23</v>
      </c>
      <c r="J25" t="s">
        <v>45</v>
      </c>
      <c r="K25" s="1">
        <v>43676</v>
      </c>
      <c r="L25" s="1">
        <v>46028</v>
      </c>
      <c r="M25" t="s">
        <v>32</v>
      </c>
      <c r="N25" s="1">
        <v>46254</v>
      </c>
      <c r="O25">
        <v>864</v>
      </c>
      <c r="P25">
        <v>12</v>
      </c>
      <c r="Q25">
        <v>12</v>
      </c>
      <c r="R25">
        <v>12</v>
      </c>
      <c r="S25">
        <v>3</v>
      </c>
      <c r="T25">
        <v>10080</v>
      </c>
      <c r="U25">
        <v>18517</v>
      </c>
      <c r="V25">
        <v>18517</v>
      </c>
      <c r="W25">
        <v>0</v>
      </c>
      <c r="X25">
        <v>0</v>
      </c>
      <c r="Y25">
        <v>10472</v>
      </c>
      <c r="Z25">
        <v>0</v>
      </c>
      <c r="AA25">
        <v>12</v>
      </c>
      <c r="AB25">
        <v>3</v>
      </c>
      <c r="AC25">
        <v>0</v>
      </c>
      <c r="AD25">
        <v>31</v>
      </c>
      <c r="AE25">
        <v>50</v>
      </c>
      <c r="AF25">
        <v>13</v>
      </c>
      <c r="AG25">
        <v>15</v>
      </c>
      <c r="AH25" t="s">
        <v>26</v>
      </c>
      <c r="AI25" t="s">
        <v>27</v>
      </c>
      <c r="AJ25" s="1"/>
      <c r="AK25" t="s">
        <v>28</v>
      </c>
      <c r="AL2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318</v>
      </c>
      <c r="AM25">
        <f>SUM(Rel_2026[[#This Row],[qtd_TrxContabil]:[VLR_EXP_SORTE]])</f>
        <v>58613</v>
      </c>
      <c r="AN2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354</v>
      </c>
    </row>
    <row r="26" spans="1:40" x14ac:dyDescent="0.3">
      <c r="A26" t="str">
        <f>IF(Rel_2026[[#This Row],[Zero]]=0,"Zero",IF(Rel_2026[[#This Row],[Pontuação]]&gt;=10,"Sim",IF(Rel_2026[[#This Row],[Pontuação]]&gt;=5,"Próximo","Não")))</f>
        <v>Zero</v>
      </c>
      <c r="B26" t="str">
        <f>IF(Rel_2026[[#This Row],[Zero]]=0,"Zero",IF(Rel_2026[[#This Row],[Pontuação2]]&gt;=10,"Sim",IF(Rel_2026[[#This Row],[Pontuação2]]&gt;=5,"Próximo","Não")))</f>
        <v>Zero</v>
      </c>
      <c r="C26" t="str">
        <f>IFERROR(VLOOKUP(Rel_2026[[#This Row],[chave_loja]],Responsavel!A:B,2,FALSE),"EUCLIDES")</f>
        <v>JOSELITO</v>
      </c>
      <c r="D26" t="str">
        <f>LEFT(Rel_2026[[#This Row],[ag_pacb]],4)</f>
        <v>0685</v>
      </c>
      <c r="E26">
        <v>176770</v>
      </c>
      <c r="F26" t="s">
        <v>1447</v>
      </c>
      <c r="G26" t="s">
        <v>1448</v>
      </c>
      <c r="H26" s="1">
        <v>44166</v>
      </c>
      <c r="I26" t="s">
        <v>23</v>
      </c>
      <c r="J26" t="s">
        <v>64</v>
      </c>
      <c r="K26" s="1">
        <v>43901</v>
      </c>
      <c r="L26" s="1">
        <v>45573</v>
      </c>
      <c r="M26" t="s">
        <v>25</v>
      </c>
      <c r="N26" s="1">
        <v>46223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s">
        <v>26</v>
      </c>
      <c r="AI26" t="s">
        <v>27</v>
      </c>
      <c r="AJ26" s="1"/>
      <c r="AK26" t="s">
        <v>28</v>
      </c>
      <c r="AL2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6">
        <f>SUM(Rel_2026[[#This Row],[qtd_TrxContabil]:[VLR_EXP_SORTE]])</f>
        <v>0</v>
      </c>
      <c r="AN2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7" spans="1:40" x14ac:dyDescent="0.3">
      <c r="A27" t="str">
        <f>IF(Rel_2026[[#This Row],[Zero]]=0,"Zero",IF(Rel_2026[[#This Row],[Pontuação]]&gt;=10,"Sim",IF(Rel_2026[[#This Row],[Pontuação]]&gt;=5,"Próximo","Não")))</f>
        <v>Sim</v>
      </c>
      <c r="B27" t="str">
        <f>IF(Rel_2026[[#This Row],[Zero]]=0,"Zero",IF(Rel_2026[[#This Row],[Pontuação2]]&gt;=10,"Sim",IF(Rel_2026[[#This Row],[Pontuação2]]&gt;=5,"Próximo","Não")))</f>
        <v>Sim</v>
      </c>
      <c r="C27" t="str">
        <f>IFERROR(VLOOKUP(Rel_2026[[#This Row],[chave_loja]],Responsavel!A:B,2,FALSE),"EUCLIDES")</f>
        <v>GIL</v>
      </c>
      <c r="D27" t="str">
        <f>LEFT(Rel_2026[[#This Row],[ag_pacb]],4)</f>
        <v>5387</v>
      </c>
      <c r="E27">
        <v>401120</v>
      </c>
      <c r="F27" t="s">
        <v>438</v>
      </c>
      <c r="G27" t="s">
        <v>439</v>
      </c>
      <c r="H27" s="1">
        <v>45330</v>
      </c>
      <c r="I27" t="s">
        <v>23</v>
      </c>
      <c r="J27" t="s">
        <v>74</v>
      </c>
      <c r="K27" s="1">
        <v>45328</v>
      </c>
      <c r="L27" s="1">
        <v>45345</v>
      </c>
      <c r="M27" t="s">
        <v>32</v>
      </c>
      <c r="N27" s="1">
        <v>46254</v>
      </c>
      <c r="O27">
        <v>40</v>
      </c>
      <c r="P27">
        <v>2</v>
      </c>
      <c r="Q27">
        <v>2</v>
      </c>
      <c r="R27">
        <v>2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2</v>
      </c>
      <c r="AG27">
        <v>0</v>
      </c>
      <c r="AH27" t="s">
        <v>26</v>
      </c>
      <c r="AI27" t="s">
        <v>27</v>
      </c>
      <c r="AJ27" s="1"/>
      <c r="AK27" t="s">
        <v>28</v>
      </c>
      <c r="AL2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27">
        <f>SUM(Rel_2026[[#This Row],[qtd_TrxContabil]:[VLR_EXP_SORTE]])</f>
        <v>50</v>
      </c>
      <c r="AN2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28" spans="1:40" x14ac:dyDescent="0.3">
      <c r="A28" t="str">
        <f>IF(Rel_2026[[#This Row],[Zero]]=0,"Zero",IF(Rel_2026[[#This Row],[Pontuação]]&gt;=10,"Sim",IF(Rel_2026[[#This Row],[Pontuação]]&gt;=5,"Próximo","Não")))</f>
        <v>Sim</v>
      </c>
      <c r="B28" t="str">
        <f>IF(Rel_2026[[#This Row],[Zero]]=0,"Zero",IF(Rel_2026[[#This Row],[Pontuação2]]&gt;=10,"Sim",IF(Rel_2026[[#This Row],[Pontuação2]]&gt;=5,"Próximo","Não")))</f>
        <v>Sim</v>
      </c>
      <c r="C28" t="str">
        <f>IFERROR(VLOOKUP(Rel_2026[[#This Row],[chave_loja]],Responsavel!A:B,2,FALSE),"EUCLIDES")</f>
        <v>ROSSY</v>
      </c>
      <c r="D28" t="str">
        <f>LEFT(Rel_2026[[#This Row],[ag_pacb]],4)</f>
        <v>5798</v>
      </c>
      <c r="E28">
        <v>66569</v>
      </c>
      <c r="F28" t="s">
        <v>830</v>
      </c>
      <c r="G28" t="s">
        <v>831</v>
      </c>
      <c r="H28" s="1">
        <v>45201</v>
      </c>
      <c r="I28" t="s">
        <v>107</v>
      </c>
      <c r="J28" t="s">
        <v>832</v>
      </c>
      <c r="K28" s="1">
        <v>42465</v>
      </c>
      <c r="L28" s="1">
        <v>45531</v>
      </c>
      <c r="M28" t="s">
        <v>109</v>
      </c>
      <c r="N28" s="1">
        <v>46254</v>
      </c>
      <c r="O28">
        <v>156</v>
      </c>
      <c r="P28">
        <v>0</v>
      </c>
      <c r="Q28">
        <v>0</v>
      </c>
      <c r="R28">
        <v>0</v>
      </c>
      <c r="S28">
        <v>0</v>
      </c>
      <c r="T28">
        <v>0</v>
      </c>
      <c r="U28">
        <v>12600</v>
      </c>
      <c r="V28">
        <v>12600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26</v>
      </c>
      <c r="AI28" t="s">
        <v>27</v>
      </c>
      <c r="AJ28" s="1"/>
      <c r="AK28" t="s">
        <v>28</v>
      </c>
      <c r="AL2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</v>
      </c>
      <c r="AM28">
        <f>SUM(Rel_2026[[#This Row],[qtd_TrxContabil]:[VLR_EXP_SORTE]])</f>
        <v>25356</v>
      </c>
      <c r="AN2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</v>
      </c>
    </row>
    <row r="29" spans="1:40" x14ac:dyDescent="0.3">
      <c r="A29" t="str">
        <f>IF(Rel_2026[[#This Row],[Zero]]=0,"Zero",IF(Rel_2026[[#This Row],[Pontuação]]&gt;=10,"Sim",IF(Rel_2026[[#This Row],[Pontuação]]&gt;=5,"Próximo","Não")))</f>
        <v>Sim</v>
      </c>
      <c r="B29" t="str">
        <f>IF(Rel_2026[[#This Row],[Zero]]=0,"Zero",IF(Rel_2026[[#This Row],[Pontuação2]]&gt;=10,"Sim",IF(Rel_2026[[#This Row],[Pontuação2]]&gt;=5,"Próximo","Não")))</f>
        <v>Sim</v>
      </c>
      <c r="C29" t="str">
        <f>IFERROR(VLOOKUP(Rel_2026[[#This Row],[chave_loja]],Responsavel!A:B,2,FALSE),"EUCLIDES")</f>
        <v>DARIO</v>
      </c>
      <c r="D29" t="str">
        <f>LEFT(Rel_2026[[#This Row],[ag_pacb]],4)</f>
        <v>0696</v>
      </c>
      <c r="E29">
        <v>177427</v>
      </c>
      <c r="F29" t="s">
        <v>397</v>
      </c>
      <c r="G29" t="s">
        <v>398</v>
      </c>
      <c r="H29" s="1">
        <v>44340</v>
      </c>
      <c r="I29" t="s">
        <v>23</v>
      </c>
      <c r="J29" t="s">
        <v>374</v>
      </c>
      <c r="K29" s="1">
        <v>43612</v>
      </c>
      <c r="L29" s="1">
        <v>45456</v>
      </c>
      <c r="M29" t="s">
        <v>25</v>
      </c>
      <c r="N29" s="1">
        <v>46254</v>
      </c>
      <c r="O29">
        <v>1929</v>
      </c>
      <c r="P29">
        <v>0</v>
      </c>
      <c r="Q29">
        <v>0</v>
      </c>
      <c r="R29">
        <v>0</v>
      </c>
      <c r="S29">
        <v>0</v>
      </c>
      <c r="T29">
        <v>4259</v>
      </c>
      <c r="U29">
        <v>0</v>
      </c>
      <c r="V29">
        <v>0</v>
      </c>
      <c r="W29">
        <v>0</v>
      </c>
      <c r="X29">
        <v>0</v>
      </c>
      <c r="Y29">
        <v>4065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s">
        <v>38</v>
      </c>
      <c r="AI29" t="s">
        <v>27</v>
      </c>
      <c r="AJ29" s="1"/>
      <c r="AK29" t="s">
        <v>28</v>
      </c>
      <c r="AL2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51</v>
      </c>
      <c r="AM29">
        <f>SUM(Rel_2026[[#This Row],[qtd_TrxContabil]:[VLR_EXP_SORTE]])</f>
        <v>10253</v>
      </c>
      <c r="AN2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51</v>
      </c>
    </row>
    <row r="30" spans="1:40" x14ac:dyDescent="0.3">
      <c r="A30" t="str">
        <f>IF(Rel_2026[[#This Row],[Zero]]=0,"Zero",IF(Rel_2026[[#This Row],[Pontuação]]&gt;=10,"Sim",IF(Rel_2026[[#This Row],[Pontuação]]&gt;=5,"Próximo","Não")))</f>
        <v>Sim</v>
      </c>
      <c r="B30" t="str">
        <f>IF(Rel_2026[[#This Row],[Zero]]=0,"Zero",IF(Rel_2026[[#This Row],[Pontuação2]]&gt;=10,"Sim",IF(Rel_2026[[#This Row],[Pontuação2]]&gt;=5,"Próximo","Não")))</f>
        <v>Sim</v>
      </c>
      <c r="C30" t="str">
        <f>IFERROR(VLOOKUP(Rel_2026[[#This Row],[chave_loja]],Responsavel!A:B,2,FALSE),"EUCLIDES")</f>
        <v>IVAN</v>
      </c>
      <c r="D30" t="str">
        <f>LEFT(Rel_2026[[#This Row],[ag_pacb]],4)</f>
        <v>5366</v>
      </c>
      <c r="E30">
        <v>401735</v>
      </c>
      <c r="F30" t="s">
        <v>637</v>
      </c>
      <c r="G30" t="s">
        <v>638</v>
      </c>
      <c r="H30" s="1">
        <v>45363</v>
      </c>
      <c r="I30" t="s">
        <v>23</v>
      </c>
      <c r="J30" t="s">
        <v>140</v>
      </c>
      <c r="K30" s="1">
        <v>45357</v>
      </c>
      <c r="L30" s="1">
        <v>45464</v>
      </c>
      <c r="M30" t="s">
        <v>25</v>
      </c>
      <c r="N30" s="1">
        <v>46254</v>
      </c>
      <c r="O30">
        <v>698</v>
      </c>
      <c r="P30">
        <v>4</v>
      </c>
      <c r="Q30">
        <v>2</v>
      </c>
      <c r="R30">
        <v>2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0</v>
      </c>
      <c r="AD30">
        <v>0</v>
      </c>
      <c r="AE30">
        <v>0</v>
      </c>
      <c r="AF30">
        <v>2</v>
      </c>
      <c r="AG30">
        <v>0</v>
      </c>
      <c r="AH30" t="s">
        <v>38</v>
      </c>
      <c r="AI30" t="s">
        <v>27</v>
      </c>
      <c r="AJ30" s="1"/>
      <c r="AK30" t="s">
        <v>28</v>
      </c>
      <c r="AL3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  <c r="AM30">
        <f>SUM(Rel_2026[[#This Row],[qtd_TrxContabil]:[VLR_EXP_SORTE]])</f>
        <v>712</v>
      </c>
      <c r="AN3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26</v>
      </c>
    </row>
    <row r="31" spans="1:40" x14ac:dyDescent="0.3">
      <c r="A31" t="str">
        <f>IF(Rel_2026[[#This Row],[Zero]]=0,"Zero",IF(Rel_2026[[#This Row],[Pontuação]]&gt;=10,"Sim",IF(Rel_2026[[#This Row],[Pontuação]]&gt;=5,"Próximo","Não")))</f>
        <v>Não</v>
      </c>
      <c r="B31" t="str">
        <f>IF(Rel_2026[[#This Row],[Zero]]=0,"Zero",IF(Rel_2026[[#This Row],[Pontuação2]]&gt;=10,"Sim",IF(Rel_2026[[#This Row],[Pontuação2]]&gt;=5,"Próximo","Não")))</f>
        <v>Não</v>
      </c>
      <c r="C31" t="str">
        <f>IFERROR(VLOOKUP(Rel_2026[[#This Row],[chave_loja]],Responsavel!A:B,2,FALSE),"EUCLIDES")</f>
        <v>NYCOLLAS</v>
      </c>
      <c r="D31" t="str">
        <f>LEFT(Rel_2026[[#This Row],[ag_pacb]],4)</f>
        <v>5443</v>
      </c>
      <c r="E31">
        <v>422185</v>
      </c>
      <c r="F31" t="s">
        <v>1071</v>
      </c>
      <c r="G31" t="s">
        <v>1072</v>
      </c>
      <c r="H31" s="1">
        <v>46062</v>
      </c>
      <c r="I31" t="s">
        <v>23</v>
      </c>
      <c r="J31" t="s">
        <v>260</v>
      </c>
      <c r="K31" s="1">
        <v>46052</v>
      </c>
      <c r="L31" s="1">
        <v>46092</v>
      </c>
      <c r="M31" t="s">
        <v>32</v>
      </c>
      <c r="N31" s="1">
        <v>46254</v>
      </c>
      <c r="O31">
        <v>56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s">
        <v>26</v>
      </c>
      <c r="AI31" t="s">
        <v>27</v>
      </c>
      <c r="AJ31" s="1"/>
      <c r="AK31" t="s">
        <v>28</v>
      </c>
      <c r="AL3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1">
        <f>SUM(Rel_2026[[#This Row],[qtd_TrxContabil]:[VLR_EXP_SORTE]])</f>
        <v>56</v>
      </c>
      <c r="AN3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2" spans="1:40" x14ac:dyDescent="0.3">
      <c r="A32" t="str">
        <f>IF(Rel_2026[[#This Row],[Zero]]=0,"Zero",IF(Rel_2026[[#This Row],[Pontuação]]&gt;=10,"Sim",IF(Rel_2026[[#This Row],[Pontuação]]&gt;=5,"Próximo","Não")))</f>
        <v>Não</v>
      </c>
      <c r="B32" t="str">
        <f>IF(Rel_2026[[#This Row],[Zero]]=0,"Zero",IF(Rel_2026[[#This Row],[Pontuação2]]&gt;=10,"Sim",IF(Rel_2026[[#This Row],[Pontuação2]]&gt;=5,"Próximo","Não")))</f>
        <v>Não</v>
      </c>
      <c r="C32" t="str">
        <f>IFERROR(VLOOKUP(Rel_2026[[#This Row],[chave_loja]],Responsavel!A:B,2,FALSE),"EUCLIDES")</f>
        <v>PAULO</v>
      </c>
      <c r="D32" t="str">
        <f>LEFT(Rel_2026[[#This Row],[ag_pacb]],4)</f>
        <v>0937</v>
      </c>
      <c r="E32">
        <v>68307</v>
      </c>
      <c r="F32" t="s">
        <v>1135</v>
      </c>
      <c r="G32" t="s">
        <v>1136</v>
      </c>
      <c r="H32" s="1">
        <v>45061</v>
      </c>
      <c r="I32" t="s">
        <v>107</v>
      </c>
      <c r="J32" t="s">
        <v>1125</v>
      </c>
      <c r="K32" s="1">
        <v>42237</v>
      </c>
      <c r="L32" s="1">
        <v>45680</v>
      </c>
      <c r="M32" t="s">
        <v>109</v>
      </c>
      <c r="N32" s="1">
        <v>46254</v>
      </c>
      <c r="O32">
        <v>558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s">
        <v>38</v>
      </c>
      <c r="AI32" t="s">
        <v>27</v>
      </c>
      <c r="AJ32" s="1"/>
      <c r="AK32" t="s">
        <v>28</v>
      </c>
      <c r="AL3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2">
        <f>SUM(Rel_2026[[#This Row],[qtd_TrxContabil]:[VLR_EXP_SORTE]])</f>
        <v>558</v>
      </c>
      <c r="AN3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3" spans="1:40" x14ac:dyDescent="0.3">
      <c r="A33" t="str">
        <f>IF(Rel_2026[[#This Row],[Zero]]=0,"Zero",IF(Rel_2026[[#This Row],[Pontuação]]&gt;=10,"Sim",IF(Rel_2026[[#This Row],[Pontuação]]&gt;=5,"Próximo","Não")))</f>
        <v>Sim</v>
      </c>
      <c r="B33" t="str">
        <f>IF(Rel_2026[[#This Row],[Zero]]=0,"Zero",IF(Rel_2026[[#This Row],[Pontuação2]]&gt;=10,"Sim",IF(Rel_2026[[#This Row],[Pontuação2]]&gt;=5,"Próximo","Não")))</f>
        <v>Sim</v>
      </c>
      <c r="C33" t="str">
        <f>IFERROR(VLOOKUP(Rel_2026[[#This Row],[chave_loja]],Responsavel!A:B,2,FALSE),"EUCLIDES")</f>
        <v>JUNIOR</v>
      </c>
      <c r="D33" t="str">
        <f>LEFT(Rel_2026[[#This Row],[ag_pacb]],4)</f>
        <v>1351</v>
      </c>
      <c r="E33">
        <v>245332</v>
      </c>
      <c r="F33" t="s">
        <v>1186</v>
      </c>
      <c r="G33" t="s">
        <v>1187</v>
      </c>
      <c r="H33" s="1">
        <v>44971</v>
      </c>
      <c r="I33" t="s">
        <v>23</v>
      </c>
      <c r="J33" t="s">
        <v>1188</v>
      </c>
      <c r="K33" s="1">
        <v>45306</v>
      </c>
      <c r="L33" s="1">
        <v>46238</v>
      </c>
      <c r="M33" t="s">
        <v>32</v>
      </c>
      <c r="N33" s="1">
        <v>46254</v>
      </c>
      <c r="O33">
        <v>111</v>
      </c>
      <c r="P33">
        <v>7</v>
      </c>
      <c r="Q33">
        <v>0</v>
      </c>
      <c r="R33">
        <v>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6</v>
      </c>
      <c r="AG33">
        <v>0</v>
      </c>
      <c r="AH33" t="s">
        <v>26</v>
      </c>
      <c r="AI33" t="s">
        <v>27</v>
      </c>
      <c r="AJ33" s="1"/>
      <c r="AK33" t="s">
        <v>28</v>
      </c>
      <c r="AL3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33">
        <f>SUM(Rel_2026[[#This Row],[qtd_TrxContabil]:[VLR_EXP_SORTE]])</f>
        <v>131</v>
      </c>
      <c r="AN3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42</v>
      </c>
    </row>
    <row r="34" spans="1:40" x14ac:dyDescent="0.3">
      <c r="A34" t="str">
        <f>IF(Rel_2026[[#This Row],[Zero]]=0,"Zero",IF(Rel_2026[[#This Row],[Pontuação]]&gt;=10,"Sim",IF(Rel_2026[[#This Row],[Pontuação]]&gt;=5,"Próximo","Não")))</f>
        <v>Sim</v>
      </c>
      <c r="B34" t="str">
        <f>IF(Rel_2026[[#This Row],[Zero]]=0,"Zero",IF(Rel_2026[[#This Row],[Pontuação2]]&gt;=10,"Sim",IF(Rel_2026[[#This Row],[Pontuação2]]&gt;=5,"Próximo","Não")))</f>
        <v>Sim</v>
      </c>
      <c r="C34" t="str">
        <f>IFERROR(VLOOKUP(Rel_2026[[#This Row],[chave_loja]],Responsavel!A:B,2,FALSE),"EUCLIDES")</f>
        <v>WASTHSON</v>
      </c>
      <c r="D34" t="str">
        <f>LEFT(Rel_2026[[#This Row],[ag_pacb]],4)</f>
        <v>0458</v>
      </c>
      <c r="E34">
        <v>83277</v>
      </c>
      <c r="F34" t="s">
        <v>390</v>
      </c>
      <c r="G34" t="s">
        <v>391</v>
      </c>
      <c r="H34" s="1">
        <v>44138</v>
      </c>
      <c r="I34" t="s">
        <v>23</v>
      </c>
      <c r="J34" t="s">
        <v>392</v>
      </c>
      <c r="K34" s="1">
        <v>42213</v>
      </c>
      <c r="L34" s="1">
        <v>45469</v>
      </c>
      <c r="M34" t="s">
        <v>32</v>
      </c>
      <c r="N34" s="1">
        <v>46254</v>
      </c>
      <c r="O34">
        <v>3396</v>
      </c>
      <c r="P34">
        <v>1</v>
      </c>
      <c r="Q34">
        <v>1</v>
      </c>
      <c r="R34">
        <v>1</v>
      </c>
      <c r="S34">
        <v>0</v>
      </c>
      <c r="T34">
        <v>4227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s">
        <v>26</v>
      </c>
      <c r="AI34" t="s">
        <v>27</v>
      </c>
      <c r="AJ34" s="1"/>
      <c r="AK34" t="s">
        <v>28</v>
      </c>
      <c r="AL3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49</v>
      </c>
      <c r="AM34">
        <f>SUM(Rel_2026[[#This Row],[qtd_TrxContabil]:[VLR_EXP_SORTE]])</f>
        <v>7626</v>
      </c>
      <c r="AN3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52</v>
      </c>
    </row>
    <row r="35" spans="1:40" x14ac:dyDescent="0.3">
      <c r="A35" t="str">
        <f>IF(Rel_2026[[#This Row],[Zero]]=0,"Zero",IF(Rel_2026[[#This Row],[Pontuação]]&gt;=10,"Sim",IF(Rel_2026[[#This Row],[Pontuação]]&gt;=5,"Próximo","Não")))</f>
        <v>Sim</v>
      </c>
      <c r="B35" t="str">
        <f>IF(Rel_2026[[#This Row],[Zero]]=0,"Zero",IF(Rel_2026[[#This Row],[Pontuação2]]&gt;=10,"Sim",IF(Rel_2026[[#This Row],[Pontuação2]]&gt;=5,"Próximo","Não")))</f>
        <v>Sim</v>
      </c>
      <c r="C35" t="str">
        <f>IFERROR(VLOOKUP(Rel_2026[[#This Row],[chave_loja]],Responsavel!A:B,2,FALSE),"EUCLIDES")</f>
        <v>IVAN</v>
      </c>
      <c r="D35" t="str">
        <f>LEFT(Rel_2026[[#This Row],[ag_pacb]],4)</f>
        <v>0767</v>
      </c>
      <c r="E35">
        <v>115219</v>
      </c>
      <c r="F35" t="s">
        <v>53</v>
      </c>
      <c r="G35" t="s">
        <v>509</v>
      </c>
      <c r="H35" s="1">
        <v>44111</v>
      </c>
      <c r="I35" t="s">
        <v>23</v>
      </c>
      <c r="J35" t="s">
        <v>61</v>
      </c>
      <c r="K35" s="1">
        <v>45306</v>
      </c>
      <c r="L35" s="1">
        <v>45125</v>
      </c>
      <c r="M35" t="s">
        <v>25</v>
      </c>
      <c r="N35" s="1">
        <v>46247</v>
      </c>
      <c r="O35">
        <v>437</v>
      </c>
      <c r="P35">
        <v>6</v>
      </c>
      <c r="Q35">
        <v>0</v>
      </c>
      <c r="R35">
        <v>5</v>
      </c>
      <c r="S35">
        <v>3</v>
      </c>
      <c r="T35">
        <v>900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3</v>
      </c>
      <c r="AC35">
        <v>0</v>
      </c>
      <c r="AD35">
        <v>0</v>
      </c>
      <c r="AE35">
        <v>0</v>
      </c>
      <c r="AF35">
        <v>5</v>
      </c>
      <c r="AG35">
        <v>0</v>
      </c>
      <c r="AH35" t="s">
        <v>26</v>
      </c>
      <c r="AI35" t="s">
        <v>27</v>
      </c>
      <c r="AJ35" s="1"/>
      <c r="AK35" t="s">
        <v>28</v>
      </c>
      <c r="AL3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27</v>
      </c>
      <c r="AM35">
        <f>SUM(Rel_2026[[#This Row],[qtd_TrxContabil]:[VLR_EXP_SORTE]])</f>
        <v>1359</v>
      </c>
      <c r="AN3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42</v>
      </c>
    </row>
    <row r="36" spans="1:40" x14ac:dyDescent="0.3">
      <c r="A36" t="str">
        <f>IF(Rel_2026[[#This Row],[Zero]]=0,"Zero",IF(Rel_2026[[#This Row],[Pontuação]]&gt;=10,"Sim",IF(Rel_2026[[#This Row],[Pontuação]]&gt;=5,"Próximo","Não")))</f>
        <v>Sim</v>
      </c>
      <c r="B36" t="str">
        <f>IF(Rel_2026[[#This Row],[Zero]]=0,"Zero",IF(Rel_2026[[#This Row],[Pontuação2]]&gt;=10,"Sim",IF(Rel_2026[[#This Row],[Pontuação2]]&gt;=5,"Próximo","Não")))</f>
        <v>Sim</v>
      </c>
      <c r="C36" t="str">
        <f>IFERROR(VLOOKUP(Rel_2026[[#This Row],[chave_loja]],Responsavel!A:B,2,FALSE),"EUCLIDES")</f>
        <v>JACK</v>
      </c>
      <c r="D36" t="str">
        <f>LEFT(Rel_2026[[#This Row],[ag_pacb]],4)</f>
        <v>5795</v>
      </c>
      <c r="E36">
        <v>154649</v>
      </c>
      <c r="F36" t="s">
        <v>1339</v>
      </c>
      <c r="G36" t="s">
        <v>1340</v>
      </c>
      <c r="H36" s="1">
        <v>44103</v>
      </c>
      <c r="I36" t="s">
        <v>107</v>
      </c>
      <c r="J36" t="s">
        <v>890</v>
      </c>
      <c r="K36" s="1">
        <v>43307</v>
      </c>
      <c r="L36" s="1">
        <v>46135</v>
      </c>
      <c r="M36" t="s">
        <v>109</v>
      </c>
      <c r="N36" s="1">
        <v>46254</v>
      </c>
      <c r="O36">
        <v>509</v>
      </c>
      <c r="P36">
        <v>4</v>
      </c>
      <c r="Q36">
        <v>2</v>
      </c>
      <c r="R36">
        <v>0</v>
      </c>
      <c r="S36">
        <v>0</v>
      </c>
      <c r="T36">
        <v>800</v>
      </c>
      <c r="U36">
        <v>1600</v>
      </c>
      <c r="V36">
        <v>1600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 t="s">
        <v>26</v>
      </c>
      <c r="AI36" t="s">
        <v>27</v>
      </c>
      <c r="AJ36" s="1"/>
      <c r="AK36" t="s">
        <v>28</v>
      </c>
      <c r="AL3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31</v>
      </c>
      <c r="AM36">
        <f>SUM(Rel_2026[[#This Row],[qtd_TrxContabil]:[VLR_EXP_SORTE]])</f>
        <v>4516</v>
      </c>
      <c r="AN3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31</v>
      </c>
    </row>
    <row r="37" spans="1:40" x14ac:dyDescent="0.3">
      <c r="A37" t="str">
        <f>IF(Rel_2026[[#This Row],[Zero]]=0,"Zero",IF(Rel_2026[[#This Row],[Pontuação]]&gt;=10,"Sim",IF(Rel_2026[[#This Row],[Pontuação]]&gt;=5,"Próximo","Não")))</f>
        <v>Sim</v>
      </c>
      <c r="B37" t="str">
        <f>IF(Rel_2026[[#This Row],[Zero]]=0,"Zero",IF(Rel_2026[[#This Row],[Pontuação2]]&gt;=10,"Sim",IF(Rel_2026[[#This Row],[Pontuação2]]&gt;=5,"Próximo","Não")))</f>
        <v>Sim</v>
      </c>
      <c r="C37" t="str">
        <f>IFERROR(VLOOKUP(Rel_2026[[#This Row],[chave_loja]],Responsavel!A:B,2,FALSE),"EUCLIDES")</f>
        <v>DARIO</v>
      </c>
      <c r="D37" t="str">
        <f>LEFT(Rel_2026[[#This Row],[ag_pacb]],4)</f>
        <v>5438</v>
      </c>
      <c r="E37">
        <v>423625</v>
      </c>
      <c r="F37" t="s">
        <v>1233</v>
      </c>
      <c r="G37" t="s">
        <v>1234</v>
      </c>
      <c r="H37" s="1">
        <v>46136</v>
      </c>
      <c r="I37" t="s">
        <v>23</v>
      </c>
      <c r="J37" t="s">
        <v>70</v>
      </c>
      <c r="K37" s="1">
        <v>46128</v>
      </c>
      <c r="L37" s="1">
        <v>46161</v>
      </c>
      <c r="M37" t="s">
        <v>25</v>
      </c>
      <c r="N37" s="1">
        <v>46254</v>
      </c>
      <c r="O37">
        <v>29</v>
      </c>
      <c r="P37">
        <v>3</v>
      </c>
      <c r="Q37">
        <v>3</v>
      </c>
      <c r="R37">
        <v>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3</v>
      </c>
      <c r="AG37">
        <v>0</v>
      </c>
      <c r="AH37" t="s">
        <v>26</v>
      </c>
      <c r="AI37" t="s">
        <v>27</v>
      </c>
      <c r="AJ37" s="1"/>
      <c r="AK37" t="s">
        <v>28</v>
      </c>
      <c r="AL3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37">
        <f>SUM(Rel_2026[[#This Row],[qtd_TrxContabil]:[VLR_EXP_SORTE]])</f>
        <v>40</v>
      </c>
      <c r="AN3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27</v>
      </c>
    </row>
    <row r="38" spans="1:40" x14ac:dyDescent="0.3">
      <c r="A38" t="str">
        <f>IF(Rel_2026[[#This Row],[Zero]]=0,"Zero",IF(Rel_2026[[#This Row],[Pontuação]]&gt;=10,"Sim",IF(Rel_2026[[#This Row],[Pontuação]]&gt;=5,"Próximo","Não")))</f>
        <v>Sim</v>
      </c>
      <c r="B38" t="str">
        <f>IF(Rel_2026[[#This Row],[Zero]]=0,"Zero",IF(Rel_2026[[#This Row],[Pontuação2]]&gt;=10,"Sim",IF(Rel_2026[[#This Row],[Pontuação2]]&gt;=5,"Próximo","Não")))</f>
        <v>Sim</v>
      </c>
      <c r="C38" t="str">
        <f>IFERROR(VLOOKUP(Rel_2026[[#This Row],[chave_loja]],Responsavel!A:B,2,FALSE),"EUCLIDES")</f>
        <v>DARIO</v>
      </c>
      <c r="D38" t="str">
        <f>LEFT(Rel_2026[[#This Row],[ag_pacb]],4)</f>
        <v>0703</v>
      </c>
      <c r="E38">
        <v>51599</v>
      </c>
      <c r="F38" t="s">
        <v>1048</v>
      </c>
      <c r="G38" t="s">
        <v>1049</v>
      </c>
      <c r="H38" s="1">
        <v>44152</v>
      </c>
      <c r="I38" t="s">
        <v>23</v>
      </c>
      <c r="J38" t="s">
        <v>389</v>
      </c>
      <c r="K38" s="1">
        <v>42256</v>
      </c>
      <c r="L38" s="1">
        <v>46182</v>
      </c>
      <c r="M38" t="s">
        <v>25</v>
      </c>
      <c r="N38" s="1">
        <v>46254</v>
      </c>
      <c r="O38">
        <v>1092</v>
      </c>
      <c r="P38">
        <v>2</v>
      </c>
      <c r="Q38">
        <v>2</v>
      </c>
      <c r="R38">
        <v>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2</v>
      </c>
      <c r="AG38">
        <v>0</v>
      </c>
      <c r="AH38" t="s">
        <v>38</v>
      </c>
      <c r="AI38" t="s">
        <v>27</v>
      </c>
      <c r="AJ38" s="1"/>
      <c r="AK38" t="s">
        <v>28</v>
      </c>
      <c r="AL3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38">
        <f>SUM(Rel_2026[[#This Row],[qtd_TrxContabil]:[VLR_EXP_SORTE]])</f>
        <v>1101</v>
      </c>
      <c r="AN3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39" spans="1:40" x14ac:dyDescent="0.3">
      <c r="A39" t="str">
        <f>IF(Rel_2026[[#This Row],[Zero]]=0,"Zero",IF(Rel_2026[[#This Row],[Pontuação]]&gt;=10,"Sim",IF(Rel_2026[[#This Row],[Pontuação]]&gt;=5,"Próximo","Não")))</f>
        <v>Não</v>
      </c>
      <c r="B39" t="str">
        <f>IF(Rel_2026[[#This Row],[Zero]]=0,"Zero",IF(Rel_2026[[#This Row],[Pontuação2]]&gt;=10,"Sim",IF(Rel_2026[[#This Row],[Pontuação2]]&gt;=5,"Próximo","Não")))</f>
        <v>Não</v>
      </c>
      <c r="C39" t="str">
        <f>IFERROR(VLOOKUP(Rel_2026[[#This Row],[chave_loja]],Responsavel!A:B,2,FALSE),"EUCLIDES")</f>
        <v>NYCOLLAS</v>
      </c>
      <c r="D39" t="str">
        <f>LEFT(Rel_2026[[#This Row],[ag_pacb]],4)</f>
        <v>5446</v>
      </c>
      <c r="E39">
        <v>206993</v>
      </c>
      <c r="F39" t="s">
        <v>563</v>
      </c>
      <c r="G39" t="s">
        <v>1230</v>
      </c>
      <c r="H39" s="1">
        <v>46003</v>
      </c>
      <c r="I39" t="s">
        <v>23</v>
      </c>
      <c r="J39" t="s">
        <v>238</v>
      </c>
      <c r="K39" s="1">
        <v>45306</v>
      </c>
      <c r="L39" s="1">
        <v>44253</v>
      </c>
      <c r="M39" t="s">
        <v>32</v>
      </c>
      <c r="N39" s="1">
        <v>46254</v>
      </c>
      <c r="O39">
        <v>792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s">
        <v>26</v>
      </c>
      <c r="AI39" t="s">
        <v>27</v>
      </c>
      <c r="AJ39" s="1"/>
      <c r="AK39" t="s">
        <v>28</v>
      </c>
      <c r="AL3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9">
        <f>SUM(Rel_2026[[#This Row],[qtd_TrxContabil]:[VLR_EXP_SORTE]])</f>
        <v>792</v>
      </c>
      <c r="AN3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0" spans="1:40" x14ac:dyDescent="0.3">
      <c r="A40" t="str">
        <f>IF(Rel_2026[[#This Row],[Zero]]=0,"Zero",IF(Rel_2026[[#This Row],[Pontuação]]&gt;=10,"Sim",IF(Rel_2026[[#This Row],[Pontuação]]&gt;=5,"Próximo","Não")))</f>
        <v>Sim</v>
      </c>
      <c r="B40" t="str">
        <f>IF(Rel_2026[[#This Row],[Zero]]=0,"Zero",IF(Rel_2026[[#This Row],[Pontuação2]]&gt;=10,"Sim",IF(Rel_2026[[#This Row],[Pontuação2]]&gt;=5,"Próximo","Não")))</f>
        <v>Sim</v>
      </c>
      <c r="C40" t="str">
        <f>IFERROR(VLOOKUP(Rel_2026[[#This Row],[chave_loja]],Responsavel!A:B,2,FALSE),"EUCLIDES")</f>
        <v>NYCOLLAS</v>
      </c>
      <c r="D40" t="str">
        <f>LEFT(Rel_2026[[#This Row],[ag_pacb]],4)</f>
        <v>0719</v>
      </c>
      <c r="E40">
        <v>217731</v>
      </c>
      <c r="F40" t="s">
        <v>195</v>
      </c>
      <c r="G40" t="s">
        <v>196</v>
      </c>
      <c r="H40" s="1">
        <v>45068</v>
      </c>
      <c r="I40" t="s">
        <v>23</v>
      </c>
      <c r="J40" t="s">
        <v>92</v>
      </c>
      <c r="K40" s="1">
        <v>44327</v>
      </c>
      <c r="L40" s="1">
        <v>46154</v>
      </c>
      <c r="M40" t="s">
        <v>32</v>
      </c>
      <c r="N40" s="1">
        <v>46254</v>
      </c>
      <c r="O40">
        <v>3124</v>
      </c>
      <c r="P40">
        <v>21</v>
      </c>
      <c r="Q40">
        <v>2</v>
      </c>
      <c r="R40">
        <v>21</v>
      </c>
      <c r="S40">
        <v>0</v>
      </c>
      <c r="T40">
        <v>11683</v>
      </c>
      <c r="U40">
        <v>105886</v>
      </c>
      <c r="V40">
        <v>105886</v>
      </c>
      <c r="W40">
        <v>0</v>
      </c>
      <c r="X40">
        <v>0</v>
      </c>
      <c r="Y40">
        <v>13633</v>
      </c>
      <c r="Z40">
        <v>0</v>
      </c>
      <c r="AA40">
        <v>0</v>
      </c>
      <c r="AB40">
        <v>2</v>
      </c>
      <c r="AC40">
        <v>0</v>
      </c>
      <c r="AD40">
        <v>0</v>
      </c>
      <c r="AE40">
        <v>0</v>
      </c>
      <c r="AF40">
        <v>23</v>
      </c>
      <c r="AG40">
        <v>0</v>
      </c>
      <c r="AH40" t="s">
        <v>26</v>
      </c>
      <c r="AI40" t="s">
        <v>27</v>
      </c>
      <c r="AJ40" s="1"/>
      <c r="AK40" t="s">
        <v>28</v>
      </c>
      <c r="AL4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321</v>
      </c>
      <c r="AM40">
        <f>SUM(Rel_2026[[#This Row],[qtd_TrxContabil]:[VLR_EXP_SORTE]])</f>
        <v>240281</v>
      </c>
      <c r="AN4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384</v>
      </c>
    </row>
    <row r="41" spans="1:40" x14ac:dyDescent="0.3">
      <c r="A41" t="str">
        <f>IF(Rel_2026[[#This Row],[Zero]]=0,"Zero",IF(Rel_2026[[#This Row],[Pontuação]]&gt;=10,"Sim",IF(Rel_2026[[#This Row],[Pontuação]]&gt;=5,"Próximo","Não")))</f>
        <v>Zero</v>
      </c>
      <c r="B41" t="str">
        <f>IF(Rel_2026[[#This Row],[Zero]]=0,"Zero",IF(Rel_2026[[#This Row],[Pontuação2]]&gt;=10,"Sim",IF(Rel_2026[[#This Row],[Pontuação2]]&gt;=5,"Próximo","Não")))</f>
        <v>Zero</v>
      </c>
      <c r="C41" t="str">
        <f>IFERROR(VLOOKUP(Rel_2026[[#This Row],[chave_loja]],Responsavel!A:B,2,FALSE),"EUCLIDES")</f>
        <v>CÉLIO</v>
      </c>
      <c r="D41" t="str">
        <f>LEFT(Rel_2026[[#This Row],[ag_pacb]],4)</f>
        <v>0628</v>
      </c>
      <c r="E41">
        <v>418458</v>
      </c>
      <c r="F41" t="s">
        <v>1347</v>
      </c>
      <c r="G41" t="s">
        <v>1348</v>
      </c>
      <c r="H41" s="1">
        <v>45939</v>
      </c>
      <c r="I41" t="s">
        <v>23</v>
      </c>
      <c r="J41" t="s">
        <v>24</v>
      </c>
      <c r="K41" s="1">
        <v>45931</v>
      </c>
      <c r="L41" s="1">
        <v>45947</v>
      </c>
      <c r="M41" t="s">
        <v>32</v>
      </c>
      <c r="N41" s="1">
        <v>46160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s">
        <v>38</v>
      </c>
      <c r="AI41" t="s">
        <v>56</v>
      </c>
      <c r="AJ41" s="1">
        <v>46199</v>
      </c>
      <c r="AK41" t="s">
        <v>28</v>
      </c>
      <c r="AL4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1">
        <f>SUM(Rel_2026[[#This Row],[qtd_TrxContabil]:[VLR_EXP_SORTE]])</f>
        <v>0</v>
      </c>
      <c r="AN4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2" spans="1:40" x14ac:dyDescent="0.3">
      <c r="A42" t="str">
        <f>IF(Rel_2026[[#This Row],[Zero]]=0,"Zero",IF(Rel_2026[[#This Row],[Pontuação]]&gt;=10,"Sim",IF(Rel_2026[[#This Row],[Pontuação]]&gt;=5,"Próximo","Não")))</f>
        <v>Sim</v>
      </c>
      <c r="B42" t="str">
        <f>IF(Rel_2026[[#This Row],[Zero]]=0,"Zero",IF(Rel_2026[[#This Row],[Pontuação2]]&gt;=10,"Sim",IF(Rel_2026[[#This Row],[Pontuação2]]&gt;=5,"Próximo","Não")))</f>
        <v>Sim</v>
      </c>
      <c r="C42" t="str">
        <f>IFERROR(VLOOKUP(Rel_2026[[#This Row],[chave_loja]],Responsavel!A:B,2,FALSE),"EUCLIDES")</f>
        <v>WASTHSON</v>
      </c>
      <c r="D42" t="str">
        <f>LEFT(Rel_2026[[#This Row],[ag_pacb]],4)</f>
        <v>0458</v>
      </c>
      <c r="E42">
        <v>82930</v>
      </c>
      <c r="F42" t="s">
        <v>367</v>
      </c>
      <c r="G42" t="s">
        <v>368</v>
      </c>
      <c r="H42" s="1">
        <v>44211</v>
      </c>
      <c r="I42" t="s">
        <v>23</v>
      </c>
      <c r="J42" t="s">
        <v>369</v>
      </c>
      <c r="K42" s="1">
        <v>42138</v>
      </c>
      <c r="L42" s="1">
        <v>46189</v>
      </c>
      <c r="M42" t="s">
        <v>32</v>
      </c>
      <c r="N42" s="1">
        <v>46254</v>
      </c>
      <c r="O42">
        <v>2258</v>
      </c>
      <c r="P42">
        <v>7</v>
      </c>
      <c r="Q42">
        <v>0</v>
      </c>
      <c r="R42">
        <v>4</v>
      </c>
      <c r="S42">
        <v>0</v>
      </c>
      <c r="T42">
        <v>700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7</v>
      </c>
      <c r="AG42">
        <v>0</v>
      </c>
      <c r="AH42" t="s">
        <v>26</v>
      </c>
      <c r="AI42" t="s">
        <v>27</v>
      </c>
      <c r="AJ42" s="1"/>
      <c r="AK42" t="s">
        <v>28</v>
      </c>
      <c r="AL4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28</v>
      </c>
      <c r="AM42">
        <f>SUM(Rel_2026[[#This Row],[qtd_TrxContabil]:[VLR_EXP_SORTE]])</f>
        <v>2976</v>
      </c>
      <c r="AN4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40</v>
      </c>
    </row>
    <row r="43" spans="1:40" x14ac:dyDescent="0.3">
      <c r="A43" t="str">
        <f>IF(Rel_2026[[#This Row],[Zero]]=0,"Zero",IF(Rel_2026[[#This Row],[Pontuação]]&gt;=10,"Sim",IF(Rel_2026[[#This Row],[Pontuação]]&gt;=5,"Próximo","Não")))</f>
        <v>Sim</v>
      </c>
      <c r="B43" t="str">
        <f>IF(Rel_2026[[#This Row],[Zero]]=0,"Zero",IF(Rel_2026[[#This Row],[Pontuação2]]&gt;=10,"Sim",IF(Rel_2026[[#This Row],[Pontuação2]]&gt;=5,"Próximo","Não")))</f>
        <v>Sim</v>
      </c>
      <c r="C43" t="str">
        <f>IFERROR(VLOOKUP(Rel_2026[[#This Row],[chave_loja]],Responsavel!A:B,2,FALSE),"EUCLIDES")</f>
        <v>ISMAEL</v>
      </c>
      <c r="D43" t="str">
        <f>LEFT(Rel_2026[[#This Row],[ag_pacb]],4)</f>
        <v>5365</v>
      </c>
      <c r="E43">
        <v>228934</v>
      </c>
      <c r="F43" t="s">
        <v>1404</v>
      </c>
      <c r="G43" t="s">
        <v>1405</v>
      </c>
      <c r="H43" s="1">
        <v>44607</v>
      </c>
      <c r="I43" t="s">
        <v>23</v>
      </c>
      <c r="J43" t="s">
        <v>253</v>
      </c>
      <c r="K43" s="1">
        <v>45306</v>
      </c>
      <c r="L43" s="1">
        <v>46035</v>
      </c>
      <c r="M43" t="s">
        <v>25</v>
      </c>
      <c r="N43" s="1">
        <v>46249</v>
      </c>
      <c r="O43">
        <v>926</v>
      </c>
      <c r="P43">
        <v>7</v>
      </c>
      <c r="Q43">
        <v>6</v>
      </c>
      <c r="R43">
        <v>7</v>
      </c>
      <c r="S43">
        <v>0</v>
      </c>
      <c r="T43">
        <v>750</v>
      </c>
      <c r="U43">
        <v>5173</v>
      </c>
      <c r="V43">
        <v>5173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50</v>
      </c>
      <c r="AH43" t="s">
        <v>38</v>
      </c>
      <c r="AI43" t="s">
        <v>27</v>
      </c>
      <c r="AJ43" s="1"/>
      <c r="AK43" t="s">
        <v>28</v>
      </c>
      <c r="AL4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59</v>
      </c>
      <c r="AM43">
        <f>SUM(Rel_2026[[#This Row],[qtd_TrxContabil]:[VLR_EXP_SORTE]])</f>
        <v>12092</v>
      </c>
      <c r="AN4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80</v>
      </c>
    </row>
    <row r="44" spans="1:40" x14ac:dyDescent="0.3">
      <c r="A44" t="str">
        <f>IF(Rel_2026[[#This Row],[Zero]]=0,"Zero",IF(Rel_2026[[#This Row],[Pontuação]]&gt;=10,"Sim",IF(Rel_2026[[#This Row],[Pontuação]]&gt;=5,"Próximo","Não")))</f>
        <v>Não</v>
      </c>
      <c r="B44" t="str">
        <f>IF(Rel_2026[[#This Row],[Zero]]=0,"Zero",IF(Rel_2026[[#This Row],[Pontuação2]]&gt;=10,"Sim",IF(Rel_2026[[#This Row],[Pontuação2]]&gt;=5,"Próximo","Não")))</f>
        <v>Não</v>
      </c>
      <c r="C44" t="str">
        <f>IFERROR(VLOOKUP(Rel_2026[[#This Row],[chave_loja]],Responsavel!A:B,2,FALSE),"EUCLIDES")</f>
        <v>WASTHSON</v>
      </c>
      <c r="D44" t="str">
        <f>LEFT(Rel_2026[[#This Row],[ag_pacb]],4)</f>
        <v>5415</v>
      </c>
      <c r="E44">
        <v>254739</v>
      </c>
      <c r="F44" t="s">
        <v>619</v>
      </c>
      <c r="G44" t="s">
        <v>620</v>
      </c>
      <c r="H44" s="1">
        <v>45842</v>
      </c>
      <c r="I44" t="s">
        <v>23</v>
      </c>
      <c r="J44" t="s">
        <v>158</v>
      </c>
      <c r="K44" s="1">
        <v>45306</v>
      </c>
      <c r="L44" s="1">
        <v>45272</v>
      </c>
      <c r="M44" t="s">
        <v>32</v>
      </c>
      <c r="N44" s="1">
        <v>46254</v>
      </c>
      <c r="O44">
        <v>248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s">
        <v>26</v>
      </c>
      <c r="AI44" t="s">
        <v>27</v>
      </c>
      <c r="AJ44" s="1"/>
      <c r="AK44" t="s">
        <v>28</v>
      </c>
      <c r="AL4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4">
        <f>SUM(Rel_2026[[#This Row],[qtd_TrxContabil]:[VLR_EXP_SORTE]])</f>
        <v>248</v>
      </c>
      <c r="AN4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5" spans="1:40" x14ac:dyDescent="0.3">
      <c r="A45" t="str">
        <f>IF(Rel_2026[[#This Row],[Zero]]=0,"Zero",IF(Rel_2026[[#This Row],[Pontuação]]&gt;=10,"Sim",IF(Rel_2026[[#This Row],[Pontuação]]&gt;=5,"Próximo","Não")))</f>
        <v>Sim</v>
      </c>
      <c r="B45" t="str">
        <f>IF(Rel_2026[[#This Row],[Zero]]=0,"Zero",IF(Rel_2026[[#This Row],[Pontuação2]]&gt;=10,"Sim",IF(Rel_2026[[#This Row],[Pontuação2]]&gt;=5,"Próximo","Não")))</f>
        <v>Sim</v>
      </c>
      <c r="C45" t="str">
        <f>IFERROR(VLOOKUP(Rel_2026[[#This Row],[chave_loja]],Responsavel!A:B,2,FALSE),"EUCLIDES")</f>
        <v>NYCOLLAS</v>
      </c>
      <c r="D45" t="str">
        <f>LEFT(Rel_2026[[#This Row],[ag_pacb]],4)</f>
        <v>5447</v>
      </c>
      <c r="E45">
        <v>75061</v>
      </c>
      <c r="F45" t="s">
        <v>362</v>
      </c>
      <c r="G45" t="s">
        <v>363</v>
      </c>
      <c r="H45" s="1">
        <v>44347</v>
      </c>
      <c r="I45" t="s">
        <v>23</v>
      </c>
      <c r="J45" t="s">
        <v>67</v>
      </c>
      <c r="K45" s="1">
        <v>42143</v>
      </c>
      <c r="L45" s="1">
        <v>45463</v>
      </c>
      <c r="M45" t="s">
        <v>32</v>
      </c>
      <c r="N45" s="1">
        <v>46254</v>
      </c>
      <c r="O45">
        <v>240</v>
      </c>
      <c r="P45">
        <v>4</v>
      </c>
      <c r="Q45">
        <v>2</v>
      </c>
      <c r="R45">
        <v>4</v>
      </c>
      <c r="S45">
        <v>0</v>
      </c>
      <c r="T45">
        <v>0</v>
      </c>
      <c r="U45">
        <v>343</v>
      </c>
      <c r="V45">
        <v>343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s">
        <v>38</v>
      </c>
      <c r="AI45" t="s">
        <v>27</v>
      </c>
      <c r="AJ45" s="1"/>
      <c r="AK45" t="s">
        <v>28</v>
      </c>
      <c r="AL4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  <c r="AM45">
        <f>SUM(Rel_2026[[#This Row],[qtd_TrxContabil]:[VLR_EXP_SORTE]])</f>
        <v>936</v>
      </c>
      <c r="AN4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32</v>
      </c>
    </row>
    <row r="46" spans="1:40" x14ac:dyDescent="0.3">
      <c r="A46" t="str">
        <f>IF(Rel_2026[[#This Row],[Zero]]=0,"Zero",IF(Rel_2026[[#This Row],[Pontuação]]&gt;=10,"Sim",IF(Rel_2026[[#This Row],[Pontuação]]&gt;=5,"Próximo","Não")))</f>
        <v>Sim</v>
      </c>
      <c r="B46" t="str">
        <f>IF(Rel_2026[[#This Row],[Zero]]=0,"Zero",IF(Rel_2026[[#This Row],[Pontuação2]]&gt;=10,"Sim",IF(Rel_2026[[#This Row],[Pontuação2]]&gt;=5,"Próximo","Não")))</f>
        <v>Sim</v>
      </c>
      <c r="C46" t="str">
        <f>IFERROR(VLOOKUP(Rel_2026[[#This Row],[chave_loja]],Responsavel!A:B,2,FALSE),"EUCLIDES")</f>
        <v>WASTHSON</v>
      </c>
      <c r="D46" t="str">
        <f>LEFT(Rel_2026[[#This Row],[ag_pacb]],4)</f>
        <v>5415</v>
      </c>
      <c r="E46">
        <v>159774</v>
      </c>
      <c r="F46" t="s">
        <v>312</v>
      </c>
      <c r="G46" t="s">
        <v>313</v>
      </c>
      <c r="H46" s="1">
        <v>45153</v>
      </c>
      <c r="I46" t="s">
        <v>23</v>
      </c>
      <c r="J46" t="s">
        <v>289</v>
      </c>
      <c r="K46" s="1">
        <v>42957</v>
      </c>
      <c r="L46" s="1">
        <v>46253</v>
      </c>
      <c r="M46" t="s">
        <v>32</v>
      </c>
      <c r="N46" s="1">
        <v>46254</v>
      </c>
      <c r="O46">
        <v>4259</v>
      </c>
      <c r="P46">
        <v>8</v>
      </c>
      <c r="Q46">
        <v>1</v>
      </c>
      <c r="R46">
        <v>6</v>
      </c>
      <c r="S46">
        <v>2</v>
      </c>
      <c r="T46">
        <v>2870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</v>
      </c>
      <c r="AC46">
        <v>0</v>
      </c>
      <c r="AD46">
        <v>0</v>
      </c>
      <c r="AE46">
        <v>0</v>
      </c>
      <c r="AF46">
        <v>8</v>
      </c>
      <c r="AG46">
        <v>70</v>
      </c>
      <c r="AH46" t="s">
        <v>38</v>
      </c>
      <c r="AI46" t="s">
        <v>27</v>
      </c>
      <c r="AJ46" s="1"/>
      <c r="AK46" t="s">
        <v>28</v>
      </c>
      <c r="AL4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58</v>
      </c>
      <c r="AM46">
        <f>SUM(Rel_2026[[#This Row],[qtd_TrxContabil]:[VLR_EXP_SORTE]])</f>
        <v>7226</v>
      </c>
      <c r="AN4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76</v>
      </c>
    </row>
    <row r="47" spans="1:40" x14ac:dyDescent="0.3">
      <c r="A47" t="str">
        <f>IF(Rel_2026[[#This Row],[Zero]]=0,"Zero",IF(Rel_2026[[#This Row],[Pontuação]]&gt;=10,"Sim",IF(Rel_2026[[#This Row],[Pontuação]]&gt;=5,"Próximo","Não")))</f>
        <v>Não</v>
      </c>
      <c r="B47" t="str">
        <f>IF(Rel_2026[[#This Row],[Zero]]=0,"Zero",IF(Rel_2026[[#This Row],[Pontuação2]]&gt;=10,"Sim",IF(Rel_2026[[#This Row],[Pontuação2]]&gt;=5,"Próximo","Não")))</f>
        <v>Não</v>
      </c>
      <c r="C47" t="str">
        <f>IFERROR(VLOOKUP(Rel_2026[[#This Row],[chave_loja]],Responsavel!A:B,2,FALSE),"EUCLIDES")</f>
        <v>GIL</v>
      </c>
      <c r="D47" t="str">
        <f>LEFT(Rel_2026[[#This Row],[ag_pacb]],4)</f>
        <v>5387</v>
      </c>
      <c r="E47">
        <v>409626</v>
      </c>
      <c r="F47" t="s">
        <v>574</v>
      </c>
      <c r="G47" t="s">
        <v>575</v>
      </c>
      <c r="H47" s="1">
        <v>45701</v>
      </c>
      <c r="I47" t="s">
        <v>23</v>
      </c>
      <c r="J47" t="s">
        <v>576</v>
      </c>
      <c r="K47" s="1">
        <v>45695</v>
      </c>
      <c r="L47" s="1">
        <v>45821</v>
      </c>
      <c r="M47" t="s">
        <v>32</v>
      </c>
      <c r="N47" s="1">
        <v>46253</v>
      </c>
      <c r="O47">
        <v>207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s">
        <v>38</v>
      </c>
      <c r="AI47" t="s">
        <v>27</v>
      </c>
      <c r="AJ47" s="1"/>
      <c r="AK47" t="s">
        <v>28</v>
      </c>
      <c r="AL4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7">
        <f>SUM(Rel_2026[[#This Row],[qtd_TrxContabil]:[VLR_EXP_SORTE]])</f>
        <v>207</v>
      </c>
      <c r="AN4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8" spans="1:40" x14ac:dyDescent="0.3">
      <c r="A48" t="str">
        <f>IF(Rel_2026[[#This Row],[Zero]]=0,"Zero",IF(Rel_2026[[#This Row],[Pontuação]]&gt;=10,"Sim",IF(Rel_2026[[#This Row],[Pontuação]]&gt;=5,"Próximo","Não")))</f>
        <v>Zero</v>
      </c>
      <c r="B48" t="str">
        <f>IF(Rel_2026[[#This Row],[Zero]]=0,"Zero",IF(Rel_2026[[#This Row],[Pontuação2]]&gt;=10,"Sim",IF(Rel_2026[[#This Row],[Pontuação2]]&gt;=5,"Próximo","Não")))</f>
        <v>Zero</v>
      </c>
      <c r="C48" t="str">
        <f>IFERROR(VLOOKUP(Rel_2026[[#This Row],[chave_loja]],Responsavel!A:B,2,FALSE),"EUCLIDES")</f>
        <v>NYCOLLAS</v>
      </c>
      <c r="D48" t="str">
        <f>LEFT(Rel_2026[[#This Row],[ag_pacb]],4)</f>
        <v>0719</v>
      </c>
      <c r="E48">
        <v>416386</v>
      </c>
      <c r="F48" t="s">
        <v>297</v>
      </c>
      <c r="G48" t="s">
        <v>298</v>
      </c>
      <c r="H48" s="1">
        <v>45905</v>
      </c>
      <c r="I48" t="s">
        <v>23</v>
      </c>
      <c r="J48" t="s">
        <v>92</v>
      </c>
      <c r="K48" s="1">
        <v>45896</v>
      </c>
      <c r="L48" s="1">
        <v>45925</v>
      </c>
      <c r="M48" t="s">
        <v>32</v>
      </c>
      <c r="N48" s="1">
        <v>46147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s">
        <v>38</v>
      </c>
      <c r="AI48" t="s">
        <v>56</v>
      </c>
      <c r="AJ48" s="1">
        <v>46168</v>
      </c>
      <c r="AK48" t="s">
        <v>28</v>
      </c>
      <c r="AL4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8">
        <f>SUM(Rel_2026[[#This Row],[qtd_TrxContabil]:[VLR_EXP_SORTE]])</f>
        <v>0</v>
      </c>
      <c r="AN4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9" spans="1:40" x14ac:dyDescent="0.3">
      <c r="A49" t="str">
        <f>IF(Rel_2026[[#This Row],[Zero]]=0,"Zero",IF(Rel_2026[[#This Row],[Pontuação]]&gt;=10,"Sim",IF(Rel_2026[[#This Row],[Pontuação]]&gt;=5,"Próximo","Não")))</f>
        <v>Não</v>
      </c>
      <c r="B49" t="str">
        <f>IF(Rel_2026[[#This Row],[Zero]]=0,"Zero",IF(Rel_2026[[#This Row],[Pontuação2]]&gt;=10,"Sim",IF(Rel_2026[[#This Row],[Pontuação2]]&gt;=5,"Próximo","Não")))</f>
        <v>Não</v>
      </c>
      <c r="C49" t="str">
        <f>IFERROR(VLOOKUP(Rel_2026[[#This Row],[chave_loja]],Responsavel!A:B,2,FALSE),"EUCLIDES")</f>
        <v>DARIO</v>
      </c>
      <c r="D49" t="str">
        <f>LEFT(Rel_2026[[#This Row],[ag_pacb]],4)</f>
        <v>0703</v>
      </c>
      <c r="E49">
        <v>416423</v>
      </c>
      <c r="F49" t="s">
        <v>684</v>
      </c>
      <c r="G49" t="s">
        <v>683</v>
      </c>
      <c r="H49" s="1">
        <v>45902</v>
      </c>
      <c r="I49" t="s">
        <v>23</v>
      </c>
      <c r="J49" t="s">
        <v>212</v>
      </c>
      <c r="K49" s="1">
        <v>45896</v>
      </c>
      <c r="L49" s="1">
        <v>45957</v>
      </c>
      <c r="M49" t="s">
        <v>25</v>
      </c>
      <c r="N49" s="1">
        <v>46254</v>
      </c>
      <c r="O49">
        <v>357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s">
        <v>26</v>
      </c>
      <c r="AI49" t="s">
        <v>27</v>
      </c>
      <c r="AJ49" s="1"/>
      <c r="AK49" t="s">
        <v>28</v>
      </c>
      <c r="AL4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9">
        <f>SUM(Rel_2026[[#This Row],[qtd_TrxContabil]:[VLR_EXP_SORTE]])</f>
        <v>357</v>
      </c>
      <c r="AN4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0" spans="1:40" x14ac:dyDescent="0.3">
      <c r="A50" t="str">
        <f>IF(Rel_2026[[#This Row],[Zero]]=0,"Zero",IF(Rel_2026[[#This Row],[Pontuação]]&gt;=10,"Sim",IF(Rel_2026[[#This Row],[Pontuação]]&gt;=5,"Próximo","Não")))</f>
        <v>Sim</v>
      </c>
      <c r="B50" t="str">
        <f>IF(Rel_2026[[#This Row],[Zero]]=0,"Zero",IF(Rel_2026[[#This Row],[Pontuação2]]&gt;=10,"Sim",IF(Rel_2026[[#This Row],[Pontuação2]]&gt;=5,"Próximo","Não")))</f>
        <v>Sim</v>
      </c>
      <c r="C50" t="str">
        <f>IFERROR(VLOOKUP(Rel_2026[[#This Row],[chave_loja]],Responsavel!A:B,2,FALSE),"EUCLIDES")</f>
        <v>ISMAEL</v>
      </c>
      <c r="D50" t="str">
        <f>LEFT(Rel_2026[[#This Row],[ag_pacb]],4)</f>
        <v>1302</v>
      </c>
      <c r="E50">
        <v>138153</v>
      </c>
      <c r="F50" t="s">
        <v>387</v>
      </c>
      <c r="G50" t="s">
        <v>388</v>
      </c>
      <c r="H50" s="1">
        <v>45125</v>
      </c>
      <c r="I50" t="s">
        <v>23</v>
      </c>
      <c r="J50" t="s">
        <v>121</v>
      </c>
      <c r="K50" s="1">
        <v>42138</v>
      </c>
      <c r="L50" s="1">
        <v>46183</v>
      </c>
      <c r="M50" t="s">
        <v>32</v>
      </c>
      <c r="N50" s="1">
        <v>46254</v>
      </c>
      <c r="O50">
        <v>631</v>
      </c>
      <c r="P50">
        <v>4</v>
      </c>
      <c r="Q50">
        <v>4</v>
      </c>
      <c r="R50">
        <v>4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4</v>
      </c>
      <c r="AG50">
        <v>0</v>
      </c>
      <c r="AH50" t="s">
        <v>38</v>
      </c>
      <c r="AI50" t="s">
        <v>27</v>
      </c>
      <c r="AJ50" s="1"/>
      <c r="AK50" t="s">
        <v>28</v>
      </c>
      <c r="AL5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28</v>
      </c>
      <c r="AM50">
        <f>SUM(Rel_2026[[#This Row],[qtd_TrxContabil]:[VLR_EXP_SORTE]])</f>
        <v>649</v>
      </c>
      <c r="AN5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40</v>
      </c>
    </row>
    <row r="51" spans="1:40" x14ac:dyDescent="0.3">
      <c r="A51" t="str">
        <f>IF(Rel_2026[[#This Row],[Zero]]=0,"Zero",IF(Rel_2026[[#This Row],[Pontuação]]&gt;=10,"Sim",IF(Rel_2026[[#This Row],[Pontuação]]&gt;=5,"Próximo","Não")))</f>
        <v>Não</v>
      </c>
      <c r="B51" t="str">
        <f>IF(Rel_2026[[#This Row],[Zero]]=0,"Zero",IF(Rel_2026[[#This Row],[Pontuação2]]&gt;=10,"Sim",IF(Rel_2026[[#This Row],[Pontuação2]]&gt;=5,"Próximo","Não")))</f>
        <v>Não</v>
      </c>
      <c r="C51" t="str">
        <f>IFERROR(VLOOKUP(Rel_2026[[#This Row],[chave_loja]],Responsavel!A:B,2,FALSE),"EUCLIDES")</f>
        <v>JUNIOR</v>
      </c>
      <c r="D51" t="str">
        <f>LEFT(Rel_2026[[#This Row],[ag_pacb]],4)</f>
        <v>5367</v>
      </c>
      <c r="E51">
        <v>410779</v>
      </c>
      <c r="F51" t="s">
        <v>345</v>
      </c>
      <c r="G51" t="s">
        <v>346</v>
      </c>
      <c r="H51" s="1">
        <v>45756</v>
      </c>
      <c r="I51" t="s">
        <v>23</v>
      </c>
      <c r="J51" t="s">
        <v>96</v>
      </c>
      <c r="K51" s="1">
        <v>45741</v>
      </c>
      <c r="L51" s="1">
        <v>45763</v>
      </c>
      <c r="M51" t="s">
        <v>32</v>
      </c>
      <c r="N51" s="1">
        <v>46254</v>
      </c>
      <c r="O51">
        <v>592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s">
        <v>26</v>
      </c>
      <c r="AI51" t="s">
        <v>27</v>
      </c>
      <c r="AJ51" s="1"/>
      <c r="AK51" t="s">
        <v>28</v>
      </c>
      <c r="AL5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1">
        <f>SUM(Rel_2026[[#This Row],[qtd_TrxContabil]:[VLR_EXP_SORTE]])</f>
        <v>592</v>
      </c>
      <c r="AN5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2" spans="1:40" x14ac:dyDescent="0.3">
      <c r="A52" t="str">
        <f>IF(Rel_2026[[#This Row],[Zero]]=0,"Zero",IF(Rel_2026[[#This Row],[Pontuação]]&gt;=10,"Sim",IF(Rel_2026[[#This Row],[Pontuação]]&gt;=5,"Próximo","Não")))</f>
        <v>Zero</v>
      </c>
      <c r="B52" t="str">
        <f>IF(Rel_2026[[#This Row],[Zero]]=0,"Zero",IF(Rel_2026[[#This Row],[Pontuação2]]&gt;=10,"Sim",IF(Rel_2026[[#This Row],[Pontuação2]]&gt;=5,"Próximo","Não")))</f>
        <v>Zero</v>
      </c>
      <c r="C52" t="str">
        <f>IFERROR(VLOOKUP(Rel_2026[[#This Row],[chave_loja]],Responsavel!A:B,2,FALSE),"EUCLIDES")</f>
        <v>CÉLIO</v>
      </c>
      <c r="D52" t="str">
        <f>LEFT(Rel_2026[[#This Row],[ag_pacb]],4)</f>
        <v>1579</v>
      </c>
      <c r="E52">
        <v>216070</v>
      </c>
      <c r="F52" t="s">
        <v>1009</v>
      </c>
      <c r="G52" t="s">
        <v>1010</v>
      </c>
      <c r="H52" s="1">
        <v>45139</v>
      </c>
      <c r="I52" t="s">
        <v>23</v>
      </c>
      <c r="J52" t="s">
        <v>801</v>
      </c>
      <c r="K52" s="1">
        <v>45306</v>
      </c>
      <c r="L52" s="1">
        <v>44321</v>
      </c>
      <c r="M52" t="s">
        <v>32</v>
      </c>
      <c r="N52" s="1">
        <v>46170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s">
        <v>26</v>
      </c>
      <c r="AI52" t="s">
        <v>27</v>
      </c>
      <c r="AJ52" s="1"/>
      <c r="AK52" t="s">
        <v>28</v>
      </c>
      <c r="AL5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2">
        <f>SUM(Rel_2026[[#This Row],[qtd_TrxContabil]:[VLR_EXP_SORTE]])</f>
        <v>0</v>
      </c>
      <c r="AN5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3" spans="1:40" x14ac:dyDescent="0.3">
      <c r="A53" t="str">
        <f>IF(Rel_2026[[#This Row],[Zero]]=0,"Zero",IF(Rel_2026[[#This Row],[Pontuação]]&gt;=10,"Sim",IF(Rel_2026[[#This Row],[Pontuação]]&gt;=5,"Próximo","Não")))</f>
        <v>Não</v>
      </c>
      <c r="B53" t="str">
        <f>IF(Rel_2026[[#This Row],[Zero]]=0,"Zero",IF(Rel_2026[[#This Row],[Pontuação2]]&gt;=10,"Sim",IF(Rel_2026[[#This Row],[Pontuação2]]&gt;=5,"Próximo","Não")))</f>
        <v>Não</v>
      </c>
      <c r="C53" t="str">
        <f>IFERROR(VLOOKUP(Rel_2026[[#This Row],[chave_loja]],Responsavel!A:B,2,FALSE),"EUCLIDES")</f>
        <v>JUNIOR</v>
      </c>
      <c r="D53" t="str">
        <f>LEFT(Rel_2026[[#This Row],[ag_pacb]],4)</f>
        <v>1351</v>
      </c>
      <c r="E53">
        <v>239067</v>
      </c>
      <c r="F53" t="s">
        <v>1024</v>
      </c>
      <c r="G53" t="s">
        <v>1025</v>
      </c>
      <c r="H53" s="1">
        <v>45093</v>
      </c>
      <c r="I53" t="s">
        <v>23</v>
      </c>
      <c r="J53" t="s">
        <v>993</v>
      </c>
      <c r="K53" s="1">
        <v>45120</v>
      </c>
      <c r="L53" s="1">
        <v>44894</v>
      </c>
      <c r="M53" t="s">
        <v>32</v>
      </c>
      <c r="N53" s="1">
        <v>46253</v>
      </c>
      <c r="O53">
        <v>151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s">
        <v>26</v>
      </c>
      <c r="AI53" t="s">
        <v>27</v>
      </c>
      <c r="AJ53" s="1"/>
      <c r="AK53" t="s">
        <v>28</v>
      </c>
      <c r="AL5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3">
        <f>SUM(Rel_2026[[#This Row],[qtd_TrxContabil]:[VLR_EXP_SORTE]])</f>
        <v>151</v>
      </c>
      <c r="AN5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4" spans="1:40" x14ac:dyDescent="0.3">
      <c r="A54" t="str">
        <f>IF(Rel_2026[[#This Row],[Zero]]=0,"Zero",IF(Rel_2026[[#This Row],[Pontuação]]&gt;=10,"Sim",IF(Rel_2026[[#This Row],[Pontuação]]&gt;=5,"Próximo","Não")))</f>
        <v>Zero</v>
      </c>
      <c r="B54" t="str">
        <f>IF(Rel_2026[[#This Row],[Zero]]=0,"Zero",IF(Rel_2026[[#This Row],[Pontuação2]]&gt;=10,"Sim",IF(Rel_2026[[#This Row],[Pontuação2]]&gt;=5,"Próximo","Não")))</f>
        <v>Zero</v>
      </c>
      <c r="C54" t="str">
        <f>IFERROR(VLOOKUP(Rel_2026[[#This Row],[chave_loja]],Responsavel!A:B,2,FALSE),"EUCLIDES")</f>
        <v>CÉLIO</v>
      </c>
      <c r="D54" t="str">
        <f>LEFT(Rel_2026[[#This Row],[ag_pacb]],4)</f>
        <v>0288</v>
      </c>
      <c r="E54">
        <v>419413</v>
      </c>
      <c r="F54" t="s">
        <v>754</v>
      </c>
      <c r="G54" t="s">
        <v>1277</v>
      </c>
      <c r="H54" s="1">
        <v>45973</v>
      </c>
      <c r="I54" t="s">
        <v>23</v>
      </c>
      <c r="J54" t="s">
        <v>24</v>
      </c>
      <c r="K54" s="1">
        <v>45965</v>
      </c>
      <c r="L54" s="1">
        <v>45982</v>
      </c>
      <c r="M54" t="s">
        <v>25</v>
      </c>
      <c r="N54" s="1">
        <v>46162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s">
        <v>26</v>
      </c>
      <c r="AI54" t="s">
        <v>27</v>
      </c>
      <c r="AJ54" s="1"/>
      <c r="AK54" t="s">
        <v>28</v>
      </c>
      <c r="AL5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4">
        <f>SUM(Rel_2026[[#This Row],[qtd_TrxContabil]:[VLR_EXP_SORTE]])</f>
        <v>0</v>
      </c>
      <c r="AN5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5" spans="1:40" x14ac:dyDescent="0.3">
      <c r="A55" t="str">
        <f>IF(Rel_2026[[#This Row],[Zero]]=0,"Zero",IF(Rel_2026[[#This Row],[Pontuação]]&gt;=10,"Sim",IF(Rel_2026[[#This Row],[Pontuação]]&gt;=5,"Próximo","Não")))</f>
        <v>Sim</v>
      </c>
      <c r="B55" t="str">
        <f>IF(Rel_2026[[#This Row],[Zero]]=0,"Zero",IF(Rel_2026[[#This Row],[Pontuação2]]&gt;=10,"Sim",IF(Rel_2026[[#This Row],[Pontuação2]]&gt;=5,"Próximo","Não")))</f>
        <v>Sim</v>
      </c>
      <c r="C55" t="str">
        <f>IFERROR(VLOOKUP(Rel_2026[[#This Row],[chave_loja]],Responsavel!A:B,2,FALSE),"EUCLIDES")</f>
        <v>IVAN</v>
      </c>
      <c r="D55" t="str">
        <f>LEFT(Rel_2026[[#This Row],[ag_pacb]],4)</f>
        <v>0765</v>
      </c>
      <c r="E55">
        <v>419957</v>
      </c>
      <c r="F55" t="s">
        <v>1069</v>
      </c>
      <c r="G55" t="s">
        <v>1070</v>
      </c>
      <c r="H55" s="1">
        <v>46007</v>
      </c>
      <c r="I55" t="s">
        <v>23</v>
      </c>
      <c r="J55" t="s">
        <v>1013</v>
      </c>
      <c r="K55" s="1">
        <v>45993</v>
      </c>
      <c r="L55" s="1">
        <v>46065</v>
      </c>
      <c r="M55" t="s">
        <v>25</v>
      </c>
      <c r="N55" s="1">
        <v>46253</v>
      </c>
      <c r="O55">
        <v>4</v>
      </c>
      <c r="P55">
        <v>3</v>
      </c>
      <c r="Q55">
        <v>3</v>
      </c>
      <c r="R55">
        <v>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</v>
      </c>
      <c r="AG55">
        <v>0</v>
      </c>
      <c r="AH55" t="s">
        <v>26</v>
      </c>
      <c r="AI55" t="s">
        <v>27</v>
      </c>
      <c r="AJ55" s="1"/>
      <c r="AK55" t="s">
        <v>28</v>
      </c>
      <c r="AL5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55">
        <f>SUM(Rel_2026[[#This Row],[qtd_TrxContabil]:[VLR_EXP_SORTE]])</f>
        <v>15</v>
      </c>
      <c r="AN5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</row>
    <row r="56" spans="1:40" x14ac:dyDescent="0.3">
      <c r="A56" t="str">
        <f>IF(Rel_2026[[#This Row],[Zero]]=0,"Zero",IF(Rel_2026[[#This Row],[Pontuação]]&gt;=10,"Sim",IF(Rel_2026[[#This Row],[Pontuação]]&gt;=5,"Próximo","Não")))</f>
        <v>Próximo</v>
      </c>
      <c r="B56" t="str">
        <f>IF(Rel_2026[[#This Row],[Zero]]=0,"Zero",IF(Rel_2026[[#This Row],[Pontuação2]]&gt;=10,"Sim",IF(Rel_2026[[#This Row],[Pontuação2]]&gt;=5,"Próximo","Não")))</f>
        <v>Próximo</v>
      </c>
      <c r="C56" t="str">
        <f>IFERROR(VLOOKUP(Rel_2026[[#This Row],[chave_loja]],Responsavel!A:B,2,FALSE),"EUCLIDES")</f>
        <v>WASTHSON</v>
      </c>
      <c r="D56" t="str">
        <f>LEFT(Rel_2026[[#This Row],[ag_pacb]],4)</f>
        <v>0458</v>
      </c>
      <c r="E56">
        <v>150973</v>
      </c>
      <c r="F56" t="s">
        <v>156</v>
      </c>
      <c r="G56" t="s">
        <v>366</v>
      </c>
      <c r="H56" s="1">
        <v>45205</v>
      </c>
      <c r="I56" t="s">
        <v>23</v>
      </c>
      <c r="J56" t="s">
        <v>48</v>
      </c>
      <c r="K56" s="1">
        <v>42888</v>
      </c>
      <c r="L56" s="1">
        <v>46238</v>
      </c>
      <c r="M56" t="s">
        <v>32</v>
      </c>
      <c r="N56" s="1">
        <v>46254</v>
      </c>
      <c r="O56">
        <v>167</v>
      </c>
      <c r="P56">
        <v>0</v>
      </c>
      <c r="Q56">
        <v>0</v>
      </c>
      <c r="R56">
        <v>0</v>
      </c>
      <c r="S56">
        <v>0</v>
      </c>
      <c r="T56">
        <v>600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 t="s">
        <v>26</v>
      </c>
      <c r="AI56" t="s">
        <v>27</v>
      </c>
      <c r="AJ56" s="1"/>
      <c r="AK56" t="s">
        <v>28</v>
      </c>
      <c r="AL5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56">
        <f>SUM(Rel_2026[[#This Row],[qtd_TrxContabil]:[VLR_EXP_SORTE]])</f>
        <v>768</v>
      </c>
      <c r="AN5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</row>
    <row r="57" spans="1:40" x14ac:dyDescent="0.3">
      <c r="A57" t="str">
        <f>IF(Rel_2026[[#This Row],[Zero]]=0,"Zero",IF(Rel_2026[[#This Row],[Pontuação]]&gt;=10,"Sim",IF(Rel_2026[[#This Row],[Pontuação]]&gt;=5,"Próximo","Não")))</f>
        <v>Sim</v>
      </c>
      <c r="B57" t="str">
        <f>IF(Rel_2026[[#This Row],[Zero]]=0,"Zero",IF(Rel_2026[[#This Row],[Pontuação2]]&gt;=10,"Sim",IF(Rel_2026[[#This Row],[Pontuação2]]&gt;=5,"Próximo","Não")))</f>
        <v>Sim</v>
      </c>
      <c r="C57" t="str">
        <f>IFERROR(VLOOKUP(Rel_2026[[#This Row],[chave_loja]],Responsavel!A:B,2,FALSE),"EUCLIDES")</f>
        <v>ISMAEL</v>
      </c>
      <c r="D57" t="str">
        <f>LEFT(Rel_2026[[#This Row],[ag_pacb]],4)</f>
        <v>0704</v>
      </c>
      <c r="E57">
        <v>244357</v>
      </c>
      <c r="F57" t="s">
        <v>233</v>
      </c>
      <c r="G57" t="s">
        <v>234</v>
      </c>
      <c r="H57" s="1">
        <v>44943</v>
      </c>
      <c r="I57" t="s">
        <v>23</v>
      </c>
      <c r="J57" t="s">
        <v>235</v>
      </c>
      <c r="K57" s="1">
        <v>45306</v>
      </c>
      <c r="L57" s="1">
        <v>44957</v>
      </c>
      <c r="M57" t="s">
        <v>25</v>
      </c>
      <c r="N57" s="1">
        <v>46254</v>
      </c>
      <c r="O57">
        <v>1626</v>
      </c>
      <c r="P57">
        <v>21</v>
      </c>
      <c r="Q57">
        <v>17</v>
      </c>
      <c r="R57">
        <v>20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3</v>
      </c>
      <c r="AG57">
        <v>0</v>
      </c>
      <c r="AH57" t="s">
        <v>38</v>
      </c>
      <c r="AI57" t="s">
        <v>27</v>
      </c>
      <c r="AJ57" s="1"/>
      <c r="AK57" t="s">
        <v>28</v>
      </c>
      <c r="AL5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131</v>
      </c>
      <c r="AM57">
        <f>SUM(Rel_2026[[#This Row],[qtd_TrxContabil]:[VLR_EXP_SORTE]])</f>
        <v>1688</v>
      </c>
      <c r="AN5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191</v>
      </c>
    </row>
    <row r="58" spans="1:40" x14ac:dyDescent="0.3">
      <c r="A58" t="str">
        <f>IF(Rel_2026[[#This Row],[Zero]]=0,"Zero",IF(Rel_2026[[#This Row],[Pontuação]]&gt;=10,"Sim",IF(Rel_2026[[#This Row],[Pontuação]]&gt;=5,"Próximo","Não")))</f>
        <v>Sim</v>
      </c>
      <c r="B58" t="str">
        <f>IF(Rel_2026[[#This Row],[Zero]]=0,"Zero",IF(Rel_2026[[#This Row],[Pontuação2]]&gt;=10,"Sim",IF(Rel_2026[[#This Row],[Pontuação2]]&gt;=5,"Próximo","Não")))</f>
        <v>Sim</v>
      </c>
      <c r="C58" t="str">
        <f>IFERROR(VLOOKUP(Rel_2026[[#This Row],[chave_loja]],Responsavel!A:B,2,FALSE),"EUCLIDES")</f>
        <v>IVAN</v>
      </c>
      <c r="D58" t="str">
        <f>LEFT(Rel_2026[[#This Row],[ag_pacb]],4)</f>
        <v>5304</v>
      </c>
      <c r="E58">
        <v>245908</v>
      </c>
      <c r="F58" t="s">
        <v>459</v>
      </c>
      <c r="G58" t="s">
        <v>460</v>
      </c>
      <c r="H58" s="1">
        <v>45185</v>
      </c>
      <c r="I58" t="s">
        <v>23</v>
      </c>
      <c r="J58" t="s">
        <v>57</v>
      </c>
      <c r="K58" s="1">
        <v>45306</v>
      </c>
      <c r="L58" s="1">
        <v>46058</v>
      </c>
      <c r="M58" t="s">
        <v>25</v>
      </c>
      <c r="N58" s="1">
        <v>46254</v>
      </c>
      <c r="O58">
        <v>1018</v>
      </c>
      <c r="P58">
        <v>11</v>
      </c>
      <c r="Q58">
        <v>9</v>
      </c>
      <c r="R58">
        <v>11</v>
      </c>
      <c r="S58">
        <v>0</v>
      </c>
      <c r="T58">
        <v>790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5</v>
      </c>
      <c r="AG58">
        <v>0</v>
      </c>
      <c r="AH58" t="s">
        <v>26</v>
      </c>
      <c r="AI58" t="s">
        <v>27</v>
      </c>
      <c r="AJ58" s="1"/>
      <c r="AK58" t="s">
        <v>28</v>
      </c>
      <c r="AL5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77</v>
      </c>
      <c r="AM58">
        <f>SUM(Rel_2026[[#This Row],[qtd_TrxContabil]:[VLR_EXP_SORTE]])</f>
        <v>1844</v>
      </c>
      <c r="AN5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110</v>
      </c>
    </row>
    <row r="59" spans="1:40" x14ac:dyDescent="0.3">
      <c r="A59" t="str">
        <f>IF(Rel_2026[[#This Row],[Zero]]=0,"Zero",IF(Rel_2026[[#This Row],[Pontuação]]&gt;=10,"Sim",IF(Rel_2026[[#This Row],[Pontuação]]&gt;=5,"Próximo","Não")))</f>
        <v>Próximo</v>
      </c>
      <c r="B59" t="str">
        <f>IF(Rel_2026[[#This Row],[Zero]]=0,"Zero",IF(Rel_2026[[#This Row],[Pontuação2]]&gt;=10,"Sim",IF(Rel_2026[[#This Row],[Pontuação2]]&gt;=5,"Próximo","Não")))</f>
        <v>Sim</v>
      </c>
      <c r="C59" t="str">
        <f>IFERROR(VLOOKUP(Rel_2026[[#This Row],[chave_loja]],Responsavel!A:B,2,FALSE),"EUCLIDES")</f>
        <v>GIL</v>
      </c>
      <c r="D59" t="str">
        <f>LEFT(Rel_2026[[#This Row],[ag_pacb]],4)</f>
        <v>0715</v>
      </c>
      <c r="E59">
        <v>412657</v>
      </c>
      <c r="F59" t="s">
        <v>1286</v>
      </c>
      <c r="G59" t="s">
        <v>267</v>
      </c>
      <c r="H59" s="1">
        <v>45797</v>
      </c>
      <c r="I59" t="s">
        <v>23</v>
      </c>
      <c r="J59" t="s">
        <v>141</v>
      </c>
      <c r="K59" s="1">
        <v>45792</v>
      </c>
      <c r="L59" s="1">
        <v>45267</v>
      </c>
      <c r="M59" t="s">
        <v>32</v>
      </c>
      <c r="N59" s="1">
        <v>46254</v>
      </c>
      <c r="O59">
        <v>147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  <c r="AH59" t="s">
        <v>26</v>
      </c>
      <c r="AI59" t="s">
        <v>27</v>
      </c>
      <c r="AJ59" s="1"/>
      <c r="AK59" t="s">
        <v>28</v>
      </c>
      <c r="AL5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59">
        <f>SUM(Rel_2026[[#This Row],[qtd_TrxContabil]:[VLR_EXP_SORTE]])</f>
        <v>153</v>
      </c>
      <c r="AN5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60" spans="1:40" x14ac:dyDescent="0.3">
      <c r="A60" t="str">
        <f>IF(Rel_2026[[#This Row],[Zero]]=0,"Zero",IF(Rel_2026[[#This Row],[Pontuação]]&gt;=10,"Sim",IF(Rel_2026[[#This Row],[Pontuação]]&gt;=5,"Próximo","Não")))</f>
        <v>Não</v>
      </c>
      <c r="B60" t="str">
        <f>IF(Rel_2026[[#This Row],[Zero]]=0,"Zero",IF(Rel_2026[[#This Row],[Pontuação2]]&gt;=10,"Sim",IF(Rel_2026[[#This Row],[Pontuação2]]&gt;=5,"Próximo","Não")))</f>
        <v>Não</v>
      </c>
      <c r="C60" t="str">
        <f>IFERROR(VLOOKUP(Rel_2026[[#This Row],[chave_loja]],Responsavel!A:B,2,FALSE),"EUCLIDES")</f>
        <v>ROSSY</v>
      </c>
      <c r="D60" t="str">
        <f>LEFT(Rel_2026[[#This Row],[ag_pacb]],4)</f>
        <v>0405</v>
      </c>
      <c r="E60">
        <v>423050</v>
      </c>
      <c r="F60" t="s">
        <v>1179</v>
      </c>
      <c r="G60" t="s">
        <v>1180</v>
      </c>
      <c r="H60" s="1">
        <v>46104</v>
      </c>
      <c r="I60" t="s">
        <v>107</v>
      </c>
      <c r="J60" t="s">
        <v>834</v>
      </c>
      <c r="K60" s="1">
        <v>46099</v>
      </c>
      <c r="L60" s="1">
        <v>46122</v>
      </c>
      <c r="M60" t="s">
        <v>109</v>
      </c>
      <c r="N60" s="1">
        <v>46254</v>
      </c>
      <c r="O60">
        <v>70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s">
        <v>38</v>
      </c>
      <c r="AI60" t="s">
        <v>27</v>
      </c>
      <c r="AJ60" s="1"/>
      <c r="AK60" t="s">
        <v>28</v>
      </c>
      <c r="AL6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60">
        <f>SUM(Rel_2026[[#This Row],[qtd_TrxContabil]:[VLR_EXP_SORTE]])</f>
        <v>70</v>
      </c>
      <c r="AN6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61" spans="1:40" x14ac:dyDescent="0.3">
      <c r="A61" t="str">
        <f>IF(Rel_2026[[#This Row],[Zero]]=0,"Zero",IF(Rel_2026[[#This Row],[Pontuação]]&gt;=10,"Sim",IF(Rel_2026[[#This Row],[Pontuação]]&gt;=5,"Próximo","Não")))</f>
        <v>Sim</v>
      </c>
      <c r="B61" t="str">
        <f>IF(Rel_2026[[#This Row],[Zero]]=0,"Zero",IF(Rel_2026[[#This Row],[Pontuação2]]&gt;=10,"Sim",IF(Rel_2026[[#This Row],[Pontuação2]]&gt;=5,"Próximo","Não")))</f>
        <v>Sim</v>
      </c>
      <c r="C61" t="str">
        <f>IFERROR(VLOOKUP(Rel_2026[[#This Row],[chave_loja]],Responsavel!A:B,2,FALSE),"EUCLIDES")</f>
        <v>ALEX SIQUEIRA</v>
      </c>
      <c r="D61" t="str">
        <f>LEFT(Rel_2026[[#This Row],[ag_pacb]],4)</f>
        <v>0726</v>
      </c>
      <c r="E61">
        <v>227270</v>
      </c>
      <c r="F61" t="s">
        <v>1163</v>
      </c>
      <c r="G61" t="s">
        <v>1170</v>
      </c>
      <c r="H61" s="1">
        <v>44525</v>
      </c>
      <c r="I61" t="s">
        <v>23</v>
      </c>
      <c r="J61" t="s">
        <v>217</v>
      </c>
      <c r="K61" s="1">
        <v>44532</v>
      </c>
      <c r="L61" s="1">
        <v>44540</v>
      </c>
      <c r="M61" t="s">
        <v>109</v>
      </c>
      <c r="N61" s="1">
        <v>46254</v>
      </c>
      <c r="O61">
        <v>1782</v>
      </c>
      <c r="P61">
        <v>3</v>
      </c>
      <c r="Q61">
        <v>3</v>
      </c>
      <c r="R61">
        <v>3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</v>
      </c>
      <c r="AC61">
        <v>0</v>
      </c>
      <c r="AD61">
        <v>0</v>
      </c>
      <c r="AE61">
        <v>0</v>
      </c>
      <c r="AF61">
        <v>3</v>
      </c>
      <c r="AG61">
        <v>0</v>
      </c>
      <c r="AH61" t="s">
        <v>38</v>
      </c>
      <c r="AI61" t="s">
        <v>27</v>
      </c>
      <c r="AJ61" s="1"/>
      <c r="AK61" t="s">
        <v>28</v>
      </c>
      <c r="AL6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61">
        <f>SUM(Rel_2026[[#This Row],[qtd_TrxContabil]:[VLR_EXP_SORTE]])</f>
        <v>1798</v>
      </c>
      <c r="AN6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</row>
    <row r="62" spans="1:40" x14ac:dyDescent="0.3">
      <c r="A62" t="str">
        <f>IF(Rel_2026[[#This Row],[Zero]]=0,"Zero",IF(Rel_2026[[#This Row],[Pontuação]]&gt;=10,"Sim",IF(Rel_2026[[#This Row],[Pontuação]]&gt;=5,"Próximo","Não")))</f>
        <v>Não</v>
      </c>
      <c r="B62" t="str">
        <f>IF(Rel_2026[[#This Row],[Zero]]=0,"Zero",IF(Rel_2026[[#This Row],[Pontuação2]]&gt;=10,"Sim",IF(Rel_2026[[#This Row],[Pontuação2]]&gt;=5,"Próximo","Não")))</f>
        <v>Não</v>
      </c>
      <c r="C62" t="str">
        <f>IFERROR(VLOOKUP(Rel_2026[[#This Row],[chave_loja]],Responsavel!A:B,2,FALSE),"EUCLIDES")</f>
        <v>NYCOLLAS</v>
      </c>
      <c r="D62" t="str">
        <f>LEFT(Rel_2026[[#This Row],[ag_pacb]],4)</f>
        <v>5446</v>
      </c>
      <c r="E62">
        <v>400206</v>
      </c>
      <c r="F62" t="s">
        <v>492</v>
      </c>
      <c r="G62" t="s">
        <v>493</v>
      </c>
      <c r="H62" s="1">
        <v>45293</v>
      </c>
      <c r="I62" t="s">
        <v>23</v>
      </c>
      <c r="J62" t="s">
        <v>97</v>
      </c>
      <c r="K62" s="1">
        <v>45306</v>
      </c>
      <c r="L62" s="1">
        <v>46080</v>
      </c>
      <c r="M62" t="s">
        <v>32</v>
      </c>
      <c r="N62" s="1">
        <v>46254</v>
      </c>
      <c r="O62">
        <v>287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s">
        <v>38</v>
      </c>
      <c r="AI62" t="s">
        <v>27</v>
      </c>
      <c r="AJ62" s="1"/>
      <c r="AK62" t="s">
        <v>28</v>
      </c>
      <c r="AL6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62">
        <f>SUM(Rel_2026[[#This Row],[qtd_TrxContabil]:[VLR_EXP_SORTE]])</f>
        <v>287</v>
      </c>
      <c r="AN6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63" spans="1:40" x14ac:dyDescent="0.3">
      <c r="A63" t="str">
        <f>IF(Rel_2026[[#This Row],[Zero]]=0,"Zero",IF(Rel_2026[[#This Row],[Pontuação]]&gt;=10,"Sim",IF(Rel_2026[[#This Row],[Pontuação]]&gt;=5,"Próximo","Não")))</f>
        <v>Próximo</v>
      </c>
      <c r="B63" t="str">
        <f>IF(Rel_2026[[#This Row],[Zero]]=0,"Zero",IF(Rel_2026[[#This Row],[Pontuação2]]&gt;=10,"Sim",IF(Rel_2026[[#This Row],[Pontuação2]]&gt;=5,"Próximo","Não")))</f>
        <v>Sim</v>
      </c>
      <c r="C63" t="str">
        <f>IFERROR(VLOOKUP(Rel_2026[[#This Row],[chave_loja]],Responsavel!A:B,2,FALSE),"EUCLIDES")</f>
        <v>JUNIOR</v>
      </c>
      <c r="D63" t="str">
        <f>LEFT(Rel_2026[[#This Row],[ag_pacb]],4)</f>
        <v>0684</v>
      </c>
      <c r="E63">
        <v>403265</v>
      </c>
      <c r="F63" t="s">
        <v>35</v>
      </c>
      <c r="G63" t="s">
        <v>36</v>
      </c>
      <c r="H63" s="1">
        <v>45441</v>
      </c>
      <c r="I63" t="s">
        <v>23</v>
      </c>
      <c r="J63" t="s">
        <v>37</v>
      </c>
      <c r="K63" s="1">
        <v>45433</v>
      </c>
      <c r="L63" s="1">
        <v>45455</v>
      </c>
      <c r="M63" t="s">
        <v>32</v>
      </c>
      <c r="N63" s="1">
        <v>46254</v>
      </c>
      <c r="O63">
        <v>838</v>
      </c>
      <c r="P63">
        <v>1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s">
        <v>38</v>
      </c>
      <c r="AI63" t="s">
        <v>27</v>
      </c>
      <c r="AJ63" s="1"/>
      <c r="AK63" t="s">
        <v>28</v>
      </c>
      <c r="AL6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63">
        <f>SUM(Rel_2026[[#This Row],[qtd_TrxContabil]:[VLR_EXP_SORTE]])</f>
        <v>841</v>
      </c>
      <c r="AN6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64" spans="1:40" x14ac:dyDescent="0.3">
      <c r="A64" t="str">
        <f>IF(Rel_2026[[#This Row],[Zero]]=0,"Zero",IF(Rel_2026[[#This Row],[Pontuação]]&gt;=10,"Sim",IF(Rel_2026[[#This Row],[Pontuação]]&gt;=5,"Próximo","Não")))</f>
        <v>Sim</v>
      </c>
      <c r="B64" t="str">
        <f>IF(Rel_2026[[#This Row],[Zero]]=0,"Zero",IF(Rel_2026[[#This Row],[Pontuação2]]&gt;=10,"Sim",IF(Rel_2026[[#This Row],[Pontuação2]]&gt;=5,"Próximo","Não")))</f>
        <v>Sim</v>
      </c>
      <c r="C64" t="str">
        <f>IFERROR(VLOOKUP(Rel_2026[[#This Row],[chave_loja]],Responsavel!A:B,2,FALSE),"EUCLIDES")</f>
        <v>GIL</v>
      </c>
      <c r="D64" t="str">
        <f>LEFT(Rel_2026[[#This Row],[ag_pacb]],4)</f>
        <v>5387</v>
      </c>
      <c r="E64">
        <v>116914</v>
      </c>
      <c r="F64" t="s">
        <v>326</v>
      </c>
      <c r="G64" t="s">
        <v>327</v>
      </c>
      <c r="H64" s="1">
        <v>44184</v>
      </c>
      <c r="I64" t="s">
        <v>23</v>
      </c>
      <c r="J64" t="s">
        <v>130</v>
      </c>
      <c r="K64" s="1">
        <v>42137</v>
      </c>
      <c r="L64" s="1">
        <v>46100</v>
      </c>
      <c r="M64" t="s">
        <v>32</v>
      </c>
      <c r="N64" s="1">
        <v>46254</v>
      </c>
      <c r="O64">
        <v>2520</v>
      </c>
      <c r="P64">
        <v>10</v>
      </c>
      <c r="Q64">
        <v>6</v>
      </c>
      <c r="R64">
        <v>10</v>
      </c>
      <c r="S64">
        <v>2</v>
      </c>
      <c r="T64">
        <v>7551</v>
      </c>
      <c r="U64">
        <v>57882</v>
      </c>
      <c r="V64">
        <v>57882</v>
      </c>
      <c r="W64">
        <v>0</v>
      </c>
      <c r="X64">
        <v>0</v>
      </c>
      <c r="Y64">
        <v>6521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11</v>
      </c>
      <c r="AG64">
        <v>0</v>
      </c>
      <c r="AH64" t="s">
        <v>38</v>
      </c>
      <c r="AI64" t="s">
        <v>27</v>
      </c>
      <c r="AJ64" s="1"/>
      <c r="AK64" t="s">
        <v>28</v>
      </c>
      <c r="AL6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201</v>
      </c>
      <c r="AM64">
        <f>SUM(Rel_2026[[#This Row],[qtd_TrxContabil]:[VLR_EXP_SORTE]])</f>
        <v>132396</v>
      </c>
      <c r="AN6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231</v>
      </c>
    </row>
    <row r="65" spans="1:40" x14ac:dyDescent="0.3">
      <c r="A65" t="str">
        <f>IF(Rel_2026[[#This Row],[Zero]]=0,"Zero",IF(Rel_2026[[#This Row],[Pontuação]]&gt;=10,"Sim",IF(Rel_2026[[#This Row],[Pontuação]]&gt;=5,"Próximo","Não")))</f>
        <v>Não</v>
      </c>
      <c r="B65" t="str">
        <f>IF(Rel_2026[[#This Row],[Zero]]=0,"Zero",IF(Rel_2026[[#This Row],[Pontuação2]]&gt;=10,"Sim",IF(Rel_2026[[#This Row],[Pontuação2]]&gt;=5,"Próximo","Não")))</f>
        <v>Não</v>
      </c>
      <c r="C65" t="str">
        <f>IFERROR(VLOOKUP(Rel_2026[[#This Row],[chave_loja]],Responsavel!A:B,2,FALSE),"EUCLIDES")</f>
        <v>JUNIOR</v>
      </c>
      <c r="D65" t="str">
        <f>LEFT(Rel_2026[[#This Row],[ag_pacb]],4)</f>
        <v>1351</v>
      </c>
      <c r="E65">
        <v>150713</v>
      </c>
      <c r="F65" t="s">
        <v>880</v>
      </c>
      <c r="G65" t="s">
        <v>881</v>
      </c>
      <c r="H65" s="1">
        <v>44186</v>
      </c>
      <c r="I65" t="s">
        <v>23</v>
      </c>
      <c r="J65" t="s">
        <v>239</v>
      </c>
      <c r="K65" s="1">
        <v>44096</v>
      </c>
      <c r="L65" s="1">
        <v>45852</v>
      </c>
      <c r="M65" t="s">
        <v>32</v>
      </c>
      <c r="N65" s="1">
        <v>46254</v>
      </c>
      <c r="O65">
        <v>211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s">
        <v>26</v>
      </c>
      <c r="AI65" t="s">
        <v>27</v>
      </c>
      <c r="AJ65" s="1"/>
      <c r="AK65" t="s">
        <v>28</v>
      </c>
      <c r="AL6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65">
        <f>SUM(Rel_2026[[#This Row],[qtd_TrxContabil]:[VLR_EXP_SORTE]])</f>
        <v>211</v>
      </c>
      <c r="AN6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66" spans="1:40" x14ac:dyDescent="0.3">
      <c r="A66" t="str">
        <f>IF(Rel_2026[[#This Row],[Zero]]=0,"Zero",IF(Rel_2026[[#This Row],[Pontuação]]&gt;=10,"Sim",IF(Rel_2026[[#This Row],[Pontuação]]&gt;=5,"Próximo","Não")))</f>
        <v>Não</v>
      </c>
      <c r="B66" t="str">
        <f>IF(Rel_2026[[#This Row],[Zero]]=0,"Zero",IF(Rel_2026[[#This Row],[Pontuação2]]&gt;=10,"Sim",IF(Rel_2026[[#This Row],[Pontuação2]]&gt;=5,"Próximo","Não")))</f>
        <v>Não</v>
      </c>
      <c r="C66" t="str">
        <f>IFERROR(VLOOKUP(Rel_2026[[#This Row],[chave_loja]],Responsavel!A:B,2,FALSE),"EUCLIDES")</f>
        <v>GIL</v>
      </c>
      <c r="D66" t="str">
        <f>LEFT(Rel_2026[[#This Row],[ag_pacb]],4)</f>
        <v>5387</v>
      </c>
      <c r="E66">
        <v>177638</v>
      </c>
      <c r="F66" t="s">
        <v>181</v>
      </c>
      <c r="G66" t="s">
        <v>182</v>
      </c>
      <c r="H66" s="1">
        <v>46153</v>
      </c>
      <c r="I66" t="s">
        <v>23</v>
      </c>
      <c r="J66" t="s">
        <v>74</v>
      </c>
      <c r="K66" s="1">
        <v>43637</v>
      </c>
      <c r="L66" s="1">
        <v>45477</v>
      </c>
      <c r="M66" t="s">
        <v>32</v>
      </c>
      <c r="N66" s="1">
        <v>46254</v>
      </c>
      <c r="O66">
        <v>328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s">
        <v>38</v>
      </c>
      <c r="AI66" t="s">
        <v>27</v>
      </c>
      <c r="AJ66" s="1"/>
      <c r="AK66" t="s">
        <v>28</v>
      </c>
      <c r="AL6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66">
        <f>SUM(Rel_2026[[#This Row],[qtd_TrxContabil]:[VLR_EXP_SORTE]])</f>
        <v>328</v>
      </c>
      <c r="AN6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67" spans="1:40" x14ac:dyDescent="0.3">
      <c r="A67" t="str">
        <f>IF(Rel_2026[[#This Row],[Zero]]=0,"Zero",IF(Rel_2026[[#This Row],[Pontuação]]&gt;=10,"Sim",IF(Rel_2026[[#This Row],[Pontuação]]&gt;=5,"Próximo","Não")))</f>
        <v>Sim</v>
      </c>
      <c r="B67" t="str">
        <f>IF(Rel_2026[[#This Row],[Zero]]=0,"Zero",IF(Rel_2026[[#This Row],[Pontuação2]]&gt;=10,"Sim",IF(Rel_2026[[#This Row],[Pontuação2]]&gt;=5,"Próximo","Não")))</f>
        <v>Sim</v>
      </c>
      <c r="C67" t="str">
        <f>IFERROR(VLOOKUP(Rel_2026[[#This Row],[chave_loja]],Responsavel!A:B,2,FALSE),"EUCLIDES")</f>
        <v>ROSSY</v>
      </c>
      <c r="D67" t="str">
        <f>LEFT(Rel_2026[[#This Row],[ag_pacb]],4)</f>
        <v>5792</v>
      </c>
      <c r="E67">
        <v>87946</v>
      </c>
      <c r="F67" t="s">
        <v>851</v>
      </c>
      <c r="G67" t="s">
        <v>852</v>
      </c>
      <c r="H67" s="1">
        <v>44415</v>
      </c>
      <c r="I67" t="s">
        <v>107</v>
      </c>
      <c r="J67" t="s">
        <v>816</v>
      </c>
      <c r="K67" s="1">
        <v>42233</v>
      </c>
      <c r="L67" s="1">
        <v>46093</v>
      </c>
      <c r="M67" t="s">
        <v>109</v>
      </c>
      <c r="N67" s="1">
        <v>46254</v>
      </c>
      <c r="O67">
        <v>500</v>
      </c>
      <c r="P67">
        <v>4</v>
      </c>
      <c r="Q67">
        <v>4</v>
      </c>
      <c r="R67">
        <v>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3</v>
      </c>
      <c r="AG67">
        <v>0</v>
      </c>
      <c r="AH67" t="s">
        <v>38</v>
      </c>
      <c r="AI67" t="s">
        <v>27</v>
      </c>
      <c r="AJ67" s="1"/>
      <c r="AK67" t="s">
        <v>28</v>
      </c>
      <c r="AL6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28</v>
      </c>
      <c r="AM67">
        <f>SUM(Rel_2026[[#This Row],[qtd_TrxContabil]:[VLR_EXP_SORTE]])</f>
        <v>515</v>
      </c>
      <c r="AN6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40</v>
      </c>
    </row>
    <row r="68" spans="1:40" x14ac:dyDescent="0.3">
      <c r="A68" t="str">
        <f>IF(Rel_2026[[#This Row],[Zero]]=0,"Zero",IF(Rel_2026[[#This Row],[Pontuação]]&gt;=10,"Sim",IF(Rel_2026[[#This Row],[Pontuação]]&gt;=5,"Próximo","Não")))</f>
        <v>Não</v>
      </c>
      <c r="B68" t="str">
        <f>IF(Rel_2026[[#This Row],[Zero]]=0,"Zero",IF(Rel_2026[[#This Row],[Pontuação2]]&gt;=10,"Sim",IF(Rel_2026[[#This Row],[Pontuação2]]&gt;=5,"Próximo","Não")))</f>
        <v>Não</v>
      </c>
      <c r="C68" t="str">
        <f>IFERROR(VLOOKUP(Rel_2026[[#This Row],[chave_loja]],Responsavel!A:B,2,FALSE),"EUCLIDES")</f>
        <v>IVAN</v>
      </c>
      <c r="D68" t="str">
        <f>LEFT(Rel_2026[[#This Row],[ag_pacb]],4)</f>
        <v>5366</v>
      </c>
      <c r="E68">
        <v>165586</v>
      </c>
      <c r="F68" t="s">
        <v>474</v>
      </c>
      <c r="G68" t="s">
        <v>475</v>
      </c>
      <c r="H68" s="1">
        <v>45126</v>
      </c>
      <c r="I68" t="s">
        <v>23</v>
      </c>
      <c r="J68" t="s">
        <v>140</v>
      </c>
      <c r="K68" s="1">
        <v>43263</v>
      </c>
      <c r="L68" s="1">
        <v>45138</v>
      </c>
      <c r="M68" t="s">
        <v>25</v>
      </c>
      <c r="N68" s="1">
        <v>46254</v>
      </c>
      <c r="O68">
        <v>1557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s">
        <v>38</v>
      </c>
      <c r="AI68" t="s">
        <v>27</v>
      </c>
      <c r="AJ68" s="1"/>
      <c r="AK68" t="s">
        <v>28</v>
      </c>
      <c r="AL6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68">
        <f>SUM(Rel_2026[[#This Row],[qtd_TrxContabil]:[VLR_EXP_SORTE]])</f>
        <v>1557</v>
      </c>
      <c r="AN6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69" spans="1:40" x14ac:dyDescent="0.3">
      <c r="A69" t="str">
        <f>IF(Rel_2026[[#This Row],[Zero]]=0,"Zero",IF(Rel_2026[[#This Row],[Pontuação]]&gt;=10,"Sim",IF(Rel_2026[[#This Row],[Pontuação]]&gt;=5,"Próximo","Não")))</f>
        <v>Não</v>
      </c>
      <c r="B69" t="str">
        <f>IF(Rel_2026[[#This Row],[Zero]]=0,"Zero",IF(Rel_2026[[#This Row],[Pontuação2]]&gt;=10,"Sim",IF(Rel_2026[[#This Row],[Pontuação2]]&gt;=5,"Próximo","Não")))</f>
        <v>Não</v>
      </c>
      <c r="C69" t="str">
        <f>IFERROR(VLOOKUP(Rel_2026[[#This Row],[chave_loja]],Responsavel!A:B,2,FALSE),"EUCLIDES")</f>
        <v>GIL</v>
      </c>
      <c r="D69" t="str">
        <f>LEFT(Rel_2026[[#This Row],[ag_pacb]],4)</f>
        <v>5387</v>
      </c>
      <c r="E69">
        <v>420344</v>
      </c>
      <c r="F69" t="s">
        <v>791</v>
      </c>
      <c r="G69" t="s">
        <v>792</v>
      </c>
      <c r="H69" s="1">
        <v>46020</v>
      </c>
      <c r="I69" t="s">
        <v>23</v>
      </c>
      <c r="J69" t="s">
        <v>74</v>
      </c>
      <c r="K69" s="1">
        <v>46014</v>
      </c>
      <c r="L69" s="1">
        <v>46050</v>
      </c>
      <c r="M69" t="s">
        <v>32</v>
      </c>
      <c r="N69" s="1">
        <v>46253</v>
      </c>
      <c r="O69">
        <v>62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s">
        <v>26</v>
      </c>
      <c r="AI69" t="s">
        <v>27</v>
      </c>
      <c r="AJ69" s="1"/>
      <c r="AK69" t="s">
        <v>28</v>
      </c>
      <c r="AL6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69">
        <f>SUM(Rel_2026[[#This Row],[qtd_TrxContabil]:[VLR_EXP_SORTE]])</f>
        <v>62</v>
      </c>
      <c r="AN6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70" spans="1:40" x14ac:dyDescent="0.3">
      <c r="A70" t="str">
        <f>IF(Rel_2026[[#This Row],[Zero]]=0,"Zero",IF(Rel_2026[[#This Row],[Pontuação]]&gt;=10,"Sim",IF(Rel_2026[[#This Row],[Pontuação]]&gt;=5,"Próximo","Não")))</f>
        <v>Sim</v>
      </c>
      <c r="B70" t="str">
        <f>IF(Rel_2026[[#This Row],[Zero]]=0,"Zero",IF(Rel_2026[[#This Row],[Pontuação2]]&gt;=10,"Sim",IF(Rel_2026[[#This Row],[Pontuação2]]&gt;=5,"Próximo","Não")))</f>
        <v>Sim</v>
      </c>
      <c r="C70" t="str">
        <f>IFERROR(VLOOKUP(Rel_2026[[#This Row],[chave_loja]],Responsavel!A:B,2,FALSE),"EUCLIDES")</f>
        <v>JUNIOR</v>
      </c>
      <c r="D70" t="str">
        <f>LEFT(Rel_2026[[#This Row],[ag_pacb]],4)</f>
        <v>5367</v>
      </c>
      <c r="E70">
        <v>74538</v>
      </c>
      <c r="F70" t="s">
        <v>1398</v>
      </c>
      <c r="G70" t="s">
        <v>1399</v>
      </c>
      <c r="H70" s="1">
        <v>44246</v>
      </c>
      <c r="I70" t="s">
        <v>23</v>
      </c>
      <c r="J70" t="s">
        <v>425</v>
      </c>
      <c r="K70" s="1">
        <v>42213</v>
      </c>
      <c r="L70" s="1">
        <v>45600</v>
      </c>
      <c r="M70" t="s">
        <v>32</v>
      </c>
      <c r="N70" s="1">
        <v>46254</v>
      </c>
      <c r="O70">
        <v>1056</v>
      </c>
      <c r="P70">
        <v>6</v>
      </c>
      <c r="Q70">
        <v>3</v>
      </c>
      <c r="R70">
        <v>2</v>
      </c>
      <c r="S70">
        <v>0</v>
      </c>
      <c r="T70">
        <v>2430</v>
      </c>
      <c r="U70">
        <v>33869</v>
      </c>
      <c r="V70">
        <v>27599</v>
      </c>
      <c r="W70">
        <v>6270</v>
      </c>
      <c r="X70">
        <v>0</v>
      </c>
      <c r="Y70">
        <v>0</v>
      </c>
      <c r="Z70">
        <v>0</v>
      </c>
      <c r="AA70">
        <v>8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1</v>
      </c>
      <c r="AH70" t="s">
        <v>38</v>
      </c>
      <c r="AI70" t="s">
        <v>27</v>
      </c>
      <c r="AJ70" s="1"/>
      <c r="AK70" t="s">
        <v>28</v>
      </c>
      <c r="AL7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96</v>
      </c>
      <c r="AM70">
        <f>SUM(Rel_2026[[#This Row],[qtd_TrxContabil]:[VLR_EXP_SORTE]])</f>
        <v>71245</v>
      </c>
      <c r="AN7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102</v>
      </c>
    </row>
    <row r="71" spans="1:40" x14ac:dyDescent="0.3">
      <c r="A71" t="str">
        <f>IF(Rel_2026[[#This Row],[Zero]]=0,"Zero",IF(Rel_2026[[#This Row],[Pontuação]]&gt;=10,"Sim",IF(Rel_2026[[#This Row],[Pontuação]]&gt;=5,"Próximo","Não")))</f>
        <v>Não</v>
      </c>
      <c r="B71" t="str">
        <f>IF(Rel_2026[[#This Row],[Zero]]=0,"Zero",IF(Rel_2026[[#This Row],[Pontuação2]]&gt;=10,"Sim",IF(Rel_2026[[#This Row],[Pontuação2]]&gt;=5,"Próximo","Não")))</f>
        <v>Não</v>
      </c>
      <c r="C71" t="str">
        <f>IFERROR(VLOOKUP(Rel_2026[[#This Row],[chave_loja]],Responsavel!A:B,2,FALSE),"EUCLIDES")</f>
        <v>JUNIOR</v>
      </c>
      <c r="D71" t="str">
        <f>LEFT(Rel_2026[[#This Row],[ag_pacb]],4)</f>
        <v>5367</v>
      </c>
      <c r="E71">
        <v>173499</v>
      </c>
      <c r="F71" t="s">
        <v>510</v>
      </c>
      <c r="G71" t="s">
        <v>511</v>
      </c>
      <c r="H71" s="1">
        <v>44456</v>
      </c>
      <c r="I71" t="s">
        <v>23</v>
      </c>
      <c r="J71" t="s">
        <v>58</v>
      </c>
      <c r="K71" s="1">
        <v>43560</v>
      </c>
      <c r="L71" s="1">
        <v>45322</v>
      </c>
      <c r="M71" t="s">
        <v>32</v>
      </c>
      <c r="N71" s="1">
        <v>46254</v>
      </c>
      <c r="O71">
        <v>570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s">
        <v>38</v>
      </c>
      <c r="AI71" t="s">
        <v>27</v>
      </c>
      <c r="AJ71" s="1"/>
      <c r="AK71" t="s">
        <v>28</v>
      </c>
      <c r="AL7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71">
        <f>SUM(Rel_2026[[#This Row],[qtd_TrxContabil]:[VLR_EXP_SORTE]])</f>
        <v>570</v>
      </c>
      <c r="AN7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72" spans="1:40" x14ac:dyDescent="0.3">
      <c r="A72" t="str">
        <f>IF(Rel_2026[[#This Row],[Zero]]=0,"Zero",IF(Rel_2026[[#This Row],[Pontuação]]&gt;=10,"Sim",IF(Rel_2026[[#This Row],[Pontuação]]&gt;=5,"Próximo","Não")))</f>
        <v>Sim</v>
      </c>
      <c r="B72" t="str">
        <f>IF(Rel_2026[[#This Row],[Zero]]=0,"Zero",IF(Rel_2026[[#This Row],[Pontuação2]]&gt;=10,"Sim",IF(Rel_2026[[#This Row],[Pontuação2]]&gt;=5,"Próximo","Não")))</f>
        <v>Sim</v>
      </c>
      <c r="C72" t="str">
        <f>IFERROR(VLOOKUP(Rel_2026[[#This Row],[chave_loja]],Responsavel!A:B,2,FALSE),"EUCLIDES")</f>
        <v>NYCOLLAS</v>
      </c>
      <c r="D72" t="str">
        <f>LEFT(Rel_2026[[#This Row],[ag_pacb]],4)</f>
        <v>5446</v>
      </c>
      <c r="E72">
        <v>416400</v>
      </c>
      <c r="F72" t="s">
        <v>694</v>
      </c>
      <c r="G72" t="s">
        <v>693</v>
      </c>
      <c r="H72" s="1">
        <v>45905</v>
      </c>
      <c r="I72" t="s">
        <v>23</v>
      </c>
      <c r="J72" t="s">
        <v>97</v>
      </c>
      <c r="K72" s="1">
        <v>45896</v>
      </c>
      <c r="L72" s="1">
        <v>45946</v>
      </c>
      <c r="M72" t="s">
        <v>32</v>
      </c>
      <c r="N72" s="1">
        <v>46254</v>
      </c>
      <c r="O72">
        <v>80</v>
      </c>
      <c r="P72">
        <v>0</v>
      </c>
      <c r="Q72">
        <v>0</v>
      </c>
      <c r="R72">
        <v>0</v>
      </c>
      <c r="S72">
        <v>0</v>
      </c>
      <c r="T72">
        <v>500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s">
        <v>26</v>
      </c>
      <c r="AI72" t="s">
        <v>27</v>
      </c>
      <c r="AJ72" s="1"/>
      <c r="AK72" t="s">
        <v>28</v>
      </c>
      <c r="AL7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72">
        <f>SUM(Rel_2026[[#This Row],[qtd_TrxContabil]:[VLR_EXP_SORTE]])</f>
        <v>585</v>
      </c>
      <c r="AN7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73" spans="1:40" x14ac:dyDescent="0.3">
      <c r="A73" t="str">
        <f>IF(Rel_2026[[#This Row],[Zero]]=0,"Zero",IF(Rel_2026[[#This Row],[Pontuação]]&gt;=10,"Sim",IF(Rel_2026[[#This Row],[Pontuação]]&gt;=5,"Próximo","Não")))</f>
        <v>Sim</v>
      </c>
      <c r="B73" t="str">
        <f>IF(Rel_2026[[#This Row],[Zero]]=0,"Zero",IF(Rel_2026[[#This Row],[Pontuação2]]&gt;=10,"Sim",IF(Rel_2026[[#This Row],[Pontuação2]]&gt;=5,"Próximo","Não")))</f>
        <v>Sim</v>
      </c>
      <c r="C73" t="str">
        <f>IFERROR(VLOOKUP(Rel_2026[[#This Row],[chave_loja]],Responsavel!A:B,2,FALSE),"EUCLIDES")</f>
        <v>ALEX SIQUEIRA</v>
      </c>
      <c r="D73" t="str">
        <f>LEFT(Rel_2026[[#This Row],[ag_pacb]],4)</f>
        <v>0752</v>
      </c>
      <c r="E73">
        <v>45775</v>
      </c>
      <c r="F73" t="s">
        <v>154</v>
      </c>
      <c r="G73" t="s">
        <v>155</v>
      </c>
      <c r="H73" s="1">
        <v>44657</v>
      </c>
      <c r="I73" t="s">
        <v>23</v>
      </c>
      <c r="J73" t="s">
        <v>117</v>
      </c>
      <c r="K73" s="1">
        <v>44438</v>
      </c>
      <c r="L73" s="1">
        <v>46252</v>
      </c>
      <c r="M73" t="s">
        <v>109</v>
      </c>
      <c r="N73" s="1">
        <v>46254</v>
      </c>
      <c r="O73">
        <v>485</v>
      </c>
      <c r="P73">
        <v>4</v>
      </c>
      <c r="Q73">
        <v>0</v>
      </c>
      <c r="R73">
        <v>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s">
        <v>26</v>
      </c>
      <c r="AI73" t="s">
        <v>27</v>
      </c>
      <c r="AJ73" s="1"/>
      <c r="AK73" t="s">
        <v>28</v>
      </c>
      <c r="AL7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  <c r="AM73">
        <f>SUM(Rel_2026[[#This Row],[qtd_TrxContabil]:[VLR_EXP_SORTE]])</f>
        <v>492</v>
      </c>
      <c r="AN7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</row>
    <row r="74" spans="1:40" x14ac:dyDescent="0.3">
      <c r="A74" t="str">
        <f>IF(Rel_2026[[#This Row],[Zero]]=0,"Zero",IF(Rel_2026[[#This Row],[Pontuação]]&gt;=10,"Sim",IF(Rel_2026[[#This Row],[Pontuação]]&gt;=5,"Próximo","Não")))</f>
        <v>Zero</v>
      </c>
      <c r="B74" t="str">
        <f>IF(Rel_2026[[#This Row],[Zero]]=0,"Zero",IF(Rel_2026[[#This Row],[Pontuação2]]&gt;=10,"Sim",IF(Rel_2026[[#This Row],[Pontuação2]]&gt;=5,"Próximo","Não")))</f>
        <v>Zero</v>
      </c>
      <c r="C74" t="str">
        <f>IFERROR(VLOOKUP(Rel_2026[[#This Row],[chave_loja]],Responsavel!A:B,2,FALSE),"EUCLIDES")</f>
        <v>NYCOLLAS</v>
      </c>
      <c r="D74" t="str">
        <f>LEFT(Rel_2026[[#This Row],[ag_pacb]],4)</f>
        <v>5446</v>
      </c>
      <c r="E74">
        <v>422526</v>
      </c>
      <c r="F74" t="s">
        <v>1162</v>
      </c>
      <c r="G74" t="s">
        <v>1232</v>
      </c>
      <c r="H74" s="1">
        <v>46098</v>
      </c>
      <c r="I74" t="s">
        <v>23</v>
      </c>
      <c r="J74" t="s">
        <v>238</v>
      </c>
      <c r="K74" s="1">
        <v>46072</v>
      </c>
      <c r="L74" s="1">
        <v>46153</v>
      </c>
      <c r="M74" t="s">
        <v>32</v>
      </c>
      <c r="N74" s="1">
        <v>46184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s">
        <v>38</v>
      </c>
      <c r="AI74" t="s">
        <v>27</v>
      </c>
      <c r="AJ74" s="1"/>
      <c r="AK74" t="s">
        <v>28</v>
      </c>
      <c r="AL7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74">
        <f>SUM(Rel_2026[[#This Row],[qtd_TrxContabil]:[VLR_EXP_SORTE]])</f>
        <v>0</v>
      </c>
      <c r="AN7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75" spans="1:40" x14ac:dyDescent="0.3">
      <c r="A75" t="str">
        <f>IF(Rel_2026[[#This Row],[Zero]]=0,"Zero",IF(Rel_2026[[#This Row],[Pontuação]]&gt;=10,"Sim",IF(Rel_2026[[#This Row],[Pontuação]]&gt;=5,"Próximo","Não")))</f>
        <v>Sim</v>
      </c>
      <c r="B75" t="str">
        <f>IF(Rel_2026[[#This Row],[Zero]]=0,"Zero",IF(Rel_2026[[#This Row],[Pontuação2]]&gt;=10,"Sim",IF(Rel_2026[[#This Row],[Pontuação2]]&gt;=5,"Próximo","Não")))</f>
        <v>Sim</v>
      </c>
      <c r="C75" t="str">
        <f>IFERROR(VLOOKUP(Rel_2026[[#This Row],[chave_loja]],Responsavel!A:B,2,FALSE),"EUCLIDES")</f>
        <v>ROSSY</v>
      </c>
      <c r="D75" t="str">
        <f>LEFT(Rel_2026[[#This Row],[ag_pacb]],4)</f>
        <v>5792</v>
      </c>
      <c r="E75">
        <v>157312</v>
      </c>
      <c r="F75" t="s">
        <v>767</v>
      </c>
      <c r="G75" t="s">
        <v>897</v>
      </c>
      <c r="H75" s="1">
        <v>46118</v>
      </c>
      <c r="I75" t="s">
        <v>107</v>
      </c>
      <c r="J75" t="s">
        <v>841</v>
      </c>
      <c r="K75" s="1">
        <v>42948</v>
      </c>
      <c r="L75" s="1">
        <v>46240</v>
      </c>
      <c r="M75" t="s">
        <v>109</v>
      </c>
      <c r="N75" s="1">
        <v>46254</v>
      </c>
      <c r="O75">
        <v>579</v>
      </c>
      <c r="P75">
        <v>7</v>
      </c>
      <c r="Q75">
        <v>0</v>
      </c>
      <c r="R75">
        <v>6</v>
      </c>
      <c r="S75">
        <v>5</v>
      </c>
      <c r="T75">
        <v>200</v>
      </c>
      <c r="U75">
        <v>10263</v>
      </c>
      <c r="V75">
        <v>10263</v>
      </c>
      <c r="W75">
        <v>0</v>
      </c>
      <c r="X75">
        <v>0</v>
      </c>
      <c r="Y75">
        <v>0</v>
      </c>
      <c r="Z75">
        <v>0</v>
      </c>
      <c r="AA75">
        <v>0</v>
      </c>
      <c r="AB75">
        <v>4</v>
      </c>
      <c r="AC75">
        <v>0</v>
      </c>
      <c r="AD75">
        <v>0</v>
      </c>
      <c r="AE75">
        <v>0</v>
      </c>
      <c r="AF75">
        <v>7</v>
      </c>
      <c r="AG75">
        <v>0</v>
      </c>
      <c r="AH75" t="s">
        <v>26</v>
      </c>
      <c r="AI75" t="s">
        <v>27</v>
      </c>
      <c r="AJ75" s="1"/>
      <c r="AK75" t="s">
        <v>28</v>
      </c>
      <c r="AL7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33</v>
      </c>
      <c r="AM75">
        <f>SUM(Rel_2026[[#This Row],[qtd_TrxContabil]:[VLR_EXP_SORTE]])</f>
        <v>21334</v>
      </c>
      <c r="AN7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51</v>
      </c>
    </row>
    <row r="76" spans="1:40" x14ac:dyDescent="0.3">
      <c r="A76" t="str">
        <f>IF(Rel_2026[[#This Row],[Zero]]=0,"Zero",IF(Rel_2026[[#This Row],[Pontuação]]&gt;=10,"Sim",IF(Rel_2026[[#This Row],[Pontuação]]&gt;=5,"Próximo","Não")))</f>
        <v>Sim</v>
      </c>
      <c r="B76" t="str">
        <f>IF(Rel_2026[[#This Row],[Zero]]=0,"Zero",IF(Rel_2026[[#This Row],[Pontuação2]]&gt;=10,"Sim",IF(Rel_2026[[#This Row],[Pontuação2]]&gt;=5,"Próximo","Não")))</f>
        <v>Sim</v>
      </c>
      <c r="C76" t="str">
        <f>IFERROR(VLOOKUP(Rel_2026[[#This Row],[chave_loja]],Responsavel!A:B,2,FALSE),"EUCLIDES")</f>
        <v>ROSSY</v>
      </c>
      <c r="D76" t="str">
        <f>LEFT(Rel_2026[[#This Row],[ag_pacb]],4)</f>
        <v>5792</v>
      </c>
      <c r="E76">
        <v>176297</v>
      </c>
      <c r="F76" t="s">
        <v>911</v>
      </c>
      <c r="G76" t="s">
        <v>912</v>
      </c>
      <c r="H76" s="1">
        <v>45147</v>
      </c>
      <c r="I76" t="s">
        <v>107</v>
      </c>
      <c r="J76" t="s">
        <v>902</v>
      </c>
      <c r="K76" s="1">
        <v>43672</v>
      </c>
      <c r="L76" s="1">
        <v>46196</v>
      </c>
      <c r="M76" t="s">
        <v>109</v>
      </c>
      <c r="N76" s="1">
        <v>46254</v>
      </c>
      <c r="O76">
        <v>2146</v>
      </c>
      <c r="P76">
        <v>2</v>
      </c>
      <c r="Q76">
        <v>1</v>
      </c>
      <c r="R76">
        <v>2</v>
      </c>
      <c r="S76">
        <v>0</v>
      </c>
      <c r="T76">
        <v>0</v>
      </c>
      <c r="U76">
        <v>53939</v>
      </c>
      <c r="V76">
        <v>53939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</v>
      </c>
      <c r="AG76">
        <v>0</v>
      </c>
      <c r="AH76" t="s">
        <v>38</v>
      </c>
      <c r="AI76" t="s">
        <v>27</v>
      </c>
      <c r="AJ76" s="1"/>
      <c r="AK76" t="s">
        <v>28</v>
      </c>
      <c r="AL7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64</v>
      </c>
      <c r="AM76">
        <f>SUM(Rel_2026[[#This Row],[qtd_TrxContabil]:[VLR_EXP_SORTE]])</f>
        <v>110031</v>
      </c>
      <c r="AN7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70</v>
      </c>
    </row>
    <row r="77" spans="1:40" x14ac:dyDescent="0.3">
      <c r="A77" t="str">
        <f>IF(Rel_2026[[#This Row],[Zero]]=0,"Zero",IF(Rel_2026[[#This Row],[Pontuação]]&gt;=10,"Sim",IF(Rel_2026[[#This Row],[Pontuação]]&gt;=5,"Próximo","Não")))</f>
        <v>Não</v>
      </c>
      <c r="B77" t="str">
        <f>IF(Rel_2026[[#This Row],[Zero]]=0,"Zero",IF(Rel_2026[[#This Row],[Pontuação2]]&gt;=10,"Sim",IF(Rel_2026[[#This Row],[Pontuação2]]&gt;=5,"Próximo","Não")))</f>
        <v>Não</v>
      </c>
      <c r="C77" t="str">
        <f>IFERROR(VLOOKUP(Rel_2026[[#This Row],[chave_loja]],Responsavel!A:B,2,FALSE),"EUCLIDES")</f>
        <v>IVAN</v>
      </c>
      <c r="D77" t="str">
        <f>LEFT(Rel_2026[[#This Row],[ag_pacb]],4)</f>
        <v>5366</v>
      </c>
      <c r="E77">
        <v>206551</v>
      </c>
      <c r="F77" t="s">
        <v>553</v>
      </c>
      <c r="G77" t="s">
        <v>554</v>
      </c>
      <c r="H77" s="1">
        <v>45182</v>
      </c>
      <c r="I77" t="s">
        <v>23</v>
      </c>
      <c r="J77" t="s">
        <v>140</v>
      </c>
      <c r="K77" s="1">
        <v>45306</v>
      </c>
      <c r="L77" s="1">
        <v>46037</v>
      </c>
      <c r="M77" t="s">
        <v>25</v>
      </c>
      <c r="N77" s="1">
        <v>46254</v>
      </c>
      <c r="O77">
        <v>430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s">
        <v>26</v>
      </c>
      <c r="AI77" t="s">
        <v>27</v>
      </c>
      <c r="AJ77" s="1"/>
      <c r="AK77" t="s">
        <v>28</v>
      </c>
      <c r="AL7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77">
        <f>SUM(Rel_2026[[#This Row],[qtd_TrxContabil]:[VLR_EXP_SORTE]])</f>
        <v>430</v>
      </c>
      <c r="AN7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78" spans="1:40" x14ac:dyDescent="0.3">
      <c r="A78" t="str">
        <f>IF(Rel_2026[[#This Row],[Zero]]=0,"Zero",IF(Rel_2026[[#This Row],[Pontuação]]&gt;=10,"Sim",IF(Rel_2026[[#This Row],[Pontuação]]&gt;=5,"Próximo","Não")))</f>
        <v>Sim</v>
      </c>
      <c r="B78" t="str">
        <f>IF(Rel_2026[[#This Row],[Zero]]=0,"Zero",IF(Rel_2026[[#This Row],[Pontuação2]]&gt;=10,"Sim",IF(Rel_2026[[#This Row],[Pontuação2]]&gt;=5,"Próximo","Não")))</f>
        <v>Sim</v>
      </c>
      <c r="C78" t="str">
        <f>IFERROR(VLOOKUP(Rel_2026[[#This Row],[chave_loja]],Responsavel!A:B,2,FALSE),"EUCLIDES")</f>
        <v>JUNIOR</v>
      </c>
      <c r="D78" t="str">
        <f>LEFT(Rel_2026[[#This Row],[ag_pacb]],4)</f>
        <v>5367</v>
      </c>
      <c r="E78">
        <v>225713</v>
      </c>
      <c r="F78" t="s">
        <v>696</v>
      </c>
      <c r="G78" t="s">
        <v>695</v>
      </c>
      <c r="H78" s="1">
        <v>45889</v>
      </c>
      <c r="I78" t="s">
        <v>23</v>
      </c>
      <c r="J78" t="s">
        <v>58</v>
      </c>
      <c r="K78" s="1">
        <v>44522</v>
      </c>
      <c r="L78" s="1">
        <v>44615</v>
      </c>
      <c r="M78" t="s">
        <v>32</v>
      </c>
      <c r="N78" s="1">
        <v>46254</v>
      </c>
      <c r="O78">
        <v>153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100</v>
      </c>
      <c r="AH78" t="s">
        <v>26</v>
      </c>
      <c r="AI78" t="s">
        <v>27</v>
      </c>
      <c r="AJ78" s="1"/>
      <c r="AK78" t="s">
        <v>28</v>
      </c>
      <c r="AL7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  <c r="AM78">
        <f>SUM(Rel_2026[[#This Row],[qtd_TrxContabil]:[VLR_EXP_SORTE]])</f>
        <v>263</v>
      </c>
      <c r="AN7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</row>
    <row r="79" spans="1:40" x14ac:dyDescent="0.3">
      <c r="A79" t="str">
        <f>IF(Rel_2026[[#This Row],[Zero]]=0,"Zero",IF(Rel_2026[[#This Row],[Pontuação]]&gt;=10,"Sim",IF(Rel_2026[[#This Row],[Pontuação]]&gt;=5,"Próximo","Não")))</f>
        <v>Próximo</v>
      </c>
      <c r="B79" t="str">
        <f>IF(Rel_2026[[#This Row],[Zero]]=0,"Zero",IF(Rel_2026[[#This Row],[Pontuação2]]&gt;=10,"Sim",IF(Rel_2026[[#This Row],[Pontuação2]]&gt;=5,"Próximo","Não")))</f>
        <v>Sim</v>
      </c>
      <c r="C79" t="str">
        <f>IFERROR(VLOOKUP(Rel_2026[[#This Row],[chave_loja]],Responsavel!A:B,2,FALSE),"EUCLIDES")</f>
        <v>ALEX SIQUEIRA</v>
      </c>
      <c r="D79" t="str">
        <f>LEFT(Rel_2026[[#This Row],[ag_pacb]],4)</f>
        <v>0752</v>
      </c>
      <c r="E79">
        <v>241265</v>
      </c>
      <c r="F79" t="s">
        <v>115</v>
      </c>
      <c r="G79" t="s">
        <v>116</v>
      </c>
      <c r="H79" s="1">
        <v>45237</v>
      </c>
      <c r="I79" t="s">
        <v>23</v>
      </c>
      <c r="J79" t="s">
        <v>117</v>
      </c>
      <c r="K79" s="1">
        <v>44973</v>
      </c>
      <c r="L79" s="1">
        <v>44972</v>
      </c>
      <c r="M79" t="s">
        <v>109</v>
      </c>
      <c r="N79" s="1">
        <v>46254</v>
      </c>
      <c r="O79">
        <v>349</v>
      </c>
      <c r="P79">
        <v>3</v>
      </c>
      <c r="Q79">
        <v>0</v>
      </c>
      <c r="R79">
        <v>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s">
        <v>26</v>
      </c>
      <c r="AI79" t="s">
        <v>27</v>
      </c>
      <c r="AJ79" s="1"/>
      <c r="AK79" t="s">
        <v>28</v>
      </c>
      <c r="AL7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</v>
      </c>
      <c r="AM79">
        <f>SUM(Rel_2026[[#This Row],[qtd_TrxContabil]:[VLR_EXP_SORTE]])</f>
        <v>355</v>
      </c>
      <c r="AN7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</row>
    <row r="80" spans="1:40" x14ac:dyDescent="0.3">
      <c r="A80" t="str">
        <f>IF(Rel_2026[[#This Row],[Zero]]=0,"Zero",IF(Rel_2026[[#This Row],[Pontuação]]&gt;=10,"Sim",IF(Rel_2026[[#This Row],[Pontuação]]&gt;=5,"Próximo","Não")))</f>
        <v>Próximo</v>
      </c>
      <c r="B80" t="str">
        <f>IF(Rel_2026[[#This Row],[Zero]]=0,"Zero",IF(Rel_2026[[#This Row],[Pontuação2]]&gt;=10,"Sim",IF(Rel_2026[[#This Row],[Pontuação2]]&gt;=5,"Próximo","Não")))</f>
        <v>Sim</v>
      </c>
      <c r="C80" t="str">
        <f>IFERROR(VLOOKUP(Rel_2026[[#This Row],[chave_loja]],Responsavel!A:B,2,FALSE),"EUCLIDES")</f>
        <v>NYCOLLAS</v>
      </c>
      <c r="D80" t="str">
        <f>LEFT(Rel_2026[[#This Row],[ag_pacb]],4)</f>
        <v>5447</v>
      </c>
      <c r="E80">
        <v>410620</v>
      </c>
      <c r="F80" t="s">
        <v>98</v>
      </c>
      <c r="G80" t="s">
        <v>99</v>
      </c>
      <c r="H80" s="1">
        <v>45741</v>
      </c>
      <c r="I80" t="s">
        <v>23</v>
      </c>
      <c r="J80" t="s">
        <v>42</v>
      </c>
      <c r="K80" s="1">
        <v>45734</v>
      </c>
      <c r="L80" s="1">
        <v>45756</v>
      </c>
      <c r="M80" t="s">
        <v>32</v>
      </c>
      <c r="N80" s="1">
        <v>46254</v>
      </c>
      <c r="O80">
        <v>340</v>
      </c>
      <c r="P80">
        <v>1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 t="s">
        <v>26</v>
      </c>
      <c r="AI80" t="s">
        <v>27</v>
      </c>
      <c r="AJ80" s="1"/>
      <c r="AK80" t="s">
        <v>28</v>
      </c>
      <c r="AL8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80">
        <f>SUM(Rel_2026[[#This Row],[qtd_TrxContabil]:[VLR_EXP_SORTE]])</f>
        <v>344</v>
      </c>
      <c r="AN8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81" spans="1:40" x14ac:dyDescent="0.3">
      <c r="A81" t="str">
        <f>IF(Rel_2026[[#This Row],[Zero]]=0,"Zero",IF(Rel_2026[[#This Row],[Pontuação]]&gt;=10,"Sim",IF(Rel_2026[[#This Row],[Pontuação]]&gt;=5,"Próximo","Não")))</f>
        <v>Não</v>
      </c>
      <c r="B81" t="str">
        <f>IF(Rel_2026[[#This Row],[Zero]]=0,"Zero",IF(Rel_2026[[#This Row],[Pontuação2]]&gt;=10,"Sim",IF(Rel_2026[[#This Row],[Pontuação2]]&gt;=5,"Próximo","Não")))</f>
        <v>Não</v>
      </c>
      <c r="C81" t="str">
        <f>IFERROR(VLOOKUP(Rel_2026[[#This Row],[chave_loja]],Responsavel!A:B,2,FALSE),"EUCLIDES")</f>
        <v>NYCOLLAS</v>
      </c>
      <c r="D81" t="str">
        <f>LEFT(Rel_2026[[#This Row],[ag_pacb]],4)</f>
        <v>5447</v>
      </c>
      <c r="E81">
        <v>416500</v>
      </c>
      <c r="F81" t="s">
        <v>1380</v>
      </c>
      <c r="G81" t="s">
        <v>1381</v>
      </c>
      <c r="H81" s="1">
        <v>45908</v>
      </c>
      <c r="I81" t="s">
        <v>23</v>
      </c>
      <c r="J81" t="s">
        <v>42</v>
      </c>
      <c r="K81" s="1">
        <v>45897</v>
      </c>
      <c r="L81" s="1"/>
      <c r="M81" t="s">
        <v>32</v>
      </c>
      <c r="N81" s="1">
        <v>46254</v>
      </c>
      <c r="O81">
        <v>197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s">
        <v>38</v>
      </c>
      <c r="AI81" t="s">
        <v>27</v>
      </c>
      <c r="AJ81" s="1"/>
      <c r="AK81" t="s">
        <v>28</v>
      </c>
      <c r="AL8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81">
        <f>SUM(Rel_2026[[#This Row],[qtd_TrxContabil]:[VLR_EXP_SORTE]])</f>
        <v>197</v>
      </c>
      <c r="AN8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82" spans="1:40" x14ac:dyDescent="0.3">
      <c r="A82" t="str">
        <f>IF(Rel_2026[[#This Row],[Zero]]=0,"Zero",IF(Rel_2026[[#This Row],[Pontuação]]&gt;=10,"Sim",IF(Rel_2026[[#This Row],[Pontuação]]&gt;=5,"Próximo","Não")))</f>
        <v>Não</v>
      </c>
      <c r="B82" t="str">
        <f>IF(Rel_2026[[#This Row],[Zero]]=0,"Zero",IF(Rel_2026[[#This Row],[Pontuação2]]&gt;=10,"Sim",IF(Rel_2026[[#This Row],[Pontuação2]]&gt;=5,"Próximo","Não")))</f>
        <v>Não</v>
      </c>
      <c r="C82" t="str">
        <f>IFERROR(VLOOKUP(Rel_2026[[#This Row],[chave_loja]],Responsavel!A:B,2,FALSE),"EUCLIDES")</f>
        <v>JACK</v>
      </c>
      <c r="D82" t="str">
        <f>LEFT(Rel_2026[[#This Row],[ag_pacb]],4)</f>
        <v>0985</v>
      </c>
      <c r="E82">
        <v>424446</v>
      </c>
      <c r="F82" t="s">
        <v>1291</v>
      </c>
      <c r="G82" t="s">
        <v>1292</v>
      </c>
      <c r="H82" s="1">
        <v>46171</v>
      </c>
      <c r="I82" t="s">
        <v>107</v>
      </c>
      <c r="J82" t="s">
        <v>866</v>
      </c>
      <c r="K82" s="1">
        <v>46168</v>
      </c>
      <c r="L82" s="1">
        <v>46185</v>
      </c>
      <c r="M82" t="s">
        <v>109</v>
      </c>
      <c r="N82" s="1">
        <v>46254</v>
      </c>
      <c r="O82">
        <v>377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s">
        <v>38</v>
      </c>
      <c r="AI82" t="s">
        <v>27</v>
      </c>
      <c r="AJ82" s="1"/>
      <c r="AK82" t="s">
        <v>28</v>
      </c>
      <c r="AL8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82">
        <f>SUM(Rel_2026[[#This Row],[qtd_TrxContabil]:[VLR_EXP_SORTE]])</f>
        <v>377</v>
      </c>
      <c r="AN8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83" spans="1:40" x14ac:dyDescent="0.3">
      <c r="A83" t="str">
        <f>IF(Rel_2026[[#This Row],[Zero]]=0,"Zero",IF(Rel_2026[[#This Row],[Pontuação]]&gt;=10,"Sim",IF(Rel_2026[[#This Row],[Pontuação]]&gt;=5,"Próximo","Não")))</f>
        <v>Sim</v>
      </c>
      <c r="B83" t="str">
        <f>IF(Rel_2026[[#This Row],[Zero]]=0,"Zero",IF(Rel_2026[[#This Row],[Pontuação2]]&gt;=10,"Sim",IF(Rel_2026[[#This Row],[Pontuação2]]&gt;=5,"Próximo","Não")))</f>
        <v>Sim</v>
      </c>
      <c r="C83" t="str">
        <f>IFERROR(VLOOKUP(Rel_2026[[#This Row],[chave_loja]],Responsavel!A:B,2,FALSE),"EUCLIDES")</f>
        <v>WASTHSON</v>
      </c>
      <c r="D83" t="str">
        <f>LEFT(Rel_2026[[#This Row],[ag_pacb]],4)</f>
        <v>0458</v>
      </c>
      <c r="E83">
        <v>232840</v>
      </c>
      <c r="F83" t="s">
        <v>1022</v>
      </c>
      <c r="G83" t="s">
        <v>1023</v>
      </c>
      <c r="H83" s="1">
        <v>45170</v>
      </c>
      <c r="I83" t="s">
        <v>23</v>
      </c>
      <c r="J83" t="s">
        <v>226</v>
      </c>
      <c r="K83" s="1">
        <v>45306</v>
      </c>
      <c r="L83" s="1">
        <v>45273</v>
      </c>
      <c r="M83" t="s">
        <v>32</v>
      </c>
      <c r="N83" s="1">
        <v>46253</v>
      </c>
      <c r="O83">
        <v>37</v>
      </c>
      <c r="P83">
        <v>16</v>
      </c>
      <c r="Q83">
        <v>0</v>
      </c>
      <c r="R83">
        <v>13</v>
      </c>
      <c r="S83">
        <v>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5</v>
      </c>
      <c r="AC83">
        <v>0</v>
      </c>
      <c r="AD83">
        <v>0</v>
      </c>
      <c r="AE83">
        <v>0</v>
      </c>
      <c r="AF83">
        <v>15</v>
      </c>
      <c r="AG83">
        <v>0</v>
      </c>
      <c r="AH83" t="s">
        <v>26</v>
      </c>
      <c r="AI83" t="s">
        <v>27</v>
      </c>
      <c r="AJ83" s="1"/>
      <c r="AK83" t="s">
        <v>28</v>
      </c>
      <c r="AL8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48</v>
      </c>
      <c r="AM83">
        <f>SUM(Rel_2026[[#This Row],[qtd_TrxContabil]:[VLR_EXP_SORTE]])</f>
        <v>91</v>
      </c>
      <c r="AN8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87</v>
      </c>
    </row>
    <row r="84" spans="1:40" x14ac:dyDescent="0.3">
      <c r="A84" t="str">
        <f>IF(Rel_2026[[#This Row],[Zero]]=0,"Zero",IF(Rel_2026[[#This Row],[Pontuação]]&gt;=10,"Sim",IF(Rel_2026[[#This Row],[Pontuação]]&gt;=5,"Próximo","Não")))</f>
        <v>Não</v>
      </c>
      <c r="B84" t="str">
        <f>IF(Rel_2026[[#This Row],[Zero]]=0,"Zero",IF(Rel_2026[[#This Row],[Pontuação2]]&gt;=10,"Sim",IF(Rel_2026[[#This Row],[Pontuação2]]&gt;=5,"Próximo","Não")))</f>
        <v>Não</v>
      </c>
      <c r="C84" t="str">
        <f>IFERROR(VLOOKUP(Rel_2026[[#This Row],[chave_loja]],Responsavel!A:B,2,FALSE),"EUCLIDES")</f>
        <v>GIL</v>
      </c>
      <c r="D84" t="str">
        <f>LEFT(Rel_2026[[#This Row],[ag_pacb]],4)</f>
        <v>5387</v>
      </c>
      <c r="E84">
        <v>248604</v>
      </c>
      <c r="F84" t="s">
        <v>274</v>
      </c>
      <c r="G84" t="s">
        <v>275</v>
      </c>
      <c r="H84" s="1">
        <v>45092</v>
      </c>
      <c r="I84" t="s">
        <v>23</v>
      </c>
      <c r="J84" t="s">
        <v>130</v>
      </c>
      <c r="K84" s="1">
        <v>45159</v>
      </c>
      <c r="L84" s="1">
        <v>45119</v>
      </c>
      <c r="M84" t="s">
        <v>32</v>
      </c>
      <c r="N84" s="1">
        <v>46254</v>
      </c>
      <c r="O84">
        <v>170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s">
        <v>26</v>
      </c>
      <c r="AI84" t="s">
        <v>27</v>
      </c>
      <c r="AJ84" s="1"/>
      <c r="AK84" t="s">
        <v>28</v>
      </c>
      <c r="AL8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84">
        <f>SUM(Rel_2026[[#This Row],[qtd_TrxContabil]:[VLR_EXP_SORTE]])</f>
        <v>170</v>
      </c>
      <c r="AN8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85" spans="1:40" x14ac:dyDescent="0.3">
      <c r="A85" t="str">
        <f>IF(Rel_2026[[#This Row],[Zero]]=0,"Zero",IF(Rel_2026[[#This Row],[Pontuação]]&gt;=10,"Sim",IF(Rel_2026[[#This Row],[Pontuação]]&gt;=5,"Próximo","Não")))</f>
        <v>Sim</v>
      </c>
      <c r="B85" t="str">
        <f>IF(Rel_2026[[#This Row],[Zero]]=0,"Zero",IF(Rel_2026[[#This Row],[Pontuação2]]&gt;=10,"Sim",IF(Rel_2026[[#This Row],[Pontuação2]]&gt;=5,"Próximo","Não")))</f>
        <v>Sim</v>
      </c>
      <c r="C85" t="str">
        <f>IFERROR(VLOOKUP(Rel_2026[[#This Row],[chave_loja]],Responsavel!A:B,2,FALSE),"EUCLIDES")</f>
        <v>JUNIOR</v>
      </c>
      <c r="D85" t="str">
        <f>LEFT(Rel_2026[[#This Row],[ag_pacb]],4)</f>
        <v>2245</v>
      </c>
      <c r="E85">
        <v>425351</v>
      </c>
      <c r="F85" t="s">
        <v>1391</v>
      </c>
      <c r="G85" t="s">
        <v>1392</v>
      </c>
      <c r="H85" s="1">
        <v>46231</v>
      </c>
      <c r="I85" t="s">
        <v>23</v>
      </c>
      <c r="J85" t="s">
        <v>162</v>
      </c>
      <c r="K85" s="1">
        <v>46226</v>
      </c>
      <c r="L85" s="1">
        <v>46037</v>
      </c>
      <c r="M85" t="s">
        <v>32</v>
      </c>
      <c r="N85" s="1">
        <v>46254</v>
      </c>
      <c r="O85">
        <v>190</v>
      </c>
      <c r="P85">
        <v>9</v>
      </c>
      <c r="Q85">
        <v>6</v>
      </c>
      <c r="R85">
        <v>4</v>
      </c>
      <c r="S85">
        <v>0</v>
      </c>
      <c r="T85">
        <v>0</v>
      </c>
      <c r="U85">
        <v>145000</v>
      </c>
      <c r="V85">
        <v>145000</v>
      </c>
      <c r="W85">
        <v>0</v>
      </c>
      <c r="X85">
        <v>0</v>
      </c>
      <c r="Y85">
        <v>6700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s">
        <v>26</v>
      </c>
      <c r="AI85" t="s">
        <v>27</v>
      </c>
      <c r="AJ85" s="1"/>
      <c r="AK85" t="s">
        <v>28</v>
      </c>
      <c r="AL8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209</v>
      </c>
      <c r="AM85">
        <f>SUM(Rel_2026[[#This Row],[qtd_TrxContabil]:[VLR_EXP_SORTE]])</f>
        <v>296909</v>
      </c>
      <c r="AN8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221</v>
      </c>
    </row>
    <row r="86" spans="1:40" x14ac:dyDescent="0.3">
      <c r="A86" t="str">
        <f>IF(Rel_2026[[#This Row],[Zero]]=0,"Zero",IF(Rel_2026[[#This Row],[Pontuação]]&gt;=10,"Sim",IF(Rel_2026[[#This Row],[Pontuação]]&gt;=5,"Próximo","Não")))</f>
        <v>Sim</v>
      </c>
      <c r="B86" t="str">
        <f>IF(Rel_2026[[#This Row],[Zero]]=0,"Zero",IF(Rel_2026[[#This Row],[Pontuação2]]&gt;=10,"Sim",IF(Rel_2026[[#This Row],[Pontuação2]]&gt;=5,"Próximo","Não")))</f>
        <v>Sim</v>
      </c>
      <c r="C86" t="str">
        <f>IFERROR(VLOOKUP(Rel_2026[[#This Row],[chave_loja]],Responsavel!A:B,2,FALSE),"EUCLIDES")</f>
        <v>PAULO</v>
      </c>
      <c r="D86" t="str">
        <f>LEFT(Rel_2026[[#This Row],[ag_pacb]],4)</f>
        <v>0937</v>
      </c>
      <c r="E86">
        <v>69957</v>
      </c>
      <c r="F86" t="s">
        <v>1146</v>
      </c>
      <c r="G86" t="s">
        <v>1147</v>
      </c>
      <c r="H86" s="1">
        <v>44978</v>
      </c>
      <c r="I86" t="s">
        <v>107</v>
      </c>
      <c r="J86" t="s">
        <v>1148</v>
      </c>
      <c r="K86" s="1">
        <v>43915</v>
      </c>
      <c r="L86" s="1">
        <v>45524</v>
      </c>
      <c r="M86" t="s">
        <v>109</v>
      </c>
      <c r="N86" s="1">
        <v>46254</v>
      </c>
      <c r="O86">
        <v>2705</v>
      </c>
      <c r="P86">
        <v>3</v>
      </c>
      <c r="Q86">
        <v>1</v>
      </c>
      <c r="R86">
        <v>3</v>
      </c>
      <c r="S86">
        <v>0</v>
      </c>
      <c r="T86">
        <v>0</v>
      </c>
      <c r="U86">
        <v>4873</v>
      </c>
      <c r="V86">
        <v>4873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</v>
      </c>
      <c r="AD86">
        <v>0</v>
      </c>
      <c r="AE86">
        <v>3</v>
      </c>
      <c r="AF86">
        <v>0</v>
      </c>
      <c r="AG86">
        <v>0</v>
      </c>
      <c r="AH86" t="s">
        <v>26</v>
      </c>
      <c r="AI86" t="s">
        <v>27</v>
      </c>
      <c r="AJ86" s="1"/>
      <c r="AK86" t="s">
        <v>28</v>
      </c>
      <c r="AL8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23</v>
      </c>
      <c r="AM86">
        <f>SUM(Rel_2026[[#This Row],[qtd_TrxContabil]:[VLR_EXP_SORTE]])</f>
        <v>12463</v>
      </c>
      <c r="AN8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32</v>
      </c>
    </row>
    <row r="87" spans="1:40" x14ac:dyDescent="0.3">
      <c r="A87" t="str">
        <f>IF(Rel_2026[[#This Row],[Zero]]=0,"Zero",IF(Rel_2026[[#This Row],[Pontuação]]&gt;=10,"Sim",IF(Rel_2026[[#This Row],[Pontuação]]&gt;=5,"Próximo","Não")))</f>
        <v>Próximo</v>
      </c>
      <c r="B87" t="str">
        <f>IF(Rel_2026[[#This Row],[Zero]]=0,"Zero",IF(Rel_2026[[#This Row],[Pontuação2]]&gt;=10,"Sim",IF(Rel_2026[[#This Row],[Pontuação2]]&gt;=5,"Próximo","Não")))</f>
        <v>Sim</v>
      </c>
      <c r="C87" t="str">
        <f>IFERROR(VLOOKUP(Rel_2026[[#This Row],[chave_loja]],Responsavel!A:B,2,FALSE),"EUCLIDES")</f>
        <v>WASTHSON</v>
      </c>
      <c r="D87" t="str">
        <f>LEFT(Rel_2026[[#This Row],[ag_pacb]],4)</f>
        <v>0458</v>
      </c>
      <c r="E87">
        <v>217051</v>
      </c>
      <c r="F87" t="s">
        <v>46</v>
      </c>
      <c r="G87" t="s">
        <v>47</v>
      </c>
      <c r="H87" s="1">
        <v>44207</v>
      </c>
      <c r="I87" t="s">
        <v>23</v>
      </c>
      <c r="J87" t="s">
        <v>48</v>
      </c>
      <c r="K87" s="1">
        <v>45152</v>
      </c>
      <c r="L87" s="1">
        <v>45805</v>
      </c>
      <c r="M87" t="s">
        <v>32</v>
      </c>
      <c r="N87" s="1">
        <v>46254</v>
      </c>
      <c r="O87">
        <v>581</v>
      </c>
      <c r="P87">
        <v>1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s">
        <v>38</v>
      </c>
      <c r="AI87" t="s">
        <v>27</v>
      </c>
      <c r="AJ87" s="1"/>
      <c r="AK87" t="s">
        <v>28</v>
      </c>
      <c r="AL8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</v>
      </c>
      <c r="AM87">
        <f>SUM(Rel_2026[[#This Row],[qtd_TrxContabil]:[VLR_EXP_SORTE]])</f>
        <v>585</v>
      </c>
      <c r="AN8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</v>
      </c>
    </row>
    <row r="88" spans="1:40" x14ac:dyDescent="0.3">
      <c r="A88" t="str">
        <f>IF(Rel_2026[[#This Row],[Zero]]=0,"Zero",IF(Rel_2026[[#This Row],[Pontuação]]&gt;=10,"Sim",IF(Rel_2026[[#This Row],[Pontuação]]&gt;=5,"Próximo","Não")))</f>
        <v>Próximo</v>
      </c>
      <c r="B88" t="str">
        <f>IF(Rel_2026[[#This Row],[Zero]]=0,"Zero",IF(Rel_2026[[#This Row],[Pontuação2]]&gt;=10,"Sim",IF(Rel_2026[[#This Row],[Pontuação2]]&gt;=5,"Próximo","Não")))</f>
        <v>Sim</v>
      </c>
      <c r="C88" t="str">
        <f>IFERROR(VLOOKUP(Rel_2026[[#This Row],[chave_loja]],Responsavel!A:B,2,FALSE),"EUCLIDES")</f>
        <v>JUNIOR</v>
      </c>
      <c r="D88" t="str">
        <f>LEFT(Rel_2026[[#This Row],[ag_pacb]],4)</f>
        <v>0684</v>
      </c>
      <c r="E88">
        <v>409582</v>
      </c>
      <c r="F88" t="s">
        <v>612</v>
      </c>
      <c r="G88" t="s">
        <v>613</v>
      </c>
      <c r="H88" s="1">
        <v>45700</v>
      </c>
      <c r="I88" t="s">
        <v>23</v>
      </c>
      <c r="J88" t="s">
        <v>133</v>
      </c>
      <c r="K88" s="1">
        <v>45694</v>
      </c>
      <c r="L88" s="1">
        <v>45714</v>
      </c>
      <c r="M88" t="s">
        <v>32</v>
      </c>
      <c r="N88" s="1">
        <v>46254</v>
      </c>
      <c r="O88">
        <v>92</v>
      </c>
      <c r="P88">
        <v>1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 t="s">
        <v>26</v>
      </c>
      <c r="AI88" t="s">
        <v>27</v>
      </c>
      <c r="AJ88" s="1"/>
      <c r="AK88" t="s">
        <v>28</v>
      </c>
      <c r="AL8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88">
        <f>SUM(Rel_2026[[#This Row],[qtd_TrxContabil]:[VLR_EXP_SORTE]])</f>
        <v>96</v>
      </c>
      <c r="AN8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89" spans="1:40" x14ac:dyDescent="0.3">
      <c r="A89" t="str">
        <f>IF(Rel_2026[[#This Row],[Zero]]=0,"Zero",IF(Rel_2026[[#This Row],[Pontuação]]&gt;=10,"Sim",IF(Rel_2026[[#This Row],[Pontuação]]&gt;=5,"Próximo","Não")))</f>
        <v>Não</v>
      </c>
      <c r="B89" t="str">
        <f>IF(Rel_2026[[#This Row],[Zero]]=0,"Zero",IF(Rel_2026[[#This Row],[Pontuação2]]&gt;=10,"Sim",IF(Rel_2026[[#This Row],[Pontuação2]]&gt;=5,"Próximo","Não")))</f>
        <v>Não</v>
      </c>
      <c r="C89" t="str">
        <f>IFERROR(VLOOKUP(Rel_2026[[#This Row],[chave_loja]],Responsavel!A:B,2,FALSE),"EUCLIDES")</f>
        <v>ISMAEL</v>
      </c>
      <c r="D89" t="str">
        <f>LEFT(Rel_2026[[#This Row],[ag_pacb]],4)</f>
        <v>0704</v>
      </c>
      <c r="E89">
        <v>45300</v>
      </c>
      <c r="F89" t="s">
        <v>600</v>
      </c>
      <c r="G89" t="s">
        <v>601</v>
      </c>
      <c r="H89" s="1">
        <v>44351</v>
      </c>
      <c r="I89" t="s">
        <v>23</v>
      </c>
      <c r="J89" t="s">
        <v>78</v>
      </c>
      <c r="K89" s="1">
        <v>42235</v>
      </c>
      <c r="L89" s="1">
        <v>44512</v>
      </c>
      <c r="M89" t="s">
        <v>25</v>
      </c>
      <c r="N89" s="1">
        <v>46254</v>
      </c>
      <c r="O89">
        <v>274</v>
      </c>
      <c r="P89">
        <v>0</v>
      </c>
      <c r="Q89">
        <v>0</v>
      </c>
      <c r="R89">
        <v>0</v>
      </c>
      <c r="S89">
        <v>0</v>
      </c>
      <c r="T89">
        <v>0</v>
      </c>
      <c r="U89">
        <v>1104</v>
      </c>
      <c r="V89">
        <v>1104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s">
        <v>26</v>
      </c>
      <c r="AI89" t="s">
        <v>27</v>
      </c>
      <c r="AJ89" s="1"/>
      <c r="AK89" t="s">
        <v>28</v>
      </c>
      <c r="AL8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</v>
      </c>
      <c r="AM89">
        <f>SUM(Rel_2026[[#This Row],[qtd_TrxContabil]:[VLR_EXP_SORTE]])</f>
        <v>2482</v>
      </c>
      <c r="AN8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</v>
      </c>
    </row>
    <row r="90" spans="1:40" x14ac:dyDescent="0.3">
      <c r="A90" t="str">
        <f>IF(Rel_2026[[#This Row],[Zero]]=0,"Zero",IF(Rel_2026[[#This Row],[Pontuação]]&gt;=10,"Sim",IF(Rel_2026[[#This Row],[Pontuação]]&gt;=5,"Próximo","Não")))</f>
        <v>Sim</v>
      </c>
      <c r="B90" t="str">
        <f>IF(Rel_2026[[#This Row],[Zero]]=0,"Zero",IF(Rel_2026[[#This Row],[Pontuação2]]&gt;=10,"Sim",IF(Rel_2026[[#This Row],[Pontuação2]]&gt;=5,"Próximo","Não")))</f>
        <v>Sim</v>
      </c>
      <c r="C90" t="str">
        <f>IFERROR(VLOOKUP(Rel_2026[[#This Row],[chave_loja]],Responsavel!A:B,2,FALSE),"EUCLIDES")</f>
        <v>ROSSY</v>
      </c>
      <c r="D90" t="str">
        <f>LEFT(Rel_2026[[#This Row],[ag_pacb]],4)</f>
        <v>0405</v>
      </c>
      <c r="E90">
        <v>160152</v>
      </c>
      <c r="F90" t="s">
        <v>977</v>
      </c>
      <c r="G90" t="s">
        <v>978</v>
      </c>
      <c r="H90" s="1">
        <v>46064</v>
      </c>
      <c r="I90" t="s">
        <v>107</v>
      </c>
      <c r="J90" t="s">
        <v>979</v>
      </c>
      <c r="K90" s="1">
        <v>43922</v>
      </c>
      <c r="L90" s="1">
        <v>46245</v>
      </c>
      <c r="M90" t="s">
        <v>109</v>
      </c>
      <c r="N90" s="1">
        <v>46254</v>
      </c>
      <c r="O90">
        <v>989</v>
      </c>
      <c r="P90">
        <v>2</v>
      </c>
      <c r="Q90">
        <v>2</v>
      </c>
      <c r="R90">
        <v>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 t="s">
        <v>38</v>
      </c>
      <c r="AI90" t="s">
        <v>27</v>
      </c>
      <c r="AJ90" s="1"/>
      <c r="AK90" t="s">
        <v>28</v>
      </c>
      <c r="AL9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90">
        <f>SUM(Rel_2026[[#This Row],[qtd_TrxContabil]:[VLR_EXP_SORTE]])</f>
        <v>996</v>
      </c>
      <c r="AN9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91" spans="1:40" x14ac:dyDescent="0.3">
      <c r="A91" t="str">
        <f>IF(Rel_2026[[#This Row],[Zero]]=0,"Zero",IF(Rel_2026[[#This Row],[Pontuação]]&gt;=10,"Sim",IF(Rel_2026[[#This Row],[Pontuação]]&gt;=5,"Próximo","Não")))</f>
        <v>Sim</v>
      </c>
      <c r="B91" t="str">
        <f>IF(Rel_2026[[#This Row],[Zero]]=0,"Zero",IF(Rel_2026[[#This Row],[Pontuação2]]&gt;=10,"Sim",IF(Rel_2026[[#This Row],[Pontuação2]]&gt;=5,"Próximo","Não")))</f>
        <v>Sim</v>
      </c>
      <c r="C91" t="str">
        <f>IFERROR(VLOOKUP(Rel_2026[[#This Row],[chave_loja]],Responsavel!A:B,2,FALSE),"EUCLIDES")</f>
        <v>CÉLIO</v>
      </c>
      <c r="D91" t="str">
        <f>LEFT(Rel_2026[[#This Row],[ag_pacb]],4)</f>
        <v>1379</v>
      </c>
      <c r="E91">
        <v>242896</v>
      </c>
      <c r="F91" t="s">
        <v>1028</v>
      </c>
      <c r="G91" t="s">
        <v>1029</v>
      </c>
      <c r="H91" s="1">
        <v>44881</v>
      </c>
      <c r="I91" t="s">
        <v>23</v>
      </c>
      <c r="J91" t="s">
        <v>24</v>
      </c>
      <c r="K91" s="1">
        <v>45091</v>
      </c>
      <c r="L91" s="1">
        <v>45792</v>
      </c>
      <c r="M91" t="s">
        <v>32</v>
      </c>
      <c r="N91" s="1">
        <v>46244</v>
      </c>
      <c r="O91">
        <v>0</v>
      </c>
      <c r="P91">
        <v>11</v>
      </c>
      <c r="Q91">
        <v>0</v>
      </c>
      <c r="R91">
        <v>7</v>
      </c>
      <c r="S91">
        <v>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10</v>
      </c>
      <c r="AE91">
        <v>0</v>
      </c>
      <c r="AF91">
        <v>0</v>
      </c>
      <c r="AG91">
        <v>0</v>
      </c>
      <c r="AH91" t="s">
        <v>26</v>
      </c>
      <c r="AI91" t="s">
        <v>27</v>
      </c>
      <c r="AJ91" s="1"/>
      <c r="AK91" t="s">
        <v>28</v>
      </c>
      <c r="AL9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43</v>
      </c>
      <c r="AM91">
        <f>SUM(Rel_2026[[#This Row],[qtd_TrxContabil]:[VLR_EXP_SORTE]])</f>
        <v>31</v>
      </c>
      <c r="AN9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64</v>
      </c>
    </row>
    <row r="92" spans="1:40" x14ac:dyDescent="0.3">
      <c r="A92" t="str">
        <f>IF(Rel_2026[[#This Row],[Zero]]=0,"Zero",IF(Rel_2026[[#This Row],[Pontuação]]&gt;=10,"Sim",IF(Rel_2026[[#This Row],[Pontuação]]&gt;=5,"Próximo","Não")))</f>
        <v>Não</v>
      </c>
      <c r="B92" t="str">
        <f>IF(Rel_2026[[#This Row],[Zero]]=0,"Zero",IF(Rel_2026[[#This Row],[Pontuação2]]&gt;=10,"Sim",IF(Rel_2026[[#This Row],[Pontuação2]]&gt;=5,"Próximo","Não")))</f>
        <v>Não</v>
      </c>
      <c r="C92" t="str">
        <f>IFERROR(VLOOKUP(Rel_2026[[#This Row],[chave_loja]],Responsavel!A:B,2,FALSE),"EUCLIDES")</f>
        <v>NYCOLLAS</v>
      </c>
      <c r="D92" t="str">
        <f>LEFT(Rel_2026[[#This Row],[ag_pacb]],4)</f>
        <v>5446</v>
      </c>
      <c r="E92">
        <v>423774</v>
      </c>
      <c r="F92" t="s">
        <v>1400</v>
      </c>
      <c r="G92" t="s">
        <v>1401</v>
      </c>
      <c r="H92" s="1">
        <v>46149</v>
      </c>
      <c r="I92" t="s">
        <v>23</v>
      </c>
      <c r="J92" t="s">
        <v>238</v>
      </c>
      <c r="K92" s="1">
        <v>46135</v>
      </c>
      <c r="L92" s="1">
        <v>46161</v>
      </c>
      <c r="M92" t="s">
        <v>32</v>
      </c>
      <c r="N92" s="1">
        <v>46254</v>
      </c>
      <c r="O92">
        <v>57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s">
        <v>26</v>
      </c>
      <c r="AI92" t="s">
        <v>27</v>
      </c>
      <c r="AJ92" s="1"/>
      <c r="AK92" t="s">
        <v>28</v>
      </c>
      <c r="AL9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92">
        <f>SUM(Rel_2026[[#This Row],[qtd_TrxContabil]:[VLR_EXP_SORTE]])</f>
        <v>57</v>
      </c>
      <c r="AN9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93" spans="1:40" x14ac:dyDescent="0.3">
      <c r="A93" t="str">
        <f>IF(Rel_2026[[#This Row],[Zero]]=0,"Zero",IF(Rel_2026[[#This Row],[Pontuação]]&gt;=10,"Sim",IF(Rel_2026[[#This Row],[Pontuação]]&gt;=5,"Próximo","Não")))</f>
        <v>Não</v>
      </c>
      <c r="B93" t="str">
        <f>IF(Rel_2026[[#This Row],[Zero]]=0,"Zero",IF(Rel_2026[[#This Row],[Pontuação2]]&gt;=10,"Sim",IF(Rel_2026[[#This Row],[Pontuação2]]&gt;=5,"Próximo","Não")))</f>
        <v>Não</v>
      </c>
      <c r="C93" t="str">
        <f>IFERROR(VLOOKUP(Rel_2026[[#This Row],[chave_loja]],Responsavel!A:B,2,FALSE),"EUCLIDES")</f>
        <v>ROSSY</v>
      </c>
      <c r="D93" t="str">
        <f>LEFT(Rel_2026[[#This Row],[ag_pacb]],4)</f>
        <v>3848</v>
      </c>
      <c r="E93">
        <v>100468</v>
      </c>
      <c r="F93" t="s">
        <v>1305</v>
      </c>
      <c r="G93" t="s">
        <v>1306</v>
      </c>
      <c r="H93" s="1">
        <v>45237</v>
      </c>
      <c r="I93" t="s">
        <v>107</v>
      </c>
      <c r="J93" t="s">
        <v>818</v>
      </c>
      <c r="K93" s="1">
        <v>42250</v>
      </c>
      <c r="L93" s="1">
        <v>46079</v>
      </c>
      <c r="M93" t="s">
        <v>109</v>
      </c>
      <c r="N93" s="1">
        <v>46252</v>
      </c>
      <c r="O93">
        <v>94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s">
        <v>26</v>
      </c>
      <c r="AI93" t="s">
        <v>27</v>
      </c>
      <c r="AJ93" s="1"/>
      <c r="AK93" t="s">
        <v>28</v>
      </c>
      <c r="AL9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93">
        <f>SUM(Rel_2026[[#This Row],[qtd_TrxContabil]:[VLR_EXP_SORTE]])</f>
        <v>94</v>
      </c>
      <c r="AN9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94" spans="1:40" x14ac:dyDescent="0.3">
      <c r="A94" t="str">
        <f>IF(Rel_2026[[#This Row],[Zero]]=0,"Zero",IF(Rel_2026[[#This Row],[Pontuação]]&gt;=10,"Sim",IF(Rel_2026[[#This Row],[Pontuação]]&gt;=5,"Próximo","Não")))</f>
        <v>Sim</v>
      </c>
      <c r="B94" t="str">
        <f>IF(Rel_2026[[#This Row],[Zero]]=0,"Zero",IF(Rel_2026[[#This Row],[Pontuação2]]&gt;=10,"Sim",IF(Rel_2026[[#This Row],[Pontuação2]]&gt;=5,"Próximo","Não")))</f>
        <v>Sim</v>
      </c>
      <c r="C94" t="str">
        <f>IFERROR(VLOOKUP(Rel_2026[[#This Row],[chave_loja]],Responsavel!A:B,2,FALSE),"EUCLIDES")</f>
        <v>PAULO</v>
      </c>
      <c r="D94" t="str">
        <f>LEFT(Rel_2026[[#This Row],[ag_pacb]],4)</f>
        <v>0937</v>
      </c>
      <c r="E94">
        <v>116228</v>
      </c>
      <c r="F94" t="s">
        <v>1341</v>
      </c>
      <c r="G94" t="s">
        <v>1342</v>
      </c>
      <c r="H94" s="1">
        <v>45076</v>
      </c>
      <c r="I94" t="s">
        <v>107</v>
      </c>
      <c r="J94" t="s">
        <v>1117</v>
      </c>
      <c r="K94" s="1">
        <v>42467</v>
      </c>
      <c r="L94" s="1">
        <v>45624</v>
      </c>
      <c r="M94" t="s">
        <v>109</v>
      </c>
      <c r="N94" s="1">
        <v>46254</v>
      </c>
      <c r="O94">
        <v>1796</v>
      </c>
      <c r="P94">
        <v>0</v>
      </c>
      <c r="Q94">
        <v>0</v>
      </c>
      <c r="R94">
        <v>0</v>
      </c>
      <c r="S94">
        <v>0</v>
      </c>
      <c r="T94">
        <v>0</v>
      </c>
      <c r="U94">
        <v>24130</v>
      </c>
      <c r="V94">
        <v>24130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s">
        <v>26</v>
      </c>
      <c r="AI94" t="s">
        <v>27</v>
      </c>
      <c r="AJ94" s="1"/>
      <c r="AK94" t="s">
        <v>28</v>
      </c>
      <c r="AL9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  <c r="AM94">
        <f>SUM(Rel_2026[[#This Row],[qtd_TrxContabil]:[VLR_EXP_SORTE]])</f>
        <v>50056</v>
      </c>
      <c r="AN9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</row>
    <row r="95" spans="1:40" x14ac:dyDescent="0.3">
      <c r="A95" t="str">
        <f>IF(Rel_2026[[#This Row],[Zero]]=0,"Zero",IF(Rel_2026[[#This Row],[Pontuação]]&gt;=10,"Sim",IF(Rel_2026[[#This Row],[Pontuação]]&gt;=5,"Próximo","Não")))</f>
        <v>Sim</v>
      </c>
      <c r="B95" t="str">
        <f>IF(Rel_2026[[#This Row],[Zero]]=0,"Zero",IF(Rel_2026[[#This Row],[Pontuação2]]&gt;=10,"Sim",IF(Rel_2026[[#This Row],[Pontuação2]]&gt;=5,"Próximo","Não")))</f>
        <v>Sim</v>
      </c>
      <c r="C95" t="str">
        <f>IFERROR(VLOOKUP(Rel_2026[[#This Row],[chave_loja]],Responsavel!A:B,2,FALSE),"EUCLIDES")</f>
        <v>ISMAEL</v>
      </c>
      <c r="D95" t="str">
        <f>LEFT(Rel_2026[[#This Row],[ag_pacb]],4)</f>
        <v>0704</v>
      </c>
      <c r="E95">
        <v>173520</v>
      </c>
      <c r="F95" t="s">
        <v>526</v>
      </c>
      <c r="G95" t="s">
        <v>527</v>
      </c>
      <c r="H95" s="1">
        <v>45910</v>
      </c>
      <c r="I95" t="s">
        <v>23</v>
      </c>
      <c r="J95" t="s">
        <v>75</v>
      </c>
      <c r="K95" s="1">
        <v>45903</v>
      </c>
      <c r="L95" s="1">
        <v>45918</v>
      </c>
      <c r="M95" t="s">
        <v>25</v>
      </c>
      <c r="N95" s="1">
        <v>46254</v>
      </c>
      <c r="O95">
        <v>528</v>
      </c>
      <c r="P95">
        <v>26</v>
      </c>
      <c r="Q95">
        <v>0</v>
      </c>
      <c r="R95">
        <v>16</v>
      </c>
      <c r="S95">
        <v>9</v>
      </c>
      <c r="T95">
        <v>0</v>
      </c>
      <c r="U95">
        <v>78087</v>
      </c>
      <c r="V95">
        <v>78087</v>
      </c>
      <c r="W95">
        <v>0</v>
      </c>
      <c r="X95">
        <v>0</v>
      </c>
      <c r="Y95">
        <v>0</v>
      </c>
      <c r="Z95">
        <v>0</v>
      </c>
      <c r="AA95">
        <v>0</v>
      </c>
      <c r="AB95">
        <v>4</v>
      </c>
      <c r="AC95">
        <v>0</v>
      </c>
      <c r="AD95">
        <v>0</v>
      </c>
      <c r="AE95">
        <v>0</v>
      </c>
      <c r="AF95">
        <v>12</v>
      </c>
      <c r="AG95">
        <v>0</v>
      </c>
      <c r="AH95" t="s">
        <v>38</v>
      </c>
      <c r="AI95" t="s">
        <v>27</v>
      </c>
      <c r="AJ95" s="1"/>
      <c r="AK95" t="s">
        <v>28</v>
      </c>
      <c r="AL9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156</v>
      </c>
      <c r="AM95">
        <f>SUM(Rel_2026[[#This Row],[qtd_TrxContabil]:[VLR_EXP_SORTE]])</f>
        <v>156769</v>
      </c>
      <c r="AN9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204</v>
      </c>
    </row>
    <row r="96" spans="1:40" x14ac:dyDescent="0.3">
      <c r="A96" t="str">
        <f>IF(Rel_2026[[#This Row],[Zero]]=0,"Zero",IF(Rel_2026[[#This Row],[Pontuação]]&gt;=10,"Sim",IF(Rel_2026[[#This Row],[Pontuação]]&gt;=5,"Próximo","Não")))</f>
        <v>Próximo</v>
      </c>
      <c r="B96" t="str">
        <f>IF(Rel_2026[[#This Row],[Zero]]=0,"Zero",IF(Rel_2026[[#This Row],[Pontuação2]]&gt;=10,"Sim",IF(Rel_2026[[#This Row],[Pontuação2]]&gt;=5,"Próximo","Não")))</f>
        <v>Sim</v>
      </c>
      <c r="C96" t="str">
        <f>IFERROR(VLOOKUP(Rel_2026[[#This Row],[chave_loja]],Responsavel!A:B,2,FALSE),"EUCLIDES")</f>
        <v>NYCOLLAS</v>
      </c>
      <c r="D96" t="str">
        <f>LEFT(Rel_2026[[#This Row],[ag_pacb]],4)</f>
        <v>5443</v>
      </c>
      <c r="E96">
        <v>239473</v>
      </c>
      <c r="F96" t="s">
        <v>258</v>
      </c>
      <c r="G96" t="s">
        <v>259</v>
      </c>
      <c r="H96" s="1">
        <v>45190</v>
      </c>
      <c r="I96" t="s">
        <v>23</v>
      </c>
      <c r="J96" t="s">
        <v>260</v>
      </c>
      <c r="K96" s="1">
        <v>44830</v>
      </c>
      <c r="L96" s="1">
        <v>46107</v>
      </c>
      <c r="M96" t="s">
        <v>32</v>
      </c>
      <c r="N96" s="1">
        <v>46254</v>
      </c>
      <c r="O96">
        <v>45</v>
      </c>
      <c r="P96">
        <v>1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s">
        <v>26</v>
      </c>
      <c r="AI96" t="s">
        <v>27</v>
      </c>
      <c r="AJ96" s="1"/>
      <c r="AK96" t="s">
        <v>28</v>
      </c>
      <c r="AL9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96">
        <f>SUM(Rel_2026[[#This Row],[qtd_TrxContabil]:[VLR_EXP_SORTE]])</f>
        <v>48</v>
      </c>
      <c r="AN9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97" spans="1:40" x14ac:dyDescent="0.3">
      <c r="A97" t="str">
        <f>IF(Rel_2026[[#This Row],[Zero]]=0,"Zero",IF(Rel_2026[[#This Row],[Pontuação]]&gt;=10,"Sim",IF(Rel_2026[[#This Row],[Pontuação]]&gt;=5,"Próximo","Não")))</f>
        <v>Sim</v>
      </c>
      <c r="B97" t="str">
        <f>IF(Rel_2026[[#This Row],[Zero]]=0,"Zero",IF(Rel_2026[[#This Row],[Pontuação2]]&gt;=10,"Sim",IF(Rel_2026[[#This Row],[Pontuação2]]&gt;=5,"Próximo","Não")))</f>
        <v>Sim</v>
      </c>
      <c r="C97" t="str">
        <f>IFERROR(VLOOKUP(Rel_2026[[#This Row],[chave_loja]],Responsavel!A:B,2,FALSE),"EUCLIDES")</f>
        <v>JUNIOR</v>
      </c>
      <c r="D97" t="str">
        <f>LEFT(Rel_2026[[#This Row],[ag_pacb]],4)</f>
        <v>1351</v>
      </c>
      <c r="E97">
        <v>240223</v>
      </c>
      <c r="F97" t="s">
        <v>1026</v>
      </c>
      <c r="G97" t="s">
        <v>1027</v>
      </c>
      <c r="H97" s="1">
        <v>45198</v>
      </c>
      <c r="I97" t="s">
        <v>23</v>
      </c>
      <c r="J97" t="s">
        <v>993</v>
      </c>
      <c r="K97" s="1">
        <v>45306</v>
      </c>
      <c r="L97" s="1">
        <v>44868</v>
      </c>
      <c r="M97" t="s">
        <v>32</v>
      </c>
      <c r="N97" s="1">
        <v>46253</v>
      </c>
      <c r="O97">
        <v>7</v>
      </c>
      <c r="P97">
        <v>2</v>
      </c>
      <c r="Q97">
        <v>2</v>
      </c>
      <c r="R97">
        <v>2</v>
      </c>
      <c r="S97">
        <v>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</v>
      </c>
      <c r="AC97">
        <v>0</v>
      </c>
      <c r="AD97">
        <v>0</v>
      </c>
      <c r="AE97">
        <v>0</v>
      </c>
      <c r="AF97">
        <v>2</v>
      </c>
      <c r="AG97">
        <v>0</v>
      </c>
      <c r="AH97" t="s">
        <v>26</v>
      </c>
      <c r="AI97" t="s">
        <v>27</v>
      </c>
      <c r="AJ97" s="1"/>
      <c r="AK97" t="s">
        <v>28</v>
      </c>
      <c r="AL9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97">
        <f>SUM(Rel_2026[[#This Row],[qtd_TrxContabil]:[VLR_EXP_SORTE]])</f>
        <v>19</v>
      </c>
      <c r="AN9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98" spans="1:40" x14ac:dyDescent="0.3">
      <c r="A98" t="str">
        <f>IF(Rel_2026[[#This Row],[Zero]]=0,"Zero",IF(Rel_2026[[#This Row],[Pontuação]]&gt;=10,"Sim",IF(Rel_2026[[#This Row],[Pontuação]]&gt;=5,"Próximo","Não")))</f>
        <v>Próximo</v>
      </c>
      <c r="B98" t="str">
        <f>IF(Rel_2026[[#This Row],[Zero]]=0,"Zero",IF(Rel_2026[[#This Row],[Pontuação2]]&gt;=10,"Sim",IF(Rel_2026[[#This Row],[Pontuação2]]&gt;=5,"Próximo","Não")))</f>
        <v>Próximo</v>
      </c>
      <c r="C98" t="str">
        <f>IFERROR(VLOOKUP(Rel_2026[[#This Row],[chave_loja]],Responsavel!A:B,2,FALSE),"EUCLIDES")</f>
        <v>JUNIOR</v>
      </c>
      <c r="D98" t="str">
        <f>LEFT(Rel_2026[[#This Row],[ag_pacb]],4)</f>
        <v>5367</v>
      </c>
      <c r="E98">
        <v>409604</v>
      </c>
      <c r="F98" t="s">
        <v>1388</v>
      </c>
      <c r="G98" t="s">
        <v>1389</v>
      </c>
      <c r="H98" s="1">
        <v>45700</v>
      </c>
      <c r="I98" t="s">
        <v>23</v>
      </c>
      <c r="J98" t="s">
        <v>31</v>
      </c>
      <c r="K98" s="1">
        <v>45695</v>
      </c>
      <c r="L98" s="1">
        <v>45702</v>
      </c>
      <c r="M98" t="s">
        <v>32</v>
      </c>
      <c r="N98" s="1">
        <v>46254</v>
      </c>
      <c r="O98">
        <v>816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 t="s">
        <v>38</v>
      </c>
      <c r="AI98" t="s">
        <v>27</v>
      </c>
      <c r="AJ98" s="1"/>
      <c r="AK98" t="s">
        <v>28</v>
      </c>
      <c r="AL9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98">
        <f>SUM(Rel_2026[[#This Row],[qtd_TrxContabil]:[VLR_EXP_SORTE]])</f>
        <v>819</v>
      </c>
      <c r="AN9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</row>
    <row r="99" spans="1:40" x14ac:dyDescent="0.3">
      <c r="A99" t="str">
        <f>IF(Rel_2026[[#This Row],[Zero]]=0,"Zero",IF(Rel_2026[[#This Row],[Pontuação]]&gt;=10,"Sim",IF(Rel_2026[[#This Row],[Pontuação]]&gt;=5,"Próximo","Não")))</f>
        <v>Não</v>
      </c>
      <c r="B99" t="str">
        <f>IF(Rel_2026[[#This Row],[Zero]]=0,"Zero",IF(Rel_2026[[#This Row],[Pontuação2]]&gt;=10,"Sim",IF(Rel_2026[[#This Row],[Pontuação2]]&gt;=5,"Próximo","Não")))</f>
        <v>Não</v>
      </c>
      <c r="C99" t="str">
        <f>IFERROR(VLOOKUP(Rel_2026[[#This Row],[chave_loja]],Responsavel!A:B,2,FALSE),"EUCLIDES")</f>
        <v>ROSSY</v>
      </c>
      <c r="D99" t="str">
        <f>LEFT(Rel_2026[[#This Row],[ag_pacb]],4)</f>
        <v>5798</v>
      </c>
      <c r="E99">
        <v>130791</v>
      </c>
      <c r="F99" t="s">
        <v>868</v>
      </c>
      <c r="G99" t="s">
        <v>869</v>
      </c>
      <c r="H99" s="1">
        <v>45770</v>
      </c>
      <c r="I99" t="s">
        <v>107</v>
      </c>
      <c r="J99" t="s">
        <v>850</v>
      </c>
      <c r="K99" s="1">
        <v>42153</v>
      </c>
      <c r="L99" s="1">
        <v>46225</v>
      </c>
      <c r="M99" t="s">
        <v>109</v>
      </c>
      <c r="N99" s="1">
        <v>46254</v>
      </c>
      <c r="O99">
        <v>363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s">
        <v>26</v>
      </c>
      <c r="AI99" t="s">
        <v>27</v>
      </c>
      <c r="AJ99" s="1"/>
      <c r="AK99" t="s">
        <v>28</v>
      </c>
      <c r="AL9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99">
        <f>SUM(Rel_2026[[#This Row],[qtd_TrxContabil]:[VLR_EXP_SORTE]])</f>
        <v>363</v>
      </c>
      <c r="AN9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00" spans="1:40" x14ac:dyDescent="0.3">
      <c r="A100" t="str">
        <f>IF(Rel_2026[[#This Row],[Zero]]=0,"Zero",IF(Rel_2026[[#This Row],[Pontuação]]&gt;=10,"Sim",IF(Rel_2026[[#This Row],[Pontuação]]&gt;=5,"Próximo","Não")))</f>
        <v>Não</v>
      </c>
      <c r="B100" t="str">
        <f>IF(Rel_2026[[#This Row],[Zero]]=0,"Zero",IF(Rel_2026[[#This Row],[Pontuação2]]&gt;=10,"Sim",IF(Rel_2026[[#This Row],[Pontuação2]]&gt;=5,"Próximo","Não")))</f>
        <v>Não</v>
      </c>
      <c r="C100" t="str">
        <f>IFERROR(VLOOKUP(Rel_2026[[#This Row],[chave_loja]],Responsavel!A:B,2,FALSE),"EUCLIDES")</f>
        <v>NYCOLLAS</v>
      </c>
      <c r="D100" t="str">
        <f>LEFT(Rel_2026[[#This Row],[ag_pacb]],4)</f>
        <v>0719</v>
      </c>
      <c r="E100">
        <v>76249</v>
      </c>
      <c r="F100" t="s">
        <v>541</v>
      </c>
      <c r="G100" t="s">
        <v>542</v>
      </c>
      <c r="H100" s="1">
        <v>45854</v>
      </c>
      <c r="I100" t="s">
        <v>23</v>
      </c>
      <c r="J100" t="s">
        <v>127</v>
      </c>
      <c r="K100" s="1">
        <v>42138</v>
      </c>
      <c r="L100" s="1">
        <v>45918</v>
      </c>
      <c r="M100" t="s">
        <v>32</v>
      </c>
      <c r="N100" s="1">
        <v>46254</v>
      </c>
      <c r="O100">
        <v>1184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s">
        <v>26</v>
      </c>
      <c r="AI100" t="s">
        <v>27</v>
      </c>
      <c r="AJ100" s="1"/>
      <c r="AK100" t="s">
        <v>28</v>
      </c>
      <c r="AL10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00">
        <f>SUM(Rel_2026[[#This Row],[qtd_TrxContabil]:[VLR_EXP_SORTE]])</f>
        <v>1184</v>
      </c>
      <c r="AN10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01" spans="1:40" x14ac:dyDescent="0.3">
      <c r="A101" t="str">
        <f>IF(Rel_2026[[#This Row],[Zero]]=0,"Zero",IF(Rel_2026[[#This Row],[Pontuação]]&gt;=10,"Sim",IF(Rel_2026[[#This Row],[Pontuação]]&gt;=5,"Próximo","Não")))</f>
        <v>Não</v>
      </c>
      <c r="B101" t="str">
        <f>IF(Rel_2026[[#This Row],[Zero]]=0,"Zero",IF(Rel_2026[[#This Row],[Pontuação2]]&gt;=10,"Sim",IF(Rel_2026[[#This Row],[Pontuação2]]&gt;=5,"Próximo","Não")))</f>
        <v>Não</v>
      </c>
      <c r="C101" t="str">
        <f>IFERROR(VLOOKUP(Rel_2026[[#This Row],[chave_loja]],Responsavel!A:B,2,FALSE),"EUCLIDES")</f>
        <v>ROSSY</v>
      </c>
      <c r="D101" t="str">
        <f>LEFT(Rel_2026[[#This Row],[ag_pacb]],4)</f>
        <v>5792</v>
      </c>
      <c r="E101">
        <v>188495</v>
      </c>
      <c r="F101" t="s">
        <v>920</v>
      </c>
      <c r="G101" t="s">
        <v>921</v>
      </c>
      <c r="H101" s="1">
        <v>45152</v>
      </c>
      <c r="I101" t="s">
        <v>107</v>
      </c>
      <c r="J101" t="s">
        <v>902</v>
      </c>
      <c r="K101" s="1">
        <v>43937</v>
      </c>
      <c r="L101" s="1">
        <v>46154</v>
      </c>
      <c r="M101" t="s">
        <v>109</v>
      </c>
      <c r="N101" s="1">
        <v>46254</v>
      </c>
      <c r="O101">
        <v>1188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s">
        <v>38</v>
      </c>
      <c r="AI101" t="s">
        <v>27</v>
      </c>
      <c r="AJ101" s="1"/>
      <c r="AK101" t="s">
        <v>28</v>
      </c>
      <c r="AL10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01">
        <f>SUM(Rel_2026[[#This Row],[qtd_TrxContabil]:[VLR_EXP_SORTE]])</f>
        <v>1188</v>
      </c>
      <c r="AN10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02" spans="1:40" x14ac:dyDescent="0.3">
      <c r="A102" t="str">
        <f>IF(Rel_2026[[#This Row],[Zero]]=0,"Zero",IF(Rel_2026[[#This Row],[Pontuação]]&gt;=10,"Sim",IF(Rel_2026[[#This Row],[Pontuação]]&gt;=5,"Próximo","Não")))</f>
        <v>Sim</v>
      </c>
      <c r="B102" t="str">
        <f>IF(Rel_2026[[#This Row],[Zero]]=0,"Zero",IF(Rel_2026[[#This Row],[Pontuação2]]&gt;=10,"Sim",IF(Rel_2026[[#This Row],[Pontuação2]]&gt;=5,"Próximo","Não")))</f>
        <v>Sim</v>
      </c>
      <c r="C102" t="str">
        <f>IFERROR(VLOOKUP(Rel_2026[[#This Row],[chave_loja]],Responsavel!A:B,2,FALSE),"EUCLIDES")</f>
        <v>JACK</v>
      </c>
      <c r="D102" t="str">
        <f>LEFT(Rel_2026[[#This Row],[ag_pacb]],4)</f>
        <v>1522</v>
      </c>
      <c r="E102">
        <v>248103</v>
      </c>
      <c r="F102" t="s">
        <v>940</v>
      </c>
      <c r="G102" t="s">
        <v>941</v>
      </c>
      <c r="H102" s="1">
        <v>45142</v>
      </c>
      <c r="I102" t="s">
        <v>107</v>
      </c>
      <c r="J102" t="s">
        <v>730</v>
      </c>
      <c r="K102" s="1">
        <v>45306</v>
      </c>
      <c r="L102" s="1">
        <v>45079</v>
      </c>
      <c r="M102" t="s">
        <v>109</v>
      </c>
      <c r="N102" s="1">
        <v>46254</v>
      </c>
      <c r="O102">
        <v>499</v>
      </c>
      <c r="P102">
        <v>5</v>
      </c>
      <c r="Q102">
        <v>5</v>
      </c>
      <c r="R102">
        <v>5</v>
      </c>
      <c r="S102">
        <v>0</v>
      </c>
      <c r="T102">
        <v>2700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s">
        <v>38</v>
      </c>
      <c r="AI102" t="s">
        <v>27</v>
      </c>
      <c r="AJ102" s="1"/>
      <c r="AK102" t="s">
        <v>28</v>
      </c>
      <c r="AL10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62</v>
      </c>
      <c r="AM102">
        <f>SUM(Rel_2026[[#This Row],[qtd_TrxContabil]:[VLR_EXP_SORTE]])</f>
        <v>3214</v>
      </c>
      <c r="AN10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77</v>
      </c>
    </row>
    <row r="103" spans="1:40" x14ac:dyDescent="0.3">
      <c r="A103" t="str">
        <f>IF(Rel_2026[[#This Row],[Zero]]=0,"Zero",IF(Rel_2026[[#This Row],[Pontuação]]&gt;=10,"Sim",IF(Rel_2026[[#This Row],[Pontuação]]&gt;=5,"Próximo","Não")))</f>
        <v>Sim</v>
      </c>
      <c r="B103" t="str">
        <f>IF(Rel_2026[[#This Row],[Zero]]=0,"Zero",IF(Rel_2026[[#This Row],[Pontuação2]]&gt;=10,"Sim",IF(Rel_2026[[#This Row],[Pontuação2]]&gt;=5,"Próximo","Não")))</f>
        <v>Sim</v>
      </c>
      <c r="C103" t="str">
        <f>IFERROR(VLOOKUP(Rel_2026[[#This Row],[chave_loja]],Responsavel!A:B,2,FALSE),"EUCLIDES")</f>
        <v>NYCOLLAS</v>
      </c>
      <c r="D103" t="str">
        <f>LEFT(Rel_2026[[#This Row],[ag_pacb]],4)</f>
        <v>0719</v>
      </c>
      <c r="E103">
        <v>116487</v>
      </c>
      <c r="F103" t="s">
        <v>643</v>
      </c>
      <c r="G103" t="s">
        <v>644</v>
      </c>
      <c r="H103" s="1">
        <v>45129</v>
      </c>
      <c r="I103" t="s">
        <v>23</v>
      </c>
      <c r="J103" t="s">
        <v>92</v>
      </c>
      <c r="K103" s="1">
        <v>42131</v>
      </c>
      <c r="L103" s="1">
        <v>46069</v>
      </c>
      <c r="M103" t="s">
        <v>32</v>
      </c>
      <c r="N103" s="1">
        <v>46254</v>
      </c>
      <c r="O103">
        <v>2966</v>
      </c>
      <c r="P103">
        <v>4</v>
      </c>
      <c r="Q103">
        <v>1</v>
      </c>
      <c r="R103">
        <v>4</v>
      </c>
      <c r="S103">
        <v>1</v>
      </c>
      <c r="T103">
        <v>932</v>
      </c>
      <c r="U103">
        <v>24143</v>
      </c>
      <c r="V103">
        <v>24143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3</v>
      </c>
      <c r="AG103">
        <v>5</v>
      </c>
      <c r="AH103" t="s">
        <v>26</v>
      </c>
      <c r="AI103" t="s">
        <v>27</v>
      </c>
      <c r="AJ103" s="1"/>
      <c r="AK103" t="s">
        <v>28</v>
      </c>
      <c r="AL10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49</v>
      </c>
      <c r="AM103">
        <f>SUM(Rel_2026[[#This Row],[qtd_TrxContabil]:[VLR_EXP_SORTE]])</f>
        <v>52203</v>
      </c>
      <c r="AN10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61</v>
      </c>
    </row>
    <row r="104" spans="1:40" x14ac:dyDescent="0.3">
      <c r="A104" t="str">
        <f>IF(Rel_2026[[#This Row],[Zero]]=0,"Zero",IF(Rel_2026[[#This Row],[Pontuação]]&gt;=10,"Sim",IF(Rel_2026[[#This Row],[Pontuação]]&gt;=5,"Próximo","Não")))</f>
        <v>Sim</v>
      </c>
      <c r="B104" t="str">
        <f>IF(Rel_2026[[#This Row],[Zero]]=0,"Zero",IF(Rel_2026[[#This Row],[Pontuação2]]&gt;=10,"Sim",IF(Rel_2026[[#This Row],[Pontuação2]]&gt;=5,"Próximo","Não")))</f>
        <v>Sim</v>
      </c>
      <c r="C104" t="str">
        <f>IFERROR(VLOOKUP(Rel_2026[[#This Row],[chave_loja]],Responsavel!A:B,2,FALSE),"EUCLIDES")</f>
        <v>JOSELITO</v>
      </c>
      <c r="D104" t="str">
        <f>LEFT(Rel_2026[[#This Row],[ag_pacb]],4)</f>
        <v>0685</v>
      </c>
      <c r="E104">
        <v>121585</v>
      </c>
      <c r="F104" t="s">
        <v>62</v>
      </c>
      <c r="G104" t="s">
        <v>63</v>
      </c>
      <c r="H104" s="1">
        <v>45139</v>
      </c>
      <c r="I104" t="s">
        <v>23</v>
      </c>
      <c r="J104" t="s">
        <v>64</v>
      </c>
      <c r="K104" s="1">
        <v>42172</v>
      </c>
      <c r="L104" s="1">
        <v>45512</v>
      </c>
      <c r="M104" t="s">
        <v>25</v>
      </c>
      <c r="N104" s="1">
        <v>46254</v>
      </c>
      <c r="O104">
        <v>932</v>
      </c>
      <c r="P104">
        <v>5</v>
      </c>
      <c r="Q104">
        <v>5</v>
      </c>
      <c r="R104">
        <v>5</v>
      </c>
      <c r="S104">
        <v>0</v>
      </c>
      <c r="T104">
        <v>1440</v>
      </c>
      <c r="U104">
        <v>0</v>
      </c>
      <c r="V104">
        <v>0</v>
      </c>
      <c r="W104">
        <v>0</v>
      </c>
      <c r="X104">
        <v>0</v>
      </c>
      <c r="Y104">
        <v>1500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s">
        <v>38</v>
      </c>
      <c r="AI104" t="s">
        <v>27</v>
      </c>
      <c r="AJ104" s="1"/>
      <c r="AK104" t="s">
        <v>28</v>
      </c>
      <c r="AL10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52</v>
      </c>
      <c r="AM104">
        <f>SUM(Rel_2026[[#This Row],[qtd_TrxContabil]:[VLR_EXP_SORTE]])</f>
        <v>3887</v>
      </c>
      <c r="AN10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67</v>
      </c>
    </row>
    <row r="105" spans="1:40" x14ac:dyDescent="0.3">
      <c r="A105" t="str">
        <f>IF(Rel_2026[[#This Row],[Zero]]=0,"Zero",IF(Rel_2026[[#This Row],[Pontuação]]&gt;=10,"Sim",IF(Rel_2026[[#This Row],[Pontuação]]&gt;=5,"Próximo","Não")))</f>
        <v>Sim</v>
      </c>
      <c r="B105" t="str">
        <f>IF(Rel_2026[[#This Row],[Zero]]=0,"Zero",IF(Rel_2026[[#This Row],[Pontuação2]]&gt;=10,"Sim",IF(Rel_2026[[#This Row],[Pontuação2]]&gt;=5,"Próximo","Não")))</f>
        <v>Sim</v>
      </c>
      <c r="C105" t="str">
        <f>IFERROR(VLOOKUP(Rel_2026[[#This Row],[chave_loja]],Responsavel!A:B,2,FALSE),"EUCLIDES")</f>
        <v>JACK</v>
      </c>
      <c r="D105" t="str">
        <f>LEFT(Rel_2026[[#This Row],[ag_pacb]],4)</f>
        <v>5806</v>
      </c>
      <c r="E105">
        <v>250808</v>
      </c>
      <c r="F105" t="s">
        <v>946</v>
      </c>
      <c r="G105" t="s">
        <v>947</v>
      </c>
      <c r="H105" s="1">
        <v>45240</v>
      </c>
      <c r="I105" t="s">
        <v>107</v>
      </c>
      <c r="J105" t="s">
        <v>917</v>
      </c>
      <c r="K105" s="1">
        <v>45306</v>
      </c>
      <c r="L105" s="1">
        <v>46168</v>
      </c>
      <c r="M105" t="s">
        <v>109</v>
      </c>
      <c r="N105" s="1">
        <v>46254</v>
      </c>
      <c r="O105">
        <v>491</v>
      </c>
      <c r="P105">
        <v>6</v>
      </c>
      <c r="Q105">
        <v>2</v>
      </c>
      <c r="R105">
        <v>6</v>
      </c>
      <c r="S105">
        <v>0</v>
      </c>
      <c r="T105">
        <v>219</v>
      </c>
      <c r="U105">
        <v>17271</v>
      </c>
      <c r="V105">
        <v>17271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s">
        <v>26</v>
      </c>
      <c r="AI105" t="s">
        <v>27</v>
      </c>
      <c r="AJ105" s="1"/>
      <c r="AK105" t="s">
        <v>28</v>
      </c>
      <c r="AL10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45</v>
      </c>
      <c r="AM105">
        <f>SUM(Rel_2026[[#This Row],[qtd_TrxContabil]:[VLR_EXP_SORTE]])</f>
        <v>35266</v>
      </c>
      <c r="AN10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63</v>
      </c>
    </row>
    <row r="106" spans="1:40" x14ac:dyDescent="0.3">
      <c r="A106" t="str">
        <f>IF(Rel_2026[[#This Row],[Zero]]=0,"Zero",IF(Rel_2026[[#This Row],[Pontuação]]&gt;=10,"Sim",IF(Rel_2026[[#This Row],[Pontuação]]&gt;=5,"Próximo","Não")))</f>
        <v>Não</v>
      </c>
      <c r="B106" t="str">
        <f>IF(Rel_2026[[#This Row],[Zero]]=0,"Zero",IF(Rel_2026[[#This Row],[Pontuação2]]&gt;=10,"Sim",IF(Rel_2026[[#This Row],[Pontuação2]]&gt;=5,"Próximo","Não")))</f>
        <v>Próximo</v>
      </c>
      <c r="C106" t="str">
        <f>IFERROR(VLOOKUP(Rel_2026[[#This Row],[chave_loja]],Responsavel!A:B,2,FALSE),"EUCLIDES")</f>
        <v>CÉLIO</v>
      </c>
      <c r="D106" t="str">
        <f>LEFT(Rel_2026[[#This Row],[ag_pacb]],4)</f>
        <v>3456</v>
      </c>
      <c r="E106">
        <v>38819</v>
      </c>
      <c r="F106" t="s">
        <v>1088</v>
      </c>
      <c r="G106" t="s">
        <v>1089</v>
      </c>
      <c r="H106" s="1">
        <v>44956</v>
      </c>
      <c r="I106" t="s">
        <v>23</v>
      </c>
      <c r="J106" t="s">
        <v>24</v>
      </c>
      <c r="K106" s="1">
        <v>42130</v>
      </c>
      <c r="L106" s="1">
        <v>45497</v>
      </c>
      <c r="M106" t="s">
        <v>25</v>
      </c>
      <c r="N106" s="1">
        <v>46254</v>
      </c>
      <c r="O106">
        <v>101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s">
        <v>26</v>
      </c>
      <c r="AI106" t="s">
        <v>27</v>
      </c>
      <c r="AJ106" s="1"/>
      <c r="AK106" t="s">
        <v>28</v>
      </c>
      <c r="AL10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106">
        <f>SUM(Rel_2026[[#This Row],[qtd_TrxContabil]:[VLR_EXP_SORTE]])</f>
        <v>103</v>
      </c>
      <c r="AN10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107" spans="1:40" x14ac:dyDescent="0.3">
      <c r="A107" t="str">
        <f>IF(Rel_2026[[#This Row],[Zero]]=0,"Zero",IF(Rel_2026[[#This Row],[Pontuação]]&gt;=10,"Sim",IF(Rel_2026[[#This Row],[Pontuação]]&gt;=5,"Próximo","Não")))</f>
        <v>Sim</v>
      </c>
      <c r="B107" t="str">
        <f>IF(Rel_2026[[#This Row],[Zero]]=0,"Zero",IF(Rel_2026[[#This Row],[Pontuação2]]&gt;=10,"Sim",IF(Rel_2026[[#This Row],[Pontuação2]]&gt;=5,"Próximo","Não")))</f>
        <v>Sim</v>
      </c>
      <c r="C107" t="str">
        <f>IFERROR(VLOOKUP(Rel_2026[[#This Row],[chave_loja]],Responsavel!A:B,2,FALSE),"EUCLIDES")</f>
        <v>ISMAEL</v>
      </c>
      <c r="D107" t="str">
        <f>LEFT(Rel_2026[[#This Row],[ag_pacb]],4)</f>
        <v>0704</v>
      </c>
      <c r="E107">
        <v>242980</v>
      </c>
      <c r="F107" t="s">
        <v>207</v>
      </c>
      <c r="G107" t="s">
        <v>208</v>
      </c>
      <c r="H107" s="1">
        <v>45374</v>
      </c>
      <c r="I107" t="s">
        <v>23</v>
      </c>
      <c r="J107" t="s">
        <v>75</v>
      </c>
      <c r="K107" s="1">
        <v>45306</v>
      </c>
      <c r="L107" s="1">
        <v>44914</v>
      </c>
      <c r="M107" t="s">
        <v>25</v>
      </c>
      <c r="N107" s="1">
        <v>46254</v>
      </c>
      <c r="O107">
        <v>272</v>
      </c>
      <c r="P107">
        <v>1</v>
      </c>
      <c r="Q107">
        <v>1</v>
      </c>
      <c r="R107">
        <v>0</v>
      </c>
      <c r="S107">
        <v>0</v>
      </c>
      <c r="T107">
        <v>1070</v>
      </c>
      <c r="U107">
        <v>5000</v>
      </c>
      <c r="V107">
        <v>5000</v>
      </c>
      <c r="W107">
        <v>0</v>
      </c>
      <c r="X107">
        <v>0</v>
      </c>
      <c r="Y107">
        <v>3500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 t="s">
        <v>26</v>
      </c>
      <c r="AI107" t="s">
        <v>27</v>
      </c>
      <c r="AJ107" s="1"/>
      <c r="AK107" t="s">
        <v>28</v>
      </c>
      <c r="AL10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  <c r="AM107">
        <f>SUM(Rel_2026[[#This Row],[qtd_TrxContabil]:[VLR_EXP_SORTE]])</f>
        <v>14845</v>
      </c>
      <c r="AN10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</row>
    <row r="108" spans="1:40" x14ac:dyDescent="0.3">
      <c r="A108" t="str">
        <f>IF(Rel_2026[[#This Row],[Zero]]=0,"Zero",IF(Rel_2026[[#This Row],[Pontuação]]&gt;=10,"Sim",IF(Rel_2026[[#This Row],[Pontuação]]&gt;=5,"Próximo","Não")))</f>
        <v>Não</v>
      </c>
      <c r="B108" t="str">
        <f>IF(Rel_2026[[#This Row],[Zero]]=0,"Zero",IF(Rel_2026[[#This Row],[Pontuação2]]&gt;=10,"Sim",IF(Rel_2026[[#This Row],[Pontuação2]]&gt;=5,"Próximo","Não")))</f>
        <v>Não</v>
      </c>
      <c r="C108" t="str">
        <f>IFERROR(VLOOKUP(Rel_2026[[#This Row],[chave_loja]],Responsavel!A:B,2,FALSE),"EUCLIDES")</f>
        <v>GIL</v>
      </c>
      <c r="D108" t="str">
        <f>LEFT(Rel_2026[[#This Row],[ag_pacb]],4)</f>
        <v>0715</v>
      </c>
      <c r="E108">
        <v>254725</v>
      </c>
      <c r="F108" t="s">
        <v>419</v>
      </c>
      <c r="G108" t="s">
        <v>420</v>
      </c>
      <c r="H108" s="1">
        <v>45246</v>
      </c>
      <c r="I108" t="s">
        <v>23</v>
      </c>
      <c r="J108" t="s">
        <v>141</v>
      </c>
      <c r="K108" s="1">
        <v>45306</v>
      </c>
      <c r="L108" s="1">
        <v>45267</v>
      </c>
      <c r="M108" t="s">
        <v>32</v>
      </c>
      <c r="N108" s="1">
        <v>46254</v>
      </c>
      <c r="O108">
        <v>182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s">
        <v>26</v>
      </c>
      <c r="AI108" t="s">
        <v>27</v>
      </c>
      <c r="AJ108" s="1"/>
      <c r="AK108" t="s">
        <v>28</v>
      </c>
      <c r="AL10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08">
        <f>SUM(Rel_2026[[#This Row],[qtd_TrxContabil]:[VLR_EXP_SORTE]])</f>
        <v>182</v>
      </c>
      <c r="AN10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09" spans="1:40" x14ac:dyDescent="0.3">
      <c r="A109" t="str">
        <f>IF(Rel_2026[[#This Row],[Zero]]=0,"Zero",IF(Rel_2026[[#This Row],[Pontuação]]&gt;=10,"Sim",IF(Rel_2026[[#This Row],[Pontuação]]&gt;=5,"Próximo","Não")))</f>
        <v>Não</v>
      </c>
      <c r="B109" t="str">
        <f>IF(Rel_2026[[#This Row],[Zero]]=0,"Zero",IF(Rel_2026[[#This Row],[Pontuação2]]&gt;=10,"Sim",IF(Rel_2026[[#This Row],[Pontuação2]]&gt;=5,"Próximo","Não")))</f>
        <v>Não</v>
      </c>
      <c r="C109" t="str">
        <f>IFERROR(VLOOKUP(Rel_2026[[#This Row],[chave_loja]],Responsavel!A:B,2,FALSE),"EUCLIDES")</f>
        <v>GIL</v>
      </c>
      <c r="D109" t="str">
        <f>LEFT(Rel_2026[[#This Row],[ag_pacb]],4)</f>
        <v>0715</v>
      </c>
      <c r="E109">
        <v>56376</v>
      </c>
      <c r="F109" t="s">
        <v>1323</v>
      </c>
      <c r="G109" t="s">
        <v>1324</v>
      </c>
      <c r="H109" s="1">
        <v>44393</v>
      </c>
      <c r="I109" t="s">
        <v>23</v>
      </c>
      <c r="J109" t="s">
        <v>240</v>
      </c>
      <c r="K109" s="1">
        <v>42187</v>
      </c>
      <c r="L109" s="1">
        <v>45467</v>
      </c>
      <c r="M109" t="s">
        <v>32</v>
      </c>
      <c r="N109" s="1">
        <v>46254</v>
      </c>
      <c r="O109">
        <v>152</v>
      </c>
      <c r="P109">
        <v>0</v>
      </c>
      <c r="Q109">
        <v>0</v>
      </c>
      <c r="R109">
        <v>0</v>
      </c>
      <c r="S109">
        <v>0</v>
      </c>
      <c r="T109">
        <v>350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s">
        <v>26</v>
      </c>
      <c r="AI109" t="s">
        <v>27</v>
      </c>
      <c r="AJ109" s="1"/>
      <c r="AK109" t="s">
        <v>28</v>
      </c>
      <c r="AL10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</v>
      </c>
      <c r="AM109">
        <f>SUM(Rel_2026[[#This Row],[qtd_TrxContabil]:[VLR_EXP_SORTE]])</f>
        <v>502</v>
      </c>
      <c r="AN10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</v>
      </c>
    </row>
    <row r="110" spans="1:40" x14ac:dyDescent="0.3">
      <c r="A110" t="str">
        <f>IF(Rel_2026[[#This Row],[Zero]]=0,"Zero",IF(Rel_2026[[#This Row],[Pontuação]]&gt;=10,"Sim",IF(Rel_2026[[#This Row],[Pontuação]]&gt;=5,"Próximo","Não")))</f>
        <v>Não</v>
      </c>
      <c r="B110" t="str">
        <f>IF(Rel_2026[[#This Row],[Zero]]=0,"Zero",IF(Rel_2026[[#This Row],[Pontuação2]]&gt;=10,"Sim",IF(Rel_2026[[#This Row],[Pontuação2]]&gt;=5,"Próximo","Não")))</f>
        <v>Não</v>
      </c>
      <c r="C110" t="str">
        <f>IFERROR(VLOOKUP(Rel_2026[[#This Row],[chave_loja]],Responsavel!A:B,2,FALSE),"EUCLIDES")</f>
        <v>CÉLIO</v>
      </c>
      <c r="D110" t="str">
        <f>LEFT(Rel_2026[[#This Row],[ag_pacb]],4)</f>
        <v>0625</v>
      </c>
      <c r="E110">
        <v>184635</v>
      </c>
      <c r="F110" t="s">
        <v>224</v>
      </c>
      <c r="G110" t="s">
        <v>225</v>
      </c>
      <c r="H110" s="1">
        <v>45940</v>
      </c>
      <c r="I110" t="s">
        <v>23</v>
      </c>
      <c r="J110" t="s">
        <v>24</v>
      </c>
      <c r="K110" s="1">
        <v>43815</v>
      </c>
      <c r="L110" s="1">
        <v>45618</v>
      </c>
      <c r="M110" t="s">
        <v>32</v>
      </c>
      <c r="N110" s="1">
        <v>46254</v>
      </c>
      <c r="O110">
        <v>285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s">
        <v>26</v>
      </c>
      <c r="AI110" t="s">
        <v>27</v>
      </c>
      <c r="AJ110" s="1"/>
      <c r="AK110" t="s">
        <v>28</v>
      </c>
      <c r="AL1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10">
        <f>SUM(Rel_2026[[#This Row],[qtd_TrxContabil]:[VLR_EXP_SORTE]])</f>
        <v>285</v>
      </c>
      <c r="AN1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11" spans="1:40" x14ac:dyDescent="0.3">
      <c r="A111" t="str">
        <f>IF(Rel_2026[[#This Row],[Zero]]=0,"Zero",IF(Rel_2026[[#This Row],[Pontuação]]&gt;=10,"Sim",IF(Rel_2026[[#This Row],[Pontuação]]&gt;=5,"Próximo","Não")))</f>
        <v>Não</v>
      </c>
      <c r="B111" t="str">
        <f>IF(Rel_2026[[#This Row],[Zero]]=0,"Zero",IF(Rel_2026[[#This Row],[Pontuação2]]&gt;=10,"Sim",IF(Rel_2026[[#This Row],[Pontuação2]]&gt;=5,"Próximo","Não")))</f>
        <v>Não</v>
      </c>
      <c r="C111" t="str">
        <f>IFERROR(VLOOKUP(Rel_2026[[#This Row],[chave_loja]],Responsavel!A:B,2,FALSE),"EUCLIDES")</f>
        <v>ROSSY</v>
      </c>
      <c r="D111" t="str">
        <f>LEFT(Rel_2026[[#This Row],[ag_pacb]],4)</f>
        <v>5790</v>
      </c>
      <c r="E111">
        <v>401192</v>
      </c>
      <c r="F111" t="s">
        <v>948</v>
      </c>
      <c r="G111" t="s">
        <v>949</v>
      </c>
      <c r="H111" s="1">
        <v>45433</v>
      </c>
      <c r="I111" t="s">
        <v>107</v>
      </c>
      <c r="J111" t="s">
        <v>818</v>
      </c>
      <c r="K111" s="1">
        <v>45330</v>
      </c>
      <c r="L111" s="1">
        <v>46079</v>
      </c>
      <c r="M111" t="s">
        <v>109</v>
      </c>
      <c r="N111" s="1">
        <v>46254</v>
      </c>
      <c r="O111">
        <v>569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s">
        <v>38</v>
      </c>
      <c r="AI111" t="s">
        <v>27</v>
      </c>
      <c r="AJ111" s="1"/>
      <c r="AK111" t="s">
        <v>28</v>
      </c>
      <c r="AL1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11">
        <f>SUM(Rel_2026[[#This Row],[qtd_TrxContabil]:[VLR_EXP_SORTE]])</f>
        <v>569</v>
      </c>
      <c r="AN1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12" spans="1:40" x14ac:dyDescent="0.3">
      <c r="A112" t="str">
        <f>IF(Rel_2026[[#This Row],[Zero]]=0,"Zero",IF(Rel_2026[[#This Row],[Pontuação]]&gt;=10,"Sim",IF(Rel_2026[[#This Row],[Pontuação]]&gt;=5,"Próximo","Não")))</f>
        <v>Próximo</v>
      </c>
      <c r="B112" t="str">
        <f>IF(Rel_2026[[#This Row],[Zero]]=0,"Zero",IF(Rel_2026[[#This Row],[Pontuação2]]&gt;=10,"Sim",IF(Rel_2026[[#This Row],[Pontuação2]]&gt;=5,"Próximo","Não")))</f>
        <v>Sim</v>
      </c>
      <c r="C112" t="str">
        <f>IFERROR(VLOOKUP(Rel_2026[[#This Row],[chave_loja]],Responsavel!A:B,2,FALSE),"EUCLIDES")</f>
        <v>IVAN</v>
      </c>
      <c r="D112" t="str">
        <f>LEFT(Rel_2026[[#This Row],[ag_pacb]],4)</f>
        <v>5449</v>
      </c>
      <c r="E112">
        <v>418373</v>
      </c>
      <c r="F112" t="s">
        <v>736</v>
      </c>
      <c r="G112" t="s">
        <v>737</v>
      </c>
      <c r="H112" s="1">
        <v>45943</v>
      </c>
      <c r="I112" t="s">
        <v>23</v>
      </c>
      <c r="J112" t="s">
        <v>102</v>
      </c>
      <c r="K112" s="1">
        <v>45930</v>
      </c>
      <c r="L112" s="1">
        <v>45968</v>
      </c>
      <c r="M112" t="s">
        <v>25</v>
      </c>
      <c r="N112" s="1">
        <v>46252</v>
      </c>
      <c r="O112">
        <v>7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s">
        <v>26</v>
      </c>
      <c r="AI112" t="s">
        <v>27</v>
      </c>
      <c r="AJ112" s="1"/>
      <c r="AK112" t="s">
        <v>28</v>
      </c>
      <c r="AL1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112">
        <f>SUM(Rel_2026[[#This Row],[qtd_TrxContabil]:[VLR_EXP_SORTE]])</f>
        <v>10</v>
      </c>
      <c r="AN1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113" spans="1:40" x14ac:dyDescent="0.3">
      <c r="A113" t="str">
        <f>IF(Rel_2026[[#This Row],[Zero]]=0,"Zero",IF(Rel_2026[[#This Row],[Pontuação]]&gt;=10,"Sim",IF(Rel_2026[[#This Row],[Pontuação]]&gt;=5,"Próximo","Não")))</f>
        <v>Sim</v>
      </c>
      <c r="B113" t="str">
        <f>IF(Rel_2026[[#This Row],[Zero]]=0,"Zero",IF(Rel_2026[[#This Row],[Pontuação2]]&gt;=10,"Sim",IF(Rel_2026[[#This Row],[Pontuação2]]&gt;=5,"Próximo","Não")))</f>
        <v>Sim</v>
      </c>
      <c r="C113" t="str">
        <f>IFERROR(VLOOKUP(Rel_2026[[#This Row],[chave_loja]],Responsavel!A:B,2,FALSE),"EUCLIDES")</f>
        <v>ISMAEL</v>
      </c>
      <c r="D113" t="str">
        <f>LEFT(Rel_2026[[#This Row],[ag_pacb]],4)</f>
        <v>0704</v>
      </c>
      <c r="E113">
        <v>62265</v>
      </c>
      <c r="F113" t="s">
        <v>302</v>
      </c>
      <c r="G113" t="s">
        <v>303</v>
      </c>
      <c r="H113" s="1">
        <v>45147</v>
      </c>
      <c r="I113" t="s">
        <v>23</v>
      </c>
      <c r="J113" t="s">
        <v>266</v>
      </c>
      <c r="K113" s="1">
        <v>42142</v>
      </c>
      <c r="L113" s="1">
        <v>46174</v>
      </c>
      <c r="M113" t="s">
        <v>25</v>
      </c>
      <c r="N113" s="1">
        <v>46254</v>
      </c>
      <c r="O113">
        <v>910</v>
      </c>
      <c r="P113">
        <v>1</v>
      </c>
      <c r="Q113">
        <v>1</v>
      </c>
      <c r="R113">
        <v>1</v>
      </c>
      <c r="S113">
        <v>0</v>
      </c>
      <c r="T113">
        <v>1200</v>
      </c>
      <c r="U113">
        <v>5116</v>
      </c>
      <c r="V113">
        <v>5116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4</v>
      </c>
      <c r="AG113">
        <v>20</v>
      </c>
      <c r="AH113" t="s">
        <v>38</v>
      </c>
      <c r="AI113" t="s">
        <v>27</v>
      </c>
      <c r="AJ113" s="1"/>
      <c r="AK113" t="s">
        <v>28</v>
      </c>
      <c r="AL1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  <c r="AM113">
        <f>SUM(Rel_2026[[#This Row],[qtd_TrxContabil]:[VLR_EXP_SORTE]])</f>
        <v>12369</v>
      </c>
      <c r="AN1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27</v>
      </c>
    </row>
    <row r="114" spans="1:40" x14ac:dyDescent="0.3">
      <c r="A114" t="str">
        <f>IF(Rel_2026[[#This Row],[Zero]]=0,"Zero",IF(Rel_2026[[#This Row],[Pontuação]]&gt;=10,"Sim",IF(Rel_2026[[#This Row],[Pontuação]]&gt;=5,"Próximo","Não")))</f>
        <v>Sim</v>
      </c>
      <c r="B114" t="str">
        <f>IF(Rel_2026[[#This Row],[Zero]]=0,"Zero",IF(Rel_2026[[#This Row],[Pontuação2]]&gt;=10,"Sim",IF(Rel_2026[[#This Row],[Pontuação2]]&gt;=5,"Próximo","Não")))</f>
        <v>Sim</v>
      </c>
      <c r="C114" t="str">
        <f>IFERROR(VLOOKUP(Rel_2026[[#This Row],[chave_loja]],Responsavel!A:B,2,FALSE),"EUCLIDES")</f>
        <v>JUNIOR</v>
      </c>
      <c r="D114" t="str">
        <f>LEFT(Rel_2026[[#This Row],[ag_pacb]],4)</f>
        <v>0684</v>
      </c>
      <c r="E114">
        <v>216073</v>
      </c>
      <c r="F114" t="s">
        <v>447</v>
      </c>
      <c r="G114" t="s">
        <v>448</v>
      </c>
      <c r="H114" s="1">
        <v>45141</v>
      </c>
      <c r="I114" t="s">
        <v>23</v>
      </c>
      <c r="J114" t="s">
        <v>133</v>
      </c>
      <c r="K114" s="1">
        <v>45306</v>
      </c>
      <c r="L114" s="1">
        <v>46034</v>
      </c>
      <c r="M114" t="s">
        <v>32</v>
      </c>
      <c r="N114" s="1">
        <v>46254</v>
      </c>
      <c r="O114">
        <v>91</v>
      </c>
      <c r="P114">
        <v>4</v>
      </c>
      <c r="Q114">
        <v>3</v>
      </c>
      <c r="R114">
        <v>4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s">
        <v>26</v>
      </c>
      <c r="AI114" t="s">
        <v>27</v>
      </c>
      <c r="AJ114" s="1"/>
      <c r="AK114" t="s">
        <v>28</v>
      </c>
      <c r="AL1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  <c r="AM114">
        <f>SUM(Rel_2026[[#This Row],[qtd_TrxContabil]:[VLR_EXP_SORTE]])</f>
        <v>104</v>
      </c>
      <c r="AN1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36</v>
      </c>
    </row>
    <row r="115" spans="1:40" x14ac:dyDescent="0.3">
      <c r="A115" t="str">
        <f>IF(Rel_2026[[#This Row],[Zero]]=0,"Zero",IF(Rel_2026[[#This Row],[Pontuação]]&gt;=10,"Sim",IF(Rel_2026[[#This Row],[Pontuação]]&gt;=5,"Próximo","Não")))</f>
        <v>Próximo</v>
      </c>
      <c r="B115" t="str">
        <f>IF(Rel_2026[[#This Row],[Zero]]=0,"Zero",IF(Rel_2026[[#This Row],[Pontuação2]]&gt;=10,"Sim",IF(Rel_2026[[#This Row],[Pontuação2]]&gt;=5,"Próximo","Não")))</f>
        <v>Sim</v>
      </c>
      <c r="C115" t="str">
        <f>IFERROR(VLOOKUP(Rel_2026[[#This Row],[chave_loja]],Responsavel!A:B,2,FALSE),"EUCLIDES")</f>
        <v>WASTHSON</v>
      </c>
      <c r="D115" t="str">
        <f>LEFT(Rel_2026[[#This Row],[ag_pacb]],4)</f>
        <v>5415</v>
      </c>
      <c r="E115">
        <v>410810</v>
      </c>
      <c r="F115" t="s">
        <v>157</v>
      </c>
      <c r="G115" t="s">
        <v>762</v>
      </c>
      <c r="H115" s="1">
        <v>45775</v>
      </c>
      <c r="I115" t="s">
        <v>23</v>
      </c>
      <c r="J115" t="s">
        <v>158</v>
      </c>
      <c r="K115" s="1">
        <v>45742</v>
      </c>
      <c r="L115" s="1">
        <v>45782</v>
      </c>
      <c r="M115" t="s">
        <v>32</v>
      </c>
      <c r="N115" s="1">
        <v>46254</v>
      </c>
      <c r="O115">
        <v>200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s">
        <v>38</v>
      </c>
      <c r="AI115" t="s">
        <v>27</v>
      </c>
      <c r="AJ115" s="1"/>
      <c r="AK115" t="s">
        <v>28</v>
      </c>
      <c r="AL1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115">
        <f>SUM(Rel_2026[[#This Row],[qtd_TrxContabil]:[VLR_EXP_SORTE]])</f>
        <v>203</v>
      </c>
      <c r="AN1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116" spans="1:40" x14ac:dyDescent="0.3">
      <c r="A116" t="str">
        <f>IF(Rel_2026[[#This Row],[Zero]]=0,"Zero",IF(Rel_2026[[#This Row],[Pontuação]]&gt;=10,"Sim",IF(Rel_2026[[#This Row],[Pontuação]]&gt;=5,"Próximo","Não")))</f>
        <v>Sim</v>
      </c>
      <c r="B116" t="str">
        <f>IF(Rel_2026[[#This Row],[Zero]]=0,"Zero",IF(Rel_2026[[#This Row],[Pontuação2]]&gt;=10,"Sim",IF(Rel_2026[[#This Row],[Pontuação2]]&gt;=5,"Próximo","Não")))</f>
        <v>Sim</v>
      </c>
      <c r="C116" t="str">
        <f>IFERROR(VLOOKUP(Rel_2026[[#This Row],[chave_loja]],Responsavel!A:B,2,FALSE),"EUCLIDES")</f>
        <v>WASTHSON</v>
      </c>
      <c r="D116" t="str">
        <f>LEFT(Rel_2026[[#This Row],[ag_pacb]],4)</f>
        <v>0458</v>
      </c>
      <c r="E116">
        <v>25246</v>
      </c>
      <c r="F116" t="s">
        <v>621</v>
      </c>
      <c r="G116" t="s">
        <v>622</v>
      </c>
      <c r="H116" s="1">
        <v>44223</v>
      </c>
      <c r="I116" t="s">
        <v>23</v>
      </c>
      <c r="J116" t="s">
        <v>226</v>
      </c>
      <c r="K116" s="1">
        <v>42130</v>
      </c>
      <c r="L116" s="1">
        <v>46191</v>
      </c>
      <c r="M116" t="s">
        <v>32</v>
      </c>
      <c r="N116" s="1">
        <v>46254</v>
      </c>
      <c r="O116">
        <v>1252</v>
      </c>
      <c r="P116">
        <v>10</v>
      </c>
      <c r="Q116">
        <v>0</v>
      </c>
      <c r="R116">
        <v>2</v>
      </c>
      <c r="S116">
        <v>0</v>
      </c>
      <c r="T116">
        <v>0</v>
      </c>
      <c r="U116">
        <v>7000</v>
      </c>
      <c r="V116">
        <v>0</v>
      </c>
      <c r="W116">
        <v>0</v>
      </c>
      <c r="X116">
        <v>7000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6</v>
      </c>
      <c r="AG116">
        <v>0</v>
      </c>
      <c r="AH116" t="s">
        <v>26</v>
      </c>
      <c r="AI116" t="s">
        <v>27</v>
      </c>
      <c r="AJ116" s="1"/>
      <c r="AK116" t="s">
        <v>28</v>
      </c>
      <c r="AL1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37</v>
      </c>
      <c r="AM116">
        <f>SUM(Rel_2026[[#This Row],[qtd_TrxContabil]:[VLR_EXP_SORTE]])</f>
        <v>15270</v>
      </c>
      <c r="AN1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43</v>
      </c>
    </row>
    <row r="117" spans="1:40" x14ac:dyDescent="0.3">
      <c r="A117" t="str">
        <f>IF(Rel_2026[[#This Row],[Zero]]=0,"Zero",IF(Rel_2026[[#This Row],[Pontuação]]&gt;=10,"Sim",IF(Rel_2026[[#This Row],[Pontuação]]&gt;=5,"Próximo","Não")))</f>
        <v>Próximo</v>
      </c>
      <c r="B117" t="str">
        <f>IF(Rel_2026[[#This Row],[Zero]]=0,"Zero",IF(Rel_2026[[#This Row],[Pontuação2]]&gt;=10,"Sim",IF(Rel_2026[[#This Row],[Pontuação2]]&gt;=5,"Próximo","Não")))</f>
        <v>Sim</v>
      </c>
      <c r="C117" t="str">
        <f>IFERROR(VLOOKUP(Rel_2026[[#This Row],[chave_loja]],Responsavel!A:B,2,FALSE),"EUCLIDES")</f>
        <v>ISMAEL</v>
      </c>
      <c r="D117" t="str">
        <f>LEFT(Rel_2026[[#This Row],[ag_pacb]],4)</f>
        <v>0704</v>
      </c>
      <c r="E117">
        <v>153740</v>
      </c>
      <c r="F117" t="s">
        <v>579</v>
      </c>
      <c r="G117" t="s">
        <v>580</v>
      </c>
      <c r="H117" s="1">
        <v>44393</v>
      </c>
      <c r="I117" t="s">
        <v>23</v>
      </c>
      <c r="J117" t="s">
        <v>266</v>
      </c>
      <c r="K117" s="1">
        <v>42664</v>
      </c>
      <c r="L117" s="1">
        <v>44663</v>
      </c>
      <c r="M117" t="s">
        <v>25</v>
      </c>
      <c r="N117" s="1">
        <v>46254</v>
      </c>
      <c r="O117">
        <v>1156</v>
      </c>
      <c r="P117">
        <v>1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 t="s">
        <v>38</v>
      </c>
      <c r="AI117" t="s">
        <v>27</v>
      </c>
      <c r="AJ117" s="1"/>
      <c r="AK117" t="s">
        <v>28</v>
      </c>
      <c r="AL1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117">
        <f>SUM(Rel_2026[[#This Row],[qtd_TrxContabil]:[VLR_EXP_SORTE]])</f>
        <v>1160</v>
      </c>
      <c r="AN1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118" spans="1:40" x14ac:dyDescent="0.3">
      <c r="A118" t="str">
        <f>IF(Rel_2026[[#This Row],[Zero]]=0,"Zero",IF(Rel_2026[[#This Row],[Pontuação]]&gt;=10,"Sim",IF(Rel_2026[[#This Row],[Pontuação]]&gt;=5,"Próximo","Não")))</f>
        <v>Zero</v>
      </c>
      <c r="B118" t="str">
        <f>IF(Rel_2026[[#This Row],[Zero]]=0,"Zero",IF(Rel_2026[[#This Row],[Pontuação2]]&gt;=10,"Sim",IF(Rel_2026[[#This Row],[Pontuação2]]&gt;=5,"Próximo","Não")))</f>
        <v>Zero</v>
      </c>
      <c r="C118" t="str">
        <f>IFERROR(VLOOKUP(Rel_2026[[#This Row],[chave_loja]],Responsavel!A:B,2,FALSE),"EUCLIDES")</f>
        <v>WASTHSON</v>
      </c>
      <c r="D118" t="str">
        <f>LEFT(Rel_2026[[#This Row],[ag_pacb]],4)</f>
        <v>1677</v>
      </c>
      <c r="E118">
        <v>405262</v>
      </c>
      <c r="F118" t="s">
        <v>1060</v>
      </c>
      <c r="G118" t="s">
        <v>1061</v>
      </c>
      <c r="H118" s="1">
        <v>45610</v>
      </c>
      <c r="I118" t="s">
        <v>23</v>
      </c>
      <c r="J118" t="s">
        <v>1062</v>
      </c>
      <c r="K118" s="1">
        <v>45509</v>
      </c>
      <c r="L118" s="1">
        <v>45630</v>
      </c>
      <c r="M118" t="s">
        <v>52</v>
      </c>
      <c r="N118" s="1">
        <v>45988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s">
        <v>26</v>
      </c>
      <c r="AI118" t="s">
        <v>56</v>
      </c>
      <c r="AJ118" s="1">
        <v>46083</v>
      </c>
      <c r="AK118" t="s">
        <v>28</v>
      </c>
      <c r="AL1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18">
        <f>SUM(Rel_2026[[#This Row],[qtd_TrxContabil]:[VLR_EXP_SORTE]])</f>
        <v>0</v>
      </c>
      <c r="AN1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19" spans="1:40" x14ac:dyDescent="0.3">
      <c r="A119" t="str">
        <f>IF(Rel_2026[[#This Row],[Zero]]=0,"Zero",IF(Rel_2026[[#This Row],[Pontuação]]&gt;=10,"Sim",IF(Rel_2026[[#This Row],[Pontuação]]&gt;=5,"Próximo","Não")))</f>
        <v>Próximo</v>
      </c>
      <c r="B119" t="str">
        <f>IF(Rel_2026[[#This Row],[Zero]]=0,"Zero",IF(Rel_2026[[#This Row],[Pontuação2]]&gt;=10,"Sim",IF(Rel_2026[[#This Row],[Pontuação2]]&gt;=5,"Próximo","Não")))</f>
        <v>Sim</v>
      </c>
      <c r="C119" t="str">
        <f>IFERROR(VLOOKUP(Rel_2026[[#This Row],[chave_loja]],Responsavel!A:B,2,FALSE),"EUCLIDES")</f>
        <v>ALEX SIQUEIRA</v>
      </c>
      <c r="D119" t="str">
        <f>LEFT(Rel_2026[[#This Row],[ag_pacb]],4)</f>
        <v>0726</v>
      </c>
      <c r="E119">
        <v>37098</v>
      </c>
      <c r="F119" t="s">
        <v>807</v>
      </c>
      <c r="G119" t="s">
        <v>1375</v>
      </c>
      <c r="H119" s="1">
        <v>45202</v>
      </c>
      <c r="I119" t="s">
        <v>23</v>
      </c>
      <c r="J119" t="s">
        <v>192</v>
      </c>
      <c r="K119" s="1">
        <v>44102</v>
      </c>
      <c r="L119" s="1">
        <v>44119</v>
      </c>
      <c r="M119" t="s">
        <v>109</v>
      </c>
      <c r="N119" s="1">
        <v>46254</v>
      </c>
      <c r="O119">
        <v>105</v>
      </c>
      <c r="P119">
        <v>3</v>
      </c>
      <c r="Q119">
        <v>0</v>
      </c>
      <c r="R119">
        <v>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3</v>
      </c>
      <c r="AG119">
        <v>0</v>
      </c>
      <c r="AH119" t="s">
        <v>26</v>
      </c>
      <c r="AI119" t="s">
        <v>27</v>
      </c>
      <c r="AJ119" s="1"/>
      <c r="AK119" t="s">
        <v>28</v>
      </c>
      <c r="AL11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</v>
      </c>
      <c r="AM119">
        <f>SUM(Rel_2026[[#This Row],[qtd_TrxContabil]:[VLR_EXP_SORTE]])</f>
        <v>114</v>
      </c>
      <c r="AN11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</row>
    <row r="120" spans="1:40" x14ac:dyDescent="0.3">
      <c r="A120" t="str">
        <f>IF(Rel_2026[[#This Row],[Zero]]=0,"Zero",IF(Rel_2026[[#This Row],[Pontuação]]&gt;=10,"Sim",IF(Rel_2026[[#This Row],[Pontuação]]&gt;=5,"Próximo","Não")))</f>
        <v>Não</v>
      </c>
      <c r="B120" t="str">
        <f>IF(Rel_2026[[#This Row],[Zero]]=0,"Zero",IF(Rel_2026[[#This Row],[Pontuação2]]&gt;=10,"Sim",IF(Rel_2026[[#This Row],[Pontuação2]]&gt;=5,"Próximo","Não")))</f>
        <v>Não</v>
      </c>
      <c r="C120" t="str">
        <f>IFERROR(VLOOKUP(Rel_2026[[#This Row],[chave_loja]],Responsavel!A:B,2,FALSE),"EUCLIDES")</f>
        <v>JUNIOR</v>
      </c>
      <c r="D120" t="str">
        <f>LEFT(Rel_2026[[#This Row],[ag_pacb]],4)</f>
        <v>0684</v>
      </c>
      <c r="E120">
        <v>54653</v>
      </c>
      <c r="F120" t="s">
        <v>483</v>
      </c>
      <c r="G120" t="s">
        <v>484</v>
      </c>
      <c r="H120" s="1">
        <v>44662</v>
      </c>
      <c r="I120" t="s">
        <v>23</v>
      </c>
      <c r="J120" t="s">
        <v>37</v>
      </c>
      <c r="K120" s="1">
        <v>42193</v>
      </c>
      <c r="L120" s="1">
        <v>45064</v>
      </c>
      <c r="M120" t="s">
        <v>32</v>
      </c>
      <c r="N120" s="1">
        <v>46254</v>
      </c>
      <c r="O120">
        <v>980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s">
        <v>26</v>
      </c>
      <c r="AI120" t="s">
        <v>27</v>
      </c>
      <c r="AJ120" s="1"/>
      <c r="AK120" t="s">
        <v>28</v>
      </c>
      <c r="AL12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20">
        <f>SUM(Rel_2026[[#This Row],[qtd_TrxContabil]:[VLR_EXP_SORTE]])</f>
        <v>980</v>
      </c>
      <c r="AN12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21" spans="1:40" x14ac:dyDescent="0.3">
      <c r="A121" t="str">
        <f>IF(Rel_2026[[#This Row],[Zero]]=0,"Zero",IF(Rel_2026[[#This Row],[Pontuação]]&gt;=10,"Sim",IF(Rel_2026[[#This Row],[Pontuação]]&gt;=5,"Próximo","Não")))</f>
        <v>Sim</v>
      </c>
      <c r="B121" t="str">
        <f>IF(Rel_2026[[#This Row],[Zero]]=0,"Zero",IF(Rel_2026[[#This Row],[Pontuação2]]&gt;=10,"Sim",IF(Rel_2026[[#This Row],[Pontuação2]]&gt;=5,"Próximo","Não")))</f>
        <v>Sim</v>
      </c>
      <c r="C121" t="str">
        <f>IFERROR(VLOOKUP(Rel_2026[[#This Row],[chave_loja]],Responsavel!A:B,2,FALSE),"EUCLIDES")</f>
        <v>NYCOLLAS</v>
      </c>
      <c r="D121" t="str">
        <f>LEFT(Rel_2026[[#This Row],[ag_pacb]],4)</f>
        <v>0699</v>
      </c>
      <c r="E121">
        <v>246368</v>
      </c>
      <c r="F121" t="s">
        <v>188</v>
      </c>
      <c r="G121" t="s">
        <v>189</v>
      </c>
      <c r="H121" s="1">
        <v>45014</v>
      </c>
      <c r="I121" t="s">
        <v>23</v>
      </c>
      <c r="J121" t="s">
        <v>145</v>
      </c>
      <c r="K121" s="1">
        <v>45159</v>
      </c>
      <c r="L121" s="1">
        <v>45246</v>
      </c>
      <c r="M121" t="s">
        <v>32</v>
      </c>
      <c r="N121" s="1">
        <v>46254</v>
      </c>
      <c r="O121">
        <v>274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13345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s">
        <v>38</v>
      </c>
      <c r="AI121" t="s">
        <v>27</v>
      </c>
      <c r="AJ121" s="1"/>
      <c r="AK121" t="s">
        <v>28</v>
      </c>
      <c r="AL12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27</v>
      </c>
      <c r="AM121">
        <f>SUM(Rel_2026[[#This Row],[qtd_TrxContabil]:[VLR_EXP_SORTE]])</f>
        <v>13619</v>
      </c>
      <c r="AN12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27</v>
      </c>
    </row>
    <row r="122" spans="1:40" x14ac:dyDescent="0.3">
      <c r="A122" t="str">
        <f>IF(Rel_2026[[#This Row],[Zero]]=0,"Zero",IF(Rel_2026[[#This Row],[Pontuação]]&gt;=10,"Sim",IF(Rel_2026[[#This Row],[Pontuação]]&gt;=5,"Próximo","Não")))</f>
        <v>Sim</v>
      </c>
      <c r="B122" t="str">
        <f>IF(Rel_2026[[#This Row],[Zero]]=0,"Zero",IF(Rel_2026[[#This Row],[Pontuação2]]&gt;=10,"Sim",IF(Rel_2026[[#This Row],[Pontuação2]]&gt;=5,"Próximo","Não")))</f>
        <v>Sim</v>
      </c>
      <c r="C122" t="str">
        <f>IFERROR(VLOOKUP(Rel_2026[[#This Row],[chave_loja]],Responsavel!A:B,2,FALSE),"EUCLIDES")</f>
        <v>DARIO</v>
      </c>
      <c r="D122" t="str">
        <f>LEFT(Rel_2026[[#This Row],[ag_pacb]],4)</f>
        <v>5438</v>
      </c>
      <c r="E122">
        <v>37984</v>
      </c>
      <c r="F122" t="s">
        <v>68</v>
      </c>
      <c r="G122" t="s">
        <v>69</v>
      </c>
      <c r="H122" s="1">
        <v>45205</v>
      </c>
      <c r="I122" t="s">
        <v>23</v>
      </c>
      <c r="J122" t="s">
        <v>70</v>
      </c>
      <c r="K122" s="1">
        <v>42124</v>
      </c>
      <c r="L122" s="1">
        <v>45575</v>
      </c>
      <c r="M122" t="s">
        <v>25</v>
      </c>
      <c r="N122" s="1">
        <v>46254</v>
      </c>
      <c r="O122">
        <v>1099</v>
      </c>
      <c r="P122">
        <v>7</v>
      </c>
      <c r="Q122">
        <v>0</v>
      </c>
      <c r="R122">
        <v>7</v>
      </c>
      <c r="S122">
        <v>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</v>
      </c>
      <c r="AC122">
        <v>0</v>
      </c>
      <c r="AD122">
        <v>0</v>
      </c>
      <c r="AE122">
        <v>0</v>
      </c>
      <c r="AF122">
        <v>5</v>
      </c>
      <c r="AG122">
        <v>0</v>
      </c>
      <c r="AH122" t="s">
        <v>38</v>
      </c>
      <c r="AI122" t="s">
        <v>27</v>
      </c>
      <c r="AJ122" s="1"/>
      <c r="AK122" t="s">
        <v>28</v>
      </c>
      <c r="AL12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122">
        <f>SUM(Rel_2026[[#This Row],[qtd_TrxContabil]:[VLR_EXP_SORTE]])</f>
        <v>1122</v>
      </c>
      <c r="AN12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42</v>
      </c>
    </row>
    <row r="123" spans="1:40" x14ac:dyDescent="0.3">
      <c r="A123" t="str">
        <f>IF(Rel_2026[[#This Row],[Zero]]=0,"Zero",IF(Rel_2026[[#This Row],[Pontuação]]&gt;=10,"Sim",IF(Rel_2026[[#This Row],[Pontuação]]&gt;=5,"Próximo","Não")))</f>
        <v>Sim</v>
      </c>
      <c r="B123" t="str">
        <f>IF(Rel_2026[[#This Row],[Zero]]=0,"Zero",IF(Rel_2026[[#This Row],[Pontuação2]]&gt;=10,"Sim",IF(Rel_2026[[#This Row],[Pontuação2]]&gt;=5,"Próximo","Não")))</f>
        <v>Sim</v>
      </c>
      <c r="C123" t="str">
        <f>IFERROR(VLOOKUP(Rel_2026[[#This Row],[chave_loja]],Responsavel!A:B,2,FALSE),"EUCLIDES")</f>
        <v>JUNIOR</v>
      </c>
      <c r="D123" t="str">
        <f>LEFT(Rel_2026[[#This Row],[ag_pacb]],4)</f>
        <v>2245</v>
      </c>
      <c r="E123">
        <v>173425</v>
      </c>
      <c r="F123" t="s">
        <v>1309</v>
      </c>
      <c r="G123" t="s">
        <v>1310</v>
      </c>
      <c r="H123" s="1">
        <v>44272</v>
      </c>
      <c r="I123" t="s">
        <v>23</v>
      </c>
      <c r="J123" t="s">
        <v>162</v>
      </c>
      <c r="K123" s="1">
        <v>43538</v>
      </c>
      <c r="L123" s="1">
        <v>46140</v>
      </c>
      <c r="M123" t="s">
        <v>32</v>
      </c>
      <c r="N123" s="1">
        <v>46254</v>
      </c>
      <c r="O123">
        <v>2602</v>
      </c>
      <c r="P123">
        <v>0</v>
      </c>
      <c r="Q123">
        <v>0</v>
      </c>
      <c r="R123">
        <v>0</v>
      </c>
      <c r="S123">
        <v>0</v>
      </c>
      <c r="T123">
        <v>5930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s">
        <v>38</v>
      </c>
      <c r="AI123" t="s">
        <v>27</v>
      </c>
      <c r="AJ123" s="1"/>
      <c r="AK123" t="s">
        <v>28</v>
      </c>
      <c r="AL12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59</v>
      </c>
      <c r="AM123">
        <f>SUM(Rel_2026[[#This Row],[qtd_TrxContabil]:[VLR_EXP_SORTE]])</f>
        <v>8532</v>
      </c>
      <c r="AN12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59</v>
      </c>
    </row>
    <row r="124" spans="1:40" x14ac:dyDescent="0.3">
      <c r="A124" t="str">
        <f>IF(Rel_2026[[#This Row],[Zero]]=0,"Zero",IF(Rel_2026[[#This Row],[Pontuação]]&gt;=10,"Sim",IF(Rel_2026[[#This Row],[Pontuação]]&gt;=5,"Próximo","Não")))</f>
        <v>Sim</v>
      </c>
      <c r="B124" t="str">
        <f>IF(Rel_2026[[#This Row],[Zero]]=0,"Zero",IF(Rel_2026[[#This Row],[Pontuação2]]&gt;=10,"Sim",IF(Rel_2026[[#This Row],[Pontuação2]]&gt;=5,"Próximo","Não")))</f>
        <v>Sim</v>
      </c>
      <c r="C124" t="str">
        <f>IFERROR(VLOOKUP(Rel_2026[[#This Row],[chave_loja]],Responsavel!A:B,2,FALSE),"EUCLIDES")</f>
        <v>ALEX SIQUEIRA</v>
      </c>
      <c r="D124" t="str">
        <f>LEFT(Rel_2026[[#This Row],[ag_pacb]],4)</f>
        <v>0752</v>
      </c>
      <c r="E124">
        <v>424350</v>
      </c>
      <c r="F124" t="s">
        <v>1293</v>
      </c>
      <c r="G124" t="s">
        <v>1294</v>
      </c>
      <c r="H124" s="1">
        <v>46169</v>
      </c>
      <c r="I124" t="s">
        <v>23</v>
      </c>
      <c r="J124" t="s">
        <v>117</v>
      </c>
      <c r="K124" s="1">
        <v>46164</v>
      </c>
      <c r="L124" s="1">
        <v>46176</v>
      </c>
      <c r="M124" t="s">
        <v>109</v>
      </c>
      <c r="N124" s="1">
        <v>46254</v>
      </c>
      <c r="O124">
        <v>724</v>
      </c>
      <c r="P124">
        <v>6</v>
      </c>
      <c r="Q124">
        <v>4</v>
      </c>
      <c r="R124">
        <v>5</v>
      </c>
      <c r="S124">
        <v>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s">
        <v>26</v>
      </c>
      <c r="AI124" t="s">
        <v>27</v>
      </c>
      <c r="AJ124" s="1"/>
      <c r="AK124" t="s">
        <v>28</v>
      </c>
      <c r="AL12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34</v>
      </c>
      <c r="AM124">
        <f>SUM(Rel_2026[[#This Row],[qtd_TrxContabil]:[VLR_EXP_SORTE]])</f>
        <v>742</v>
      </c>
      <c r="AN12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49</v>
      </c>
    </row>
    <row r="125" spans="1:40" x14ac:dyDescent="0.3">
      <c r="A125" t="str">
        <f>IF(Rel_2026[[#This Row],[Zero]]=0,"Zero",IF(Rel_2026[[#This Row],[Pontuação]]&gt;=10,"Sim",IF(Rel_2026[[#This Row],[Pontuação]]&gt;=5,"Próximo","Não")))</f>
        <v>Sim</v>
      </c>
      <c r="B125" t="str">
        <f>IF(Rel_2026[[#This Row],[Zero]]=0,"Zero",IF(Rel_2026[[#This Row],[Pontuação2]]&gt;=10,"Sim",IF(Rel_2026[[#This Row],[Pontuação2]]&gt;=5,"Próximo","Não")))</f>
        <v>Sim</v>
      </c>
      <c r="C125" t="str">
        <f>IFERROR(VLOOKUP(Rel_2026[[#This Row],[chave_loja]],Responsavel!A:B,2,FALSE),"EUCLIDES")</f>
        <v>DARIO</v>
      </c>
      <c r="D125" t="str">
        <f>LEFT(Rel_2026[[#This Row],[ag_pacb]],4)</f>
        <v>0703</v>
      </c>
      <c r="E125">
        <v>81991</v>
      </c>
      <c r="F125" t="s">
        <v>383</v>
      </c>
      <c r="G125" t="s">
        <v>384</v>
      </c>
      <c r="H125" s="1">
        <v>44434</v>
      </c>
      <c r="I125" t="s">
        <v>23</v>
      </c>
      <c r="J125" t="s">
        <v>212</v>
      </c>
      <c r="K125" s="1">
        <v>42272</v>
      </c>
      <c r="L125" s="1">
        <v>45574</v>
      </c>
      <c r="M125" t="s">
        <v>25</v>
      </c>
      <c r="N125" s="1">
        <v>46254</v>
      </c>
      <c r="O125">
        <v>1289</v>
      </c>
      <c r="P125">
        <v>3</v>
      </c>
      <c r="Q125">
        <v>2</v>
      </c>
      <c r="R125">
        <v>3</v>
      </c>
      <c r="S125">
        <v>0</v>
      </c>
      <c r="T125">
        <v>600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s">
        <v>38</v>
      </c>
      <c r="AI125" t="s">
        <v>27</v>
      </c>
      <c r="AJ125" s="1"/>
      <c r="AK125" t="s">
        <v>28</v>
      </c>
      <c r="AL12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23</v>
      </c>
      <c r="AM125">
        <f>SUM(Rel_2026[[#This Row],[qtd_TrxContabil]:[VLR_EXP_SORTE]])</f>
        <v>1897</v>
      </c>
      <c r="AN12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32</v>
      </c>
    </row>
    <row r="126" spans="1:40" x14ac:dyDescent="0.3">
      <c r="A126" t="str">
        <f>IF(Rel_2026[[#This Row],[Zero]]=0,"Zero",IF(Rel_2026[[#This Row],[Pontuação]]&gt;=10,"Sim",IF(Rel_2026[[#This Row],[Pontuação]]&gt;=5,"Próximo","Não")))</f>
        <v>Não</v>
      </c>
      <c r="B126" t="str">
        <f>IF(Rel_2026[[#This Row],[Zero]]=0,"Zero",IF(Rel_2026[[#This Row],[Pontuação2]]&gt;=10,"Sim",IF(Rel_2026[[#This Row],[Pontuação2]]&gt;=5,"Próximo","Não")))</f>
        <v>Não</v>
      </c>
      <c r="C126" t="str">
        <f>IFERROR(VLOOKUP(Rel_2026[[#This Row],[chave_loja]],Responsavel!A:B,2,FALSE),"EUCLIDES")</f>
        <v>JUNIOR</v>
      </c>
      <c r="D126" t="str">
        <f>LEFT(Rel_2026[[#This Row],[ag_pacb]],4)</f>
        <v>1351</v>
      </c>
      <c r="E126">
        <v>203813</v>
      </c>
      <c r="F126" t="s">
        <v>185</v>
      </c>
      <c r="G126" t="s">
        <v>353</v>
      </c>
      <c r="H126" s="1">
        <v>45902</v>
      </c>
      <c r="I126" t="s">
        <v>23</v>
      </c>
      <c r="J126" t="s">
        <v>142</v>
      </c>
      <c r="K126" s="1">
        <v>44123</v>
      </c>
      <c r="L126" s="1">
        <v>45923</v>
      </c>
      <c r="M126" t="s">
        <v>32</v>
      </c>
      <c r="N126" s="1">
        <v>46254</v>
      </c>
      <c r="O126">
        <v>781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s">
        <v>38</v>
      </c>
      <c r="AI126" t="s">
        <v>27</v>
      </c>
      <c r="AJ126" s="1"/>
      <c r="AK126" t="s">
        <v>28</v>
      </c>
      <c r="AL12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26">
        <f>SUM(Rel_2026[[#This Row],[qtd_TrxContabil]:[VLR_EXP_SORTE]])</f>
        <v>781</v>
      </c>
      <c r="AN12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27" spans="1:40" x14ac:dyDescent="0.3">
      <c r="A127" t="str">
        <f>IF(Rel_2026[[#This Row],[Zero]]=0,"Zero",IF(Rel_2026[[#This Row],[Pontuação]]&gt;=10,"Sim",IF(Rel_2026[[#This Row],[Pontuação]]&gt;=5,"Próximo","Não")))</f>
        <v>Sim</v>
      </c>
      <c r="B127" t="str">
        <f>IF(Rel_2026[[#This Row],[Zero]]=0,"Zero",IF(Rel_2026[[#This Row],[Pontuação2]]&gt;=10,"Sim",IF(Rel_2026[[#This Row],[Pontuação2]]&gt;=5,"Próximo","Não")))</f>
        <v>Sim</v>
      </c>
      <c r="C127" t="str">
        <f>IFERROR(VLOOKUP(Rel_2026[[#This Row],[chave_loja]],Responsavel!A:B,2,FALSE),"EUCLIDES")</f>
        <v>NYCOLLAS</v>
      </c>
      <c r="D127" t="str">
        <f>LEFT(Rel_2026[[#This Row],[ag_pacb]],4)</f>
        <v>0699</v>
      </c>
      <c r="E127">
        <v>240417</v>
      </c>
      <c r="F127" t="s">
        <v>401</v>
      </c>
      <c r="G127" t="s">
        <v>402</v>
      </c>
      <c r="H127" s="1">
        <v>44827</v>
      </c>
      <c r="I127" t="s">
        <v>23</v>
      </c>
      <c r="J127" t="s">
        <v>145</v>
      </c>
      <c r="K127" s="1">
        <v>45155</v>
      </c>
      <c r="L127" s="1">
        <v>46170</v>
      </c>
      <c r="M127" t="s">
        <v>32</v>
      </c>
      <c r="N127" s="1">
        <v>46254</v>
      </c>
      <c r="O127">
        <v>145</v>
      </c>
      <c r="P127">
        <v>2</v>
      </c>
      <c r="Q127">
        <v>2</v>
      </c>
      <c r="R127">
        <v>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2</v>
      </c>
      <c r="AG127">
        <v>0</v>
      </c>
      <c r="AH127" t="s">
        <v>26</v>
      </c>
      <c r="AI127" t="s">
        <v>27</v>
      </c>
      <c r="AJ127" s="1"/>
      <c r="AK127" t="s">
        <v>28</v>
      </c>
      <c r="AL12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127">
        <f>SUM(Rel_2026[[#This Row],[qtd_TrxContabil]:[VLR_EXP_SORTE]])</f>
        <v>153</v>
      </c>
      <c r="AN12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128" spans="1:40" x14ac:dyDescent="0.3">
      <c r="A128" t="str">
        <f>IF(Rel_2026[[#This Row],[Zero]]=0,"Zero",IF(Rel_2026[[#This Row],[Pontuação]]&gt;=10,"Sim",IF(Rel_2026[[#This Row],[Pontuação]]&gt;=5,"Próximo","Não")))</f>
        <v>Não</v>
      </c>
      <c r="B128" t="str">
        <f>IF(Rel_2026[[#This Row],[Zero]]=0,"Zero",IF(Rel_2026[[#This Row],[Pontuação2]]&gt;=10,"Sim",IF(Rel_2026[[#This Row],[Pontuação2]]&gt;=5,"Próximo","Não")))</f>
        <v>Não</v>
      </c>
      <c r="C128" t="str">
        <f>IFERROR(VLOOKUP(Rel_2026[[#This Row],[chave_loja]],Responsavel!A:B,2,FALSE),"EUCLIDES")</f>
        <v>WASTHSON</v>
      </c>
      <c r="D128" t="str">
        <f>LEFT(Rel_2026[[#This Row],[ag_pacb]],4)</f>
        <v>5415</v>
      </c>
      <c r="E128">
        <v>167739</v>
      </c>
      <c r="F128" t="s">
        <v>715</v>
      </c>
      <c r="G128" t="s">
        <v>716</v>
      </c>
      <c r="H128" s="1">
        <v>44141</v>
      </c>
      <c r="I128" t="s">
        <v>23</v>
      </c>
      <c r="J128" t="s">
        <v>576</v>
      </c>
      <c r="K128" s="1">
        <v>45306</v>
      </c>
      <c r="L128" s="1">
        <v>45125</v>
      </c>
      <c r="M128" t="s">
        <v>32</v>
      </c>
      <c r="N128" s="1">
        <v>46254</v>
      </c>
      <c r="O128">
        <v>99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s">
        <v>26</v>
      </c>
      <c r="AI128" t="s">
        <v>27</v>
      </c>
      <c r="AJ128" s="1"/>
      <c r="AK128" t="s">
        <v>28</v>
      </c>
      <c r="AL12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28">
        <f>SUM(Rel_2026[[#This Row],[qtd_TrxContabil]:[VLR_EXP_SORTE]])</f>
        <v>99</v>
      </c>
      <c r="AN12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29" spans="1:40" x14ac:dyDescent="0.3">
      <c r="A129" t="str">
        <f>IF(Rel_2026[[#This Row],[Zero]]=0,"Zero",IF(Rel_2026[[#This Row],[Pontuação]]&gt;=10,"Sim",IF(Rel_2026[[#This Row],[Pontuação]]&gt;=5,"Próximo","Não")))</f>
        <v>Sim</v>
      </c>
      <c r="B129" t="str">
        <f>IF(Rel_2026[[#This Row],[Zero]]=0,"Zero",IF(Rel_2026[[#This Row],[Pontuação2]]&gt;=10,"Sim",IF(Rel_2026[[#This Row],[Pontuação2]]&gt;=5,"Próximo","Não")))</f>
        <v>Sim</v>
      </c>
      <c r="C129" t="str">
        <f>IFERROR(VLOOKUP(Rel_2026[[#This Row],[chave_loja]],Responsavel!A:B,2,FALSE),"EUCLIDES")</f>
        <v>IVAN</v>
      </c>
      <c r="D129" t="str">
        <f>LEFT(Rel_2026[[#This Row],[ag_pacb]],4)</f>
        <v>0765</v>
      </c>
      <c r="E129">
        <v>185910</v>
      </c>
      <c r="F129" t="s">
        <v>1003</v>
      </c>
      <c r="G129" t="s">
        <v>1004</v>
      </c>
      <c r="H129" s="1">
        <v>44351</v>
      </c>
      <c r="I129" t="s">
        <v>23</v>
      </c>
      <c r="J129" t="s">
        <v>1002</v>
      </c>
      <c r="K129" s="1">
        <v>43858</v>
      </c>
      <c r="L129" s="1">
        <v>46195</v>
      </c>
      <c r="M129" t="s">
        <v>25</v>
      </c>
      <c r="N129" s="1">
        <v>46254</v>
      </c>
      <c r="O129">
        <v>1891</v>
      </c>
      <c r="P129">
        <v>0</v>
      </c>
      <c r="Q129">
        <v>0</v>
      </c>
      <c r="R129">
        <v>0</v>
      </c>
      <c r="S129">
        <v>0</v>
      </c>
      <c r="T129">
        <v>950</v>
      </c>
      <c r="U129">
        <v>0</v>
      </c>
      <c r="V129">
        <v>0</v>
      </c>
      <c r="W129">
        <v>0</v>
      </c>
      <c r="X129">
        <v>0</v>
      </c>
      <c r="Y129">
        <v>7820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s">
        <v>38</v>
      </c>
      <c r="AI129" t="s">
        <v>27</v>
      </c>
      <c r="AJ129" s="1"/>
      <c r="AK129" t="s">
        <v>28</v>
      </c>
      <c r="AL12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26</v>
      </c>
      <c r="AM129">
        <f>SUM(Rel_2026[[#This Row],[qtd_TrxContabil]:[VLR_EXP_SORTE]])</f>
        <v>10661</v>
      </c>
      <c r="AN12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26</v>
      </c>
    </row>
    <row r="130" spans="1:40" x14ac:dyDescent="0.3">
      <c r="A130" t="str">
        <f>IF(Rel_2026[[#This Row],[Zero]]=0,"Zero",IF(Rel_2026[[#This Row],[Pontuação]]&gt;=10,"Sim",IF(Rel_2026[[#This Row],[Pontuação]]&gt;=5,"Próximo","Não")))</f>
        <v>Zero</v>
      </c>
      <c r="B130" t="str">
        <f>IF(Rel_2026[[#This Row],[Zero]]=0,"Zero",IF(Rel_2026[[#This Row],[Pontuação2]]&gt;=10,"Sim",IF(Rel_2026[[#This Row],[Pontuação2]]&gt;=5,"Próximo","Não")))</f>
        <v>Zero</v>
      </c>
      <c r="C130" t="str">
        <f>IFERROR(VLOOKUP(Rel_2026[[#This Row],[chave_loja]],Responsavel!A:B,2,FALSE),"EUCLIDES")</f>
        <v>JUNIOR</v>
      </c>
      <c r="D130" t="str">
        <f>LEFT(Rel_2026[[#This Row],[ag_pacb]],4)</f>
        <v>2245</v>
      </c>
      <c r="E130">
        <v>228686</v>
      </c>
      <c r="F130" t="s">
        <v>1311</v>
      </c>
      <c r="G130" t="s">
        <v>1312</v>
      </c>
      <c r="H130" s="1">
        <v>45141</v>
      </c>
      <c r="I130" t="s">
        <v>23</v>
      </c>
      <c r="J130" t="s">
        <v>162</v>
      </c>
      <c r="K130" s="1">
        <v>45306</v>
      </c>
      <c r="L130" s="1">
        <v>44797</v>
      </c>
      <c r="M130" t="s">
        <v>32</v>
      </c>
      <c r="N130" s="1">
        <v>46185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s">
        <v>26</v>
      </c>
      <c r="AI130" t="s">
        <v>27</v>
      </c>
      <c r="AJ130" s="1"/>
      <c r="AK130" t="s">
        <v>28</v>
      </c>
      <c r="AL13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30">
        <f>SUM(Rel_2026[[#This Row],[qtd_TrxContabil]:[VLR_EXP_SORTE]])</f>
        <v>0</v>
      </c>
      <c r="AN13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31" spans="1:40" x14ac:dyDescent="0.3">
      <c r="A131" t="str">
        <f>IF(Rel_2026[[#This Row],[Zero]]=0,"Zero",IF(Rel_2026[[#This Row],[Pontuação]]&gt;=10,"Sim",IF(Rel_2026[[#This Row],[Pontuação]]&gt;=5,"Próximo","Não")))</f>
        <v>Não</v>
      </c>
      <c r="B131" t="str">
        <f>IF(Rel_2026[[#This Row],[Zero]]=0,"Zero",IF(Rel_2026[[#This Row],[Pontuação2]]&gt;=10,"Sim",IF(Rel_2026[[#This Row],[Pontuação2]]&gt;=5,"Próximo","Não")))</f>
        <v>Não</v>
      </c>
      <c r="C131" t="str">
        <f>IFERROR(VLOOKUP(Rel_2026[[#This Row],[chave_loja]],Responsavel!A:B,2,FALSE),"EUCLIDES")</f>
        <v>NYCOLLAS</v>
      </c>
      <c r="D131" t="str">
        <f>LEFT(Rel_2026[[#This Row],[ag_pacb]],4)</f>
        <v>0719</v>
      </c>
      <c r="E131">
        <v>417817</v>
      </c>
      <c r="F131" t="s">
        <v>678</v>
      </c>
      <c r="G131" t="s">
        <v>677</v>
      </c>
      <c r="H131" s="1">
        <v>45922</v>
      </c>
      <c r="I131" t="s">
        <v>23</v>
      </c>
      <c r="J131" t="s">
        <v>1215</v>
      </c>
      <c r="K131" s="1">
        <v>45917</v>
      </c>
      <c r="L131" s="1">
        <v>45985</v>
      </c>
      <c r="M131" t="s">
        <v>32</v>
      </c>
      <c r="N131" s="1">
        <v>46254</v>
      </c>
      <c r="O131">
        <v>191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s">
        <v>38</v>
      </c>
      <c r="AI131" t="s">
        <v>27</v>
      </c>
      <c r="AJ131" s="1"/>
      <c r="AK131" t="s">
        <v>28</v>
      </c>
      <c r="AL13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31">
        <f>SUM(Rel_2026[[#This Row],[qtd_TrxContabil]:[VLR_EXP_SORTE]])</f>
        <v>191</v>
      </c>
      <c r="AN13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32" spans="1:40" x14ac:dyDescent="0.3">
      <c r="A132" t="str">
        <f>IF(Rel_2026[[#This Row],[Zero]]=0,"Zero",IF(Rel_2026[[#This Row],[Pontuação]]&gt;=10,"Sim",IF(Rel_2026[[#This Row],[Pontuação]]&gt;=5,"Próximo","Não")))</f>
        <v>Sim</v>
      </c>
      <c r="B132" t="str">
        <f>IF(Rel_2026[[#This Row],[Zero]]=0,"Zero",IF(Rel_2026[[#This Row],[Pontuação2]]&gt;=10,"Sim",IF(Rel_2026[[#This Row],[Pontuação2]]&gt;=5,"Próximo","Não")))</f>
        <v>Sim</v>
      </c>
      <c r="C132" t="str">
        <f>IFERROR(VLOOKUP(Rel_2026[[#This Row],[chave_loja]],Responsavel!A:B,2,FALSE),"EUCLIDES")</f>
        <v>ROSSY</v>
      </c>
      <c r="D132" t="str">
        <f>LEFT(Rel_2026[[#This Row],[ag_pacb]],4)</f>
        <v>5798</v>
      </c>
      <c r="E132">
        <v>119605</v>
      </c>
      <c r="F132" t="s">
        <v>864</v>
      </c>
      <c r="G132" t="s">
        <v>865</v>
      </c>
      <c r="H132" s="1">
        <v>44131</v>
      </c>
      <c r="I132" t="s">
        <v>107</v>
      </c>
      <c r="J132" t="s">
        <v>405</v>
      </c>
      <c r="K132" s="1">
        <v>42257</v>
      </c>
      <c r="L132" s="1">
        <v>46100</v>
      </c>
      <c r="M132" t="s">
        <v>109</v>
      </c>
      <c r="N132" s="1">
        <v>46254</v>
      </c>
      <c r="O132">
        <v>686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32016</v>
      </c>
      <c r="V132">
        <v>32016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s">
        <v>38</v>
      </c>
      <c r="AI132" t="s">
        <v>27</v>
      </c>
      <c r="AJ132" s="1"/>
      <c r="AK132" t="s">
        <v>28</v>
      </c>
      <c r="AL13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32</v>
      </c>
      <c r="AM132">
        <f>SUM(Rel_2026[[#This Row],[qtd_TrxContabil]:[VLR_EXP_SORTE]])</f>
        <v>64718</v>
      </c>
      <c r="AN13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32</v>
      </c>
    </row>
    <row r="133" spans="1:40" x14ac:dyDescent="0.3">
      <c r="A133" t="str">
        <f>IF(Rel_2026[[#This Row],[Zero]]=0,"Zero",IF(Rel_2026[[#This Row],[Pontuação]]&gt;=10,"Sim",IF(Rel_2026[[#This Row],[Pontuação]]&gt;=5,"Próximo","Não")))</f>
        <v>Não</v>
      </c>
      <c r="B133" t="str">
        <f>IF(Rel_2026[[#This Row],[Zero]]=0,"Zero",IF(Rel_2026[[#This Row],[Pontuação2]]&gt;=10,"Sim",IF(Rel_2026[[#This Row],[Pontuação2]]&gt;=5,"Próximo","Não")))</f>
        <v>Não</v>
      </c>
      <c r="C133" t="str">
        <f>IFERROR(VLOOKUP(Rel_2026[[#This Row],[chave_loja]],Responsavel!A:B,2,FALSE),"EUCLIDES")</f>
        <v>NYCOLLAS</v>
      </c>
      <c r="D133" t="str">
        <f>LEFT(Rel_2026[[#This Row],[ag_pacb]],4)</f>
        <v>5443</v>
      </c>
      <c r="E133">
        <v>251529</v>
      </c>
      <c r="F133" t="s">
        <v>1441</v>
      </c>
      <c r="G133" t="s">
        <v>1442</v>
      </c>
      <c r="H133" s="1">
        <v>45205</v>
      </c>
      <c r="I133" t="s">
        <v>23</v>
      </c>
      <c r="J133" t="s">
        <v>260</v>
      </c>
      <c r="K133" s="1">
        <v>45306</v>
      </c>
      <c r="L133" s="1">
        <v>45253</v>
      </c>
      <c r="M133" t="s">
        <v>32</v>
      </c>
      <c r="N133" s="1">
        <v>46254</v>
      </c>
      <c r="O133">
        <v>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s">
        <v>26</v>
      </c>
      <c r="AI133" t="s">
        <v>27</v>
      </c>
      <c r="AJ133" s="1"/>
      <c r="AK133" t="s">
        <v>28</v>
      </c>
      <c r="AL13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33">
        <f>SUM(Rel_2026[[#This Row],[qtd_TrxContabil]:[VLR_EXP_SORTE]])</f>
        <v>6</v>
      </c>
      <c r="AN13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34" spans="1:40" x14ac:dyDescent="0.3">
      <c r="A134" t="str">
        <f>IF(Rel_2026[[#This Row],[Zero]]=0,"Zero",IF(Rel_2026[[#This Row],[Pontuação]]&gt;=10,"Sim",IF(Rel_2026[[#This Row],[Pontuação]]&gt;=5,"Próximo","Não")))</f>
        <v>Não</v>
      </c>
      <c r="B134" t="str">
        <f>IF(Rel_2026[[#This Row],[Zero]]=0,"Zero",IF(Rel_2026[[#This Row],[Pontuação2]]&gt;=10,"Sim",IF(Rel_2026[[#This Row],[Pontuação2]]&gt;=5,"Próximo","Não")))</f>
        <v>Não</v>
      </c>
      <c r="C134" t="str">
        <f>IFERROR(VLOOKUP(Rel_2026[[#This Row],[chave_loja]],Responsavel!A:B,2,FALSE),"EUCLIDES")</f>
        <v>NYCOLLAS</v>
      </c>
      <c r="D134" t="str">
        <f>LEFT(Rel_2026[[#This Row],[ag_pacb]],4)</f>
        <v>5446</v>
      </c>
      <c r="E134">
        <v>119708</v>
      </c>
      <c r="F134" t="s">
        <v>985</v>
      </c>
      <c r="G134" t="s">
        <v>986</v>
      </c>
      <c r="H134" s="1">
        <v>45932</v>
      </c>
      <c r="I134" t="s">
        <v>23</v>
      </c>
      <c r="J134" t="s">
        <v>97</v>
      </c>
      <c r="K134" s="1">
        <v>45923</v>
      </c>
      <c r="L134" s="1">
        <v>45946</v>
      </c>
      <c r="M134" t="s">
        <v>32</v>
      </c>
      <c r="N134" s="1">
        <v>46254</v>
      </c>
      <c r="O134">
        <v>172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s">
        <v>26</v>
      </c>
      <c r="AI134" t="s">
        <v>27</v>
      </c>
      <c r="AJ134" s="1"/>
      <c r="AK134" t="s">
        <v>28</v>
      </c>
      <c r="AL13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34">
        <f>SUM(Rel_2026[[#This Row],[qtd_TrxContabil]:[VLR_EXP_SORTE]])</f>
        <v>172</v>
      </c>
      <c r="AN13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35" spans="1:40" x14ac:dyDescent="0.3">
      <c r="A135" t="str">
        <f>IF(Rel_2026[[#This Row],[Zero]]=0,"Zero",IF(Rel_2026[[#This Row],[Pontuação]]&gt;=10,"Sim",IF(Rel_2026[[#This Row],[Pontuação]]&gt;=5,"Próximo","Não")))</f>
        <v>Não</v>
      </c>
      <c r="B135" t="str">
        <f>IF(Rel_2026[[#This Row],[Zero]]=0,"Zero",IF(Rel_2026[[#This Row],[Pontuação2]]&gt;=10,"Sim",IF(Rel_2026[[#This Row],[Pontuação2]]&gt;=5,"Próximo","Não")))</f>
        <v>Não</v>
      </c>
      <c r="C135" t="str">
        <f>IFERROR(VLOOKUP(Rel_2026[[#This Row],[chave_loja]],Responsavel!A:B,2,FALSE),"EUCLIDES")</f>
        <v>JUNIOR</v>
      </c>
      <c r="D135" t="str">
        <f>LEFT(Rel_2026[[#This Row],[ag_pacb]],4)</f>
        <v>5303</v>
      </c>
      <c r="E135">
        <v>145250</v>
      </c>
      <c r="F135" t="s">
        <v>1402</v>
      </c>
      <c r="G135" t="s">
        <v>1403</v>
      </c>
      <c r="H135" s="1">
        <v>44138</v>
      </c>
      <c r="I135" t="s">
        <v>23</v>
      </c>
      <c r="J135" t="s">
        <v>239</v>
      </c>
      <c r="K135" s="1">
        <v>42432</v>
      </c>
      <c r="L135" s="1">
        <v>45911</v>
      </c>
      <c r="M135" t="s">
        <v>32</v>
      </c>
      <c r="N135" s="1">
        <v>46254</v>
      </c>
      <c r="O135">
        <v>22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s">
        <v>26</v>
      </c>
      <c r="AI135" t="s">
        <v>27</v>
      </c>
      <c r="AJ135" s="1"/>
      <c r="AK135" t="s">
        <v>28</v>
      </c>
      <c r="AL13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35">
        <f>SUM(Rel_2026[[#This Row],[qtd_TrxContabil]:[VLR_EXP_SORTE]])</f>
        <v>22</v>
      </c>
      <c r="AN13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36" spans="1:40" x14ac:dyDescent="0.3">
      <c r="A136" t="str">
        <f>IF(Rel_2026[[#This Row],[Zero]]=0,"Zero",IF(Rel_2026[[#This Row],[Pontuação]]&gt;=10,"Sim",IF(Rel_2026[[#This Row],[Pontuação]]&gt;=5,"Próximo","Não")))</f>
        <v>Sim</v>
      </c>
      <c r="B136" t="str">
        <f>IF(Rel_2026[[#This Row],[Zero]]=0,"Zero",IF(Rel_2026[[#This Row],[Pontuação2]]&gt;=10,"Sim",IF(Rel_2026[[#This Row],[Pontuação2]]&gt;=5,"Próximo","Não")))</f>
        <v>Sim</v>
      </c>
      <c r="C136" t="str">
        <f>IFERROR(VLOOKUP(Rel_2026[[#This Row],[chave_loja]],Responsavel!A:B,2,FALSE),"EUCLIDES")</f>
        <v>ISMAEL</v>
      </c>
      <c r="D136" t="str">
        <f>LEFT(Rel_2026[[#This Row],[ag_pacb]],4)</f>
        <v>1302</v>
      </c>
      <c r="E136">
        <v>422437</v>
      </c>
      <c r="F136" t="s">
        <v>1419</v>
      </c>
      <c r="G136" t="s">
        <v>1420</v>
      </c>
      <c r="H136" s="1">
        <v>46239</v>
      </c>
      <c r="I136" t="s">
        <v>23</v>
      </c>
      <c r="J136" t="s">
        <v>71</v>
      </c>
      <c r="K136" s="1">
        <v>46064</v>
      </c>
      <c r="L136" s="1">
        <v>46247</v>
      </c>
      <c r="M136" t="s">
        <v>32</v>
      </c>
      <c r="N136" s="1">
        <v>46254</v>
      </c>
      <c r="O136">
        <v>82</v>
      </c>
      <c r="P136">
        <v>7</v>
      </c>
      <c r="Q136">
        <v>6</v>
      </c>
      <c r="R136">
        <v>7</v>
      </c>
      <c r="S136">
        <v>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6</v>
      </c>
      <c r="AG136">
        <v>0</v>
      </c>
      <c r="AH136" t="s">
        <v>26</v>
      </c>
      <c r="AI136" t="s">
        <v>27</v>
      </c>
      <c r="AJ136" s="1"/>
      <c r="AK136" t="s">
        <v>28</v>
      </c>
      <c r="AL13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45</v>
      </c>
      <c r="AM136">
        <f>SUM(Rel_2026[[#This Row],[qtd_TrxContabil]:[VLR_EXP_SORTE]])</f>
        <v>111</v>
      </c>
      <c r="AN13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66</v>
      </c>
    </row>
    <row r="137" spans="1:40" x14ac:dyDescent="0.3">
      <c r="A137" t="str">
        <f>IF(Rel_2026[[#This Row],[Zero]]=0,"Zero",IF(Rel_2026[[#This Row],[Pontuação]]&gt;=10,"Sim",IF(Rel_2026[[#This Row],[Pontuação]]&gt;=5,"Próximo","Não")))</f>
        <v>Zero</v>
      </c>
      <c r="B137" t="str">
        <f>IF(Rel_2026[[#This Row],[Zero]]=0,"Zero",IF(Rel_2026[[#This Row],[Pontuação2]]&gt;=10,"Sim",IF(Rel_2026[[#This Row],[Pontuação2]]&gt;=5,"Próximo","Não")))</f>
        <v>Zero</v>
      </c>
      <c r="C137" t="str">
        <f>IFERROR(VLOOKUP(Rel_2026[[#This Row],[chave_loja]],Responsavel!A:B,2,FALSE),"EUCLIDES")</f>
        <v>NYCOLLAS</v>
      </c>
      <c r="D137" t="str">
        <f>LEFT(Rel_2026[[#This Row],[ag_pacb]],4)</f>
        <v>5443</v>
      </c>
      <c r="E137">
        <v>418028</v>
      </c>
      <c r="F137" t="s">
        <v>1095</v>
      </c>
      <c r="G137" t="s">
        <v>1096</v>
      </c>
      <c r="H137" s="1">
        <v>45929</v>
      </c>
      <c r="I137" t="s">
        <v>23</v>
      </c>
      <c r="J137" t="s">
        <v>260</v>
      </c>
      <c r="K137" s="1">
        <v>45923</v>
      </c>
      <c r="L137" s="1">
        <v>45952</v>
      </c>
      <c r="M137" t="s">
        <v>32</v>
      </c>
      <c r="N137" s="1">
        <v>46007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s">
        <v>26</v>
      </c>
      <c r="AI137" t="s">
        <v>56</v>
      </c>
      <c r="AJ137" s="1">
        <v>46083</v>
      </c>
      <c r="AK137" t="s">
        <v>28</v>
      </c>
      <c r="AL13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37">
        <f>SUM(Rel_2026[[#This Row],[qtd_TrxContabil]:[VLR_EXP_SORTE]])</f>
        <v>0</v>
      </c>
      <c r="AN13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38" spans="1:40" x14ac:dyDescent="0.3">
      <c r="A138" t="str">
        <f>IF(Rel_2026[[#This Row],[Zero]]=0,"Zero",IF(Rel_2026[[#This Row],[Pontuação]]&gt;=10,"Sim",IF(Rel_2026[[#This Row],[Pontuação]]&gt;=5,"Próximo","Não")))</f>
        <v>Não</v>
      </c>
      <c r="B138" t="str">
        <f>IF(Rel_2026[[#This Row],[Zero]]=0,"Zero",IF(Rel_2026[[#This Row],[Pontuação2]]&gt;=10,"Sim",IF(Rel_2026[[#This Row],[Pontuação2]]&gt;=5,"Próximo","Não")))</f>
        <v>Não</v>
      </c>
      <c r="C138" t="str">
        <f>IFERROR(VLOOKUP(Rel_2026[[#This Row],[chave_loja]],Responsavel!A:B,2,FALSE),"EUCLIDES")</f>
        <v>JOSELITO</v>
      </c>
      <c r="D138" t="str">
        <f>LEFT(Rel_2026[[#This Row],[ag_pacb]],4)</f>
        <v>5395</v>
      </c>
      <c r="E138">
        <v>422354</v>
      </c>
      <c r="F138" t="s">
        <v>1105</v>
      </c>
      <c r="G138" t="s">
        <v>1106</v>
      </c>
      <c r="H138" s="1">
        <v>46080</v>
      </c>
      <c r="I138" t="s">
        <v>23</v>
      </c>
      <c r="J138" t="s">
        <v>309</v>
      </c>
      <c r="K138" s="1">
        <v>46066</v>
      </c>
      <c r="L138" s="1">
        <v>46118</v>
      </c>
      <c r="M138" t="s">
        <v>25</v>
      </c>
      <c r="N138" s="1">
        <v>46254</v>
      </c>
      <c r="O138">
        <v>1264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s">
        <v>26</v>
      </c>
      <c r="AI138" t="s">
        <v>27</v>
      </c>
      <c r="AJ138" s="1"/>
      <c r="AK138" t="s">
        <v>28</v>
      </c>
      <c r="AL13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38">
        <f>SUM(Rel_2026[[#This Row],[qtd_TrxContabil]:[VLR_EXP_SORTE]])</f>
        <v>1264</v>
      </c>
      <c r="AN13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39" spans="1:40" x14ac:dyDescent="0.3">
      <c r="A139" t="str">
        <f>IF(Rel_2026[[#This Row],[Zero]]=0,"Zero",IF(Rel_2026[[#This Row],[Pontuação]]&gt;=10,"Sim",IF(Rel_2026[[#This Row],[Pontuação]]&gt;=5,"Próximo","Não")))</f>
        <v>Não</v>
      </c>
      <c r="B139" t="str">
        <f>IF(Rel_2026[[#This Row],[Zero]]=0,"Zero",IF(Rel_2026[[#This Row],[Pontuação2]]&gt;=10,"Sim",IF(Rel_2026[[#This Row],[Pontuação2]]&gt;=5,"Próximo","Não")))</f>
        <v>Não</v>
      </c>
      <c r="C139" t="str">
        <f>IFERROR(VLOOKUP(Rel_2026[[#This Row],[chave_loja]],Responsavel!A:B,2,FALSE),"EUCLIDES")</f>
        <v>CÉLIO</v>
      </c>
      <c r="D139" t="str">
        <f>LEFT(Rel_2026[[#This Row],[ag_pacb]],4)</f>
        <v>0713</v>
      </c>
      <c r="E139">
        <v>414245</v>
      </c>
      <c r="F139" t="s">
        <v>586</v>
      </c>
      <c r="G139" t="s">
        <v>587</v>
      </c>
      <c r="H139" s="1">
        <v>45847</v>
      </c>
      <c r="I139" t="s">
        <v>23</v>
      </c>
      <c r="J139" t="s">
        <v>24</v>
      </c>
      <c r="K139" s="1">
        <v>45832</v>
      </c>
      <c r="L139" s="1">
        <v>45861</v>
      </c>
      <c r="M139" t="s">
        <v>25</v>
      </c>
      <c r="N139" s="1">
        <v>46254</v>
      </c>
      <c r="O139">
        <v>51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s">
        <v>38</v>
      </c>
      <c r="AI139" t="s">
        <v>27</v>
      </c>
      <c r="AJ139" s="1"/>
      <c r="AK139" t="s">
        <v>28</v>
      </c>
      <c r="AL13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39">
        <f>SUM(Rel_2026[[#This Row],[qtd_TrxContabil]:[VLR_EXP_SORTE]])</f>
        <v>51</v>
      </c>
      <c r="AN13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40" spans="1:40" x14ac:dyDescent="0.3">
      <c r="A140" t="str">
        <f>IF(Rel_2026[[#This Row],[Zero]]=0,"Zero",IF(Rel_2026[[#This Row],[Pontuação]]&gt;=10,"Sim",IF(Rel_2026[[#This Row],[Pontuação]]&gt;=5,"Próximo","Não")))</f>
        <v>Sim</v>
      </c>
      <c r="B140" t="str">
        <f>IF(Rel_2026[[#This Row],[Zero]]=0,"Zero",IF(Rel_2026[[#This Row],[Pontuação2]]&gt;=10,"Sim",IF(Rel_2026[[#This Row],[Pontuação2]]&gt;=5,"Próximo","Não")))</f>
        <v>Sim</v>
      </c>
      <c r="C140" t="str">
        <f>IFERROR(VLOOKUP(Rel_2026[[#This Row],[chave_loja]],Responsavel!A:B,2,FALSE),"EUCLIDES")</f>
        <v>WASTHSON</v>
      </c>
      <c r="D140" t="str">
        <f>LEFT(Rel_2026[[#This Row],[ag_pacb]],4)</f>
        <v>0458</v>
      </c>
      <c r="E140">
        <v>50461</v>
      </c>
      <c r="F140" t="s">
        <v>647</v>
      </c>
      <c r="G140" t="s">
        <v>648</v>
      </c>
      <c r="H140" s="1">
        <v>44154</v>
      </c>
      <c r="I140" t="s">
        <v>23</v>
      </c>
      <c r="J140" t="s">
        <v>159</v>
      </c>
      <c r="K140" s="1">
        <v>42130</v>
      </c>
      <c r="L140" s="1">
        <v>45467</v>
      </c>
      <c r="M140" t="s">
        <v>32</v>
      </c>
      <c r="N140" s="1">
        <v>46254</v>
      </c>
      <c r="O140">
        <v>2081</v>
      </c>
      <c r="P140">
        <v>7</v>
      </c>
      <c r="Q140">
        <v>6</v>
      </c>
      <c r="R140">
        <v>7</v>
      </c>
      <c r="S140">
        <v>1</v>
      </c>
      <c r="T140">
        <v>3667</v>
      </c>
      <c r="U140">
        <v>0</v>
      </c>
      <c r="V140">
        <v>0</v>
      </c>
      <c r="W140">
        <v>0</v>
      </c>
      <c r="X140">
        <v>0</v>
      </c>
      <c r="Y140">
        <v>1858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s">
        <v>38</v>
      </c>
      <c r="AI140" t="s">
        <v>27</v>
      </c>
      <c r="AJ140" s="1"/>
      <c r="AK140" t="s">
        <v>28</v>
      </c>
      <c r="AL14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86</v>
      </c>
      <c r="AM140">
        <f>SUM(Rel_2026[[#This Row],[qtd_TrxContabil]:[VLR_EXP_SORTE]])</f>
        <v>7627</v>
      </c>
      <c r="AN14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107</v>
      </c>
    </row>
    <row r="141" spans="1:40" x14ac:dyDescent="0.3">
      <c r="A141" t="str">
        <f>IF(Rel_2026[[#This Row],[Zero]]=0,"Zero",IF(Rel_2026[[#This Row],[Pontuação]]&gt;=10,"Sim",IF(Rel_2026[[#This Row],[Pontuação]]&gt;=5,"Próximo","Não")))</f>
        <v>Sim</v>
      </c>
      <c r="B141" t="str">
        <f>IF(Rel_2026[[#This Row],[Zero]]=0,"Zero",IF(Rel_2026[[#This Row],[Pontuação2]]&gt;=10,"Sim",IF(Rel_2026[[#This Row],[Pontuação2]]&gt;=5,"Próximo","Não")))</f>
        <v>Sim</v>
      </c>
      <c r="C141" t="str">
        <f>IFERROR(VLOOKUP(Rel_2026[[#This Row],[chave_loja]],Responsavel!A:B,2,FALSE),"EUCLIDES")</f>
        <v>NYCOLLAS</v>
      </c>
      <c r="D141" t="str">
        <f>LEFT(Rel_2026[[#This Row],[ag_pacb]],4)</f>
        <v>0719</v>
      </c>
      <c r="E141">
        <v>401707</v>
      </c>
      <c r="F141" t="s">
        <v>467</v>
      </c>
      <c r="G141" t="s">
        <v>468</v>
      </c>
      <c r="H141" s="1">
        <v>45538</v>
      </c>
      <c r="I141" t="s">
        <v>23</v>
      </c>
      <c r="J141" t="s">
        <v>1215</v>
      </c>
      <c r="K141" s="1">
        <v>45356</v>
      </c>
      <c r="L141" s="1">
        <v>45755</v>
      </c>
      <c r="M141" t="s">
        <v>32</v>
      </c>
      <c r="N141" s="1">
        <v>46254</v>
      </c>
      <c r="O141">
        <v>40</v>
      </c>
      <c r="P141">
        <v>2</v>
      </c>
      <c r="Q141">
        <v>1</v>
      </c>
      <c r="R141">
        <v>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</v>
      </c>
      <c r="AG141">
        <v>5</v>
      </c>
      <c r="AH141" t="s">
        <v>26</v>
      </c>
      <c r="AI141" t="s">
        <v>27</v>
      </c>
      <c r="AJ141" s="1"/>
      <c r="AK141" t="s">
        <v>28</v>
      </c>
      <c r="AL14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141">
        <f>SUM(Rel_2026[[#This Row],[qtd_TrxContabil]:[VLR_EXP_SORTE]])</f>
        <v>52</v>
      </c>
      <c r="AN14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16</v>
      </c>
    </row>
    <row r="142" spans="1:40" x14ac:dyDescent="0.3">
      <c r="A142" t="str">
        <f>IF(Rel_2026[[#This Row],[Zero]]=0,"Zero",IF(Rel_2026[[#This Row],[Pontuação]]&gt;=10,"Sim",IF(Rel_2026[[#This Row],[Pontuação]]&gt;=5,"Próximo","Não")))</f>
        <v>Sim</v>
      </c>
      <c r="B142" t="str">
        <f>IF(Rel_2026[[#This Row],[Zero]]=0,"Zero",IF(Rel_2026[[#This Row],[Pontuação2]]&gt;=10,"Sim",IF(Rel_2026[[#This Row],[Pontuação2]]&gt;=5,"Próximo","Não")))</f>
        <v>Sim</v>
      </c>
      <c r="C142" t="str">
        <f>IFERROR(VLOOKUP(Rel_2026[[#This Row],[chave_loja]],Responsavel!A:B,2,FALSE),"EUCLIDES")</f>
        <v>IVAN</v>
      </c>
      <c r="D142" t="str">
        <f>LEFT(Rel_2026[[#This Row],[ag_pacb]],4)</f>
        <v>0767</v>
      </c>
      <c r="E142">
        <v>416785</v>
      </c>
      <c r="F142" t="s">
        <v>675</v>
      </c>
      <c r="G142" t="s">
        <v>674</v>
      </c>
      <c r="H142" s="1">
        <v>45929</v>
      </c>
      <c r="I142" t="s">
        <v>23</v>
      </c>
      <c r="J142" t="s">
        <v>61</v>
      </c>
      <c r="K142" s="1">
        <v>45902</v>
      </c>
      <c r="L142" s="1">
        <v>45371</v>
      </c>
      <c r="M142" t="s">
        <v>25</v>
      </c>
      <c r="N142" s="1">
        <v>46253</v>
      </c>
      <c r="O142">
        <v>3</v>
      </c>
      <c r="P142">
        <v>3</v>
      </c>
      <c r="Q142">
        <v>3</v>
      </c>
      <c r="R142">
        <v>3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3</v>
      </c>
      <c r="AG142">
        <v>0</v>
      </c>
      <c r="AH142" t="s">
        <v>26</v>
      </c>
      <c r="AI142" t="s">
        <v>27</v>
      </c>
      <c r="AJ142" s="1"/>
      <c r="AK142" t="s">
        <v>28</v>
      </c>
      <c r="AL14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142">
        <f>SUM(Rel_2026[[#This Row],[qtd_TrxContabil]:[VLR_EXP_SORTE]])</f>
        <v>17</v>
      </c>
      <c r="AN14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</row>
    <row r="143" spans="1:40" x14ac:dyDescent="0.3">
      <c r="A143" t="str">
        <f>IF(Rel_2026[[#This Row],[Zero]]=0,"Zero",IF(Rel_2026[[#This Row],[Pontuação]]&gt;=10,"Sim",IF(Rel_2026[[#This Row],[Pontuação]]&gt;=5,"Próximo","Não")))</f>
        <v>Zero</v>
      </c>
      <c r="B143" t="str">
        <f>IF(Rel_2026[[#This Row],[Zero]]=0,"Zero",IF(Rel_2026[[#This Row],[Pontuação2]]&gt;=10,"Sim",IF(Rel_2026[[#This Row],[Pontuação2]]&gt;=5,"Próximo","Não")))</f>
        <v>Zero</v>
      </c>
      <c r="C143" t="str">
        <f>IFERROR(VLOOKUP(Rel_2026[[#This Row],[chave_loja]],Responsavel!A:B,2,FALSE),"EUCLIDES")</f>
        <v>ROSSY</v>
      </c>
      <c r="D143" t="str">
        <f>LEFT(Rel_2026[[#This Row],[ag_pacb]],4)</f>
        <v>5798</v>
      </c>
      <c r="E143">
        <v>414255</v>
      </c>
      <c r="F143" t="s">
        <v>1058</v>
      </c>
      <c r="G143" t="s">
        <v>1059</v>
      </c>
      <c r="H143" s="1">
        <v>45859</v>
      </c>
      <c r="I143" t="s">
        <v>107</v>
      </c>
      <c r="J143" t="s">
        <v>838</v>
      </c>
      <c r="K143" s="1">
        <v>45832</v>
      </c>
      <c r="L143" s="1">
        <v>45868</v>
      </c>
      <c r="M143" t="s">
        <v>109</v>
      </c>
      <c r="N143" s="1">
        <v>46182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s">
        <v>38</v>
      </c>
      <c r="AI143" t="s">
        <v>27</v>
      </c>
      <c r="AJ143" s="1"/>
      <c r="AK143" t="s">
        <v>28</v>
      </c>
      <c r="AL14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43">
        <f>SUM(Rel_2026[[#This Row],[qtd_TrxContabil]:[VLR_EXP_SORTE]])</f>
        <v>0</v>
      </c>
      <c r="AN14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44" spans="1:40" x14ac:dyDescent="0.3">
      <c r="A144" t="str">
        <f>IF(Rel_2026[[#This Row],[Zero]]=0,"Zero",IF(Rel_2026[[#This Row],[Pontuação]]&gt;=10,"Sim",IF(Rel_2026[[#This Row],[Pontuação]]&gt;=5,"Próximo","Não")))</f>
        <v>Sim</v>
      </c>
      <c r="B144" t="str">
        <f>IF(Rel_2026[[#This Row],[Zero]]=0,"Zero",IF(Rel_2026[[#This Row],[Pontuação2]]&gt;=10,"Sim",IF(Rel_2026[[#This Row],[Pontuação2]]&gt;=5,"Próximo","Não")))</f>
        <v>Sim</v>
      </c>
      <c r="C144" t="str">
        <f>IFERROR(VLOOKUP(Rel_2026[[#This Row],[chave_loja]],Responsavel!A:B,2,FALSE),"EUCLIDES")</f>
        <v>GIL</v>
      </c>
      <c r="D144" t="str">
        <f>LEFT(Rel_2026[[#This Row],[ag_pacb]],4)</f>
        <v>5387</v>
      </c>
      <c r="E144">
        <v>121391</v>
      </c>
      <c r="F144" t="s">
        <v>518</v>
      </c>
      <c r="G144" t="s">
        <v>519</v>
      </c>
      <c r="H144" s="1">
        <v>44142</v>
      </c>
      <c r="I144" t="s">
        <v>23</v>
      </c>
      <c r="J144" t="s">
        <v>74</v>
      </c>
      <c r="K144" s="1">
        <v>42142</v>
      </c>
      <c r="L144" s="1">
        <v>45464</v>
      </c>
      <c r="M144" t="s">
        <v>32</v>
      </c>
      <c r="N144" s="1">
        <v>46254</v>
      </c>
      <c r="O144">
        <v>2474</v>
      </c>
      <c r="P144">
        <v>4</v>
      </c>
      <c r="Q144">
        <v>4</v>
      </c>
      <c r="R144">
        <v>4</v>
      </c>
      <c r="S144">
        <v>0</v>
      </c>
      <c r="T144">
        <v>2023</v>
      </c>
      <c r="U144">
        <v>20100</v>
      </c>
      <c r="V144">
        <v>20100</v>
      </c>
      <c r="W144">
        <v>0</v>
      </c>
      <c r="X144">
        <v>0</v>
      </c>
      <c r="Y144">
        <v>4224</v>
      </c>
      <c r="Z144">
        <v>0</v>
      </c>
      <c r="AA144">
        <v>2</v>
      </c>
      <c r="AB144">
        <v>0</v>
      </c>
      <c r="AC144">
        <v>0</v>
      </c>
      <c r="AD144">
        <v>0</v>
      </c>
      <c r="AE144">
        <v>0</v>
      </c>
      <c r="AF144">
        <v>5</v>
      </c>
      <c r="AG144">
        <v>7</v>
      </c>
      <c r="AH144" t="s">
        <v>38</v>
      </c>
      <c r="AI144" t="s">
        <v>27</v>
      </c>
      <c r="AJ144" s="1"/>
      <c r="AK144" t="s">
        <v>28</v>
      </c>
      <c r="AL14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78</v>
      </c>
      <c r="AM144">
        <f>SUM(Rel_2026[[#This Row],[qtd_TrxContabil]:[VLR_EXP_SORTE]])</f>
        <v>48947</v>
      </c>
      <c r="AN14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90</v>
      </c>
    </row>
    <row r="145" spans="1:40" x14ac:dyDescent="0.3">
      <c r="A145" t="str">
        <f>IF(Rel_2026[[#This Row],[Zero]]=0,"Zero",IF(Rel_2026[[#This Row],[Pontuação]]&gt;=10,"Sim",IF(Rel_2026[[#This Row],[Pontuação]]&gt;=5,"Próximo","Não")))</f>
        <v>Não</v>
      </c>
      <c r="B145" t="str">
        <f>IF(Rel_2026[[#This Row],[Zero]]=0,"Zero",IF(Rel_2026[[#This Row],[Pontuação2]]&gt;=10,"Sim",IF(Rel_2026[[#This Row],[Pontuação2]]&gt;=5,"Próximo","Não")))</f>
        <v>Não</v>
      </c>
      <c r="C145" t="str">
        <f>IFERROR(VLOOKUP(Rel_2026[[#This Row],[chave_loja]],Responsavel!A:B,2,FALSE),"EUCLIDES")</f>
        <v>IVAN</v>
      </c>
      <c r="D145" t="str">
        <f>LEFT(Rel_2026[[#This Row],[ag_pacb]],4)</f>
        <v>5449</v>
      </c>
      <c r="E145">
        <v>401782</v>
      </c>
      <c r="F145" t="s">
        <v>697</v>
      </c>
      <c r="G145" t="s">
        <v>698</v>
      </c>
      <c r="H145" s="1">
        <v>45369</v>
      </c>
      <c r="I145" t="s">
        <v>23</v>
      </c>
      <c r="J145" t="s">
        <v>592</v>
      </c>
      <c r="K145" s="1">
        <v>45360</v>
      </c>
      <c r="L145" s="1">
        <v>45378</v>
      </c>
      <c r="M145" t="s">
        <v>25</v>
      </c>
      <c r="N145" s="1">
        <v>46254</v>
      </c>
      <c r="O145">
        <v>204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s">
        <v>26</v>
      </c>
      <c r="AI145" t="s">
        <v>27</v>
      </c>
      <c r="AJ145" s="1"/>
      <c r="AK145" t="s">
        <v>28</v>
      </c>
      <c r="AL14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145">
        <f>SUM(Rel_2026[[#This Row],[qtd_TrxContabil]:[VLR_EXP_SORTE]])</f>
        <v>205</v>
      </c>
      <c r="AN14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</row>
    <row r="146" spans="1:40" x14ac:dyDescent="0.3">
      <c r="A146" t="str">
        <f>IF(Rel_2026[[#This Row],[Zero]]=0,"Zero",IF(Rel_2026[[#This Row],[Pontuação]]&gt;=10,"Sim",IF(Rel_2026[[#This Row],[Pontuação]]&gt;=5,"Próximo","Não")))</f>
        <v>Sim</v>
      </c>
      <c r="B146" t="str">
        <f>IF(Rel_2026[[#This Row],[Zero]]=0,"Zero",IF(Rel_2026[[#This Row],[Pontuação2]]&gt;=10,"Sim",IF(Rel_2026[[#This Row],[Pontuação2]]&gt;=5,"Próximo","Não")))</f>
        <v>Sim</v>
      </c>
      <c r="C146" t="str">
        <f>IFERROR(VLOOKUP(Rel_2026[[#This Row],[chave_loja]],Responsavel!A:B,2,FALSE),"EUCLIDES")</f>
        <v>IVAN</v>
      </c>
      <c r="D146" t="str">
        <f>LEFT(Rel_2026[[#This Row],[ag_pacb]],4)</f>
        <v>5304</v>
      </c>
      <c r="E146">
        <v>410966</v>
      </c>
      <c r="F146" t="s">
        <v>379</v>
      </c>
      <c r="G146" t="s">
        <v>380</v>
      </c>
      <c r="H146" s="1">
        <v>45754</v>
      </c>
      <c r="I146" t="s">
        <v>23</v>
      </c>
      <c r="J146" t="s">
        <v>57</v>
      </c>
      <c r="K146" s="1">
        <v>45748</v>
      </c>
      <c r="L146" s="1">
        <v>45782</v>
      </c>
      <c r="M146" t="s">
        <v>25</v>
      </c>
      <c r="N146" s="1">
        <v>46254</v>
      </c>
      <c r="O146">
        <v>136</v>
      </c>
      <c r="P146">
        <v>3</v>
      </c>
      <c r="Q146">
        <v>2</v>
      </c>
      <c r="R146">
        <v>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3</v>
      </c>
      <c r="AG146">
        <v>0</v>
      </c>
      <c r="AH146" t="s">
        <v>26</v>
      </c>
      <c r="AI146" t="s">
        <v>27</v>
      </c>
      <c r="AJ146" s="1"/>
      <c r="AK146" t="s">
        <v>28</v>
      </c>
      <c r="AL14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</v>
      </c>
      <c r="AM146">
        <f>SUM(Rel_2026[[#This Row],[qtd_TrxContabil]:[VLR_EXP_SORTE]])</f>
        <v>147</v>
      </c>
      <c r="AN14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26</v>
      </c>
    </row>
    <row r="147" spans="1:40" x14ac:dyDescent="0.3">
      <c r="A147" t="str">
        <f>IF(Rel_2026[[#This Row],[Zero]]=0,"Zero",IF(Rel_2026[[#This Row],[Pontuação]]&gt;=10,"Sim",IF(Rel_2026[[#This Row],[Pontuação]]&gt;=5,"Próximo","Não")))</f>
        <v>Sim</v>
      </c>
      <c r="B147" t="str">
        <f>IF(Rel_2026[[#This Row],[Zero]]=0,"Zero",IF(Rel_2026[[#This Row],[Pontuação2]]&gt;=10,"Sim",IF(Rel_2026[[#This Row],[Pontuação2]]&gt;=5,"Próximo","Não")))</f>
        <v>Sim</v>
      </c>
      <c r="C147" t="str">
        <f>IFERROR(VLOOKUP(Rel_2026[[#This Row],[chave_loja]],Responsavel!A:B,2,FALSE),"EUCLIDES")</f>
        <v>WASTHSON</v>
      </c>
      <c r="D147" t="str">
        <f>LEFT(Rel_2026[[#This Row],[ag_pacb]],4)</f>
        <v>5415</v>
      </c>
      <c r="E147">
        <v>88112</v>
      </c>
      <c r="F147" t="s">
        <v>633</v>
      </c>
      <c r="G147" t="s">
        <v>634</v>
      </c>
      <c r="H147" s="1">
        <v>44147</v>
      </c>
      <c r="I147" t="s">
        <v>23</v>
      </c>
      <c r="J147" t="s">
        <v>576</v>
      </c>
      <c r="K147" s="1">
        <v>42145</v>
      </c>
      <c r="L147" s="1">
        <v>46160</v>
      </c>
      <c r="M147" t="s">
        <v>32</v>
      </c>
      <c r="N147" s="1">
        <v>46254</v>
      </c>
      <c r="O147">
        <v>1152</v>
      </c>
      <c r="P147">
        <v>2</v>
      </c>
      <c r="Q147">
        <v>0</v>
      </c>
      <c r="R147">
        <v>2</v>
      </c>
      <c r="S147">
        <v>0</v>
      </c>
      <c r="T147">
        <v>1100</v>
      </c>
      <c r="U147">
        <v>2150</v>
      </c>
      <c r="V147">
        <v>2150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t="s">
        <v>38</v>
      </c>
      <c r="AI147" t="s">
        <v>27</v>
      </c>
      <c r="AJ147" s="1"/>
      <c r="AK147" t="s">
        <v>28</v>
      </c>
      <c r="AL14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19</v>
      </c>
      <c r="AM147">
        <f>SUM(Rel_2026[[#This Row],[qtd_TrxContabil]:[VLR_EXP_SORTE]])</f>
        <v>6556</v>
      </c>
      <c r="AN14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25</v>
      </c>
    </row>
    <row r="148" spans="1:40" x14ac:dyDescent="0.3">
      <c r="A148" t="str">
        <f>IF(Rel_2026[[#This Row],[Zero]]=0,"Zero",IF(Rel_2026[[#This Row],[Pontuação]]&gt;=10,"Sim",IF(Rel_2026[[#This Row],[Pontuação]]&gt;=5,"Próximo","Não")))</f>
        <v>Sim</v>
      </c>
      <c r="B148" t="str">
        <f>IF(Rel_2026[[#This Row],[Zero]]=0,"Zero",IF(Rel_2026[[#This Row],[Pontuação2]]&gt;=10,"Sim",IF(Rel_2026[[#This Row],[Pontuação2]]&gt;=5,"Próximo","Não")))</f>
        <v>Sim</v>
      </c>
      <c r="C148" t="str">
        <f>IFERROR(VLOOKUP(Rel_2026[[#This Row],[chave_loja]],Responsavel!A:B,2,FALSE),"EUCLIDES")</f>
        <v>NYCOLLAS</v>
      </c>
      <c r="D148" t="str">
        <f>LEFT(Rel_2026[[#This Row],[ag_pacb]],4)</f>
        <v>5447</v>
      </c>
      <c r="E148">
        <v>173219</v>
      </c>
      <c r="F148" t="s">
        <v>545</v>
      </c>
      <c r="G148" t="s">
        <v>546</v>
      </c>
      <c r="H148" s="1">
        <v>44484</v>
      </c>
      <c r="I148" t="s">
        <v>23</v>
      </c>
      <c r="J148" t="s">
        <v>89</v>
      </c>
      <c r="K148" s="1">
        <v>43600</v>
      </c>
      <c r="L148" s="1">
        <v>46105</v>
      </c>
      <c r="M148" t="s">
        <v>32</v>
      </c>
      <c r="N148" s="1">
        <v>46254</v>
      </c>
      <c r="O148">
        <v>946</v>
      </c>
      <c r="P148">
        <v>3</v>
      </c>
      <c r="Q148">
        <v>3</v>
      </c>
      <c r="R148">
        <v>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3</v>
      </c>
      <c r="AG148">
        <v>0</v>
      </c>
      <c r="AH148" t="s">
        <v>38</v>
      </c>
      <c r="AI148" t="s">
        <v>27</v>
      </c>
      <c r="AJ148" s="1"/>
      <c r="AK148" t="s">
        <v>28</v>
      </c>
      <c r="AL14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148">
        <f>SUM(Rel_2026[[#This Row],[qtd_TrxContabil]:[VLR_EXP_SORTE]])</f>
        <v>958</v>
      </c>
      <c r="AN14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</row>
    <row r="149" spans="1:40" x14ac:dyDescent="0.3">
      <c r="A149" t="str">
        <f>IF(Rel_2026[[#This Row],[Zero]]=0,"Zero",IF(Rel_2026[[#This Row],[Pontuação]]&gt;=10,"Sim",IF(Rel_2026[[#This Row],[Pontuação]]&gt;=5,"Próximo","Não")))</f>
        <v>Sim</v>
      </c>
      <c r="B149" t="str">
        <f>IF(Rel_2026[[#This Row],[Zero]]=0,"Zero",IF(Rel_2026[[#This Row],[Pontuação2]]&gt;=10,"Sim",IF(Rel_2026[[#This Row],[Pontuação2]]&gt;=5,"Próximo","Não")))</f>
        <v>Sim</v>
      </c>
      <c r="C149" t="str">
        <f>IFERROR(VLOOKUP(Rel_2026[[#This Row],[chave_loja]],Responsavel!A:B,2,FALSE),"EUCLIDES")</f>
        <v>JUNIOR</v>
      </c>
      <c r="D149" t="str">
        <f>LEFT(Rel_2026[[#This Row],[ag_pacb]],4)</f>
        <v>0684</v>
      </c>
      <c r="E149">
        <v>203440</v>
      </c>
      <c r="F149" t="s">
        <v>1393</v>
      </c>
      <c r="G149" t="s">
        <v>213</v>
      </c>
      <c r="H149" s="1">
        <v>44153</v>
      </c>
      <c r="I149" t="s">
        <v>23</v>
      </c>
      <c r="J149" t="s">
        <v>37</v>
      </c>
      <c r="K149" s="1">
        <v>44092</v>
      </c>
      <c r="L149" s="1">
        <v>46066</v>
      </c>
      <c r="M149" t="s">
        <v>32</v>
      </c>
      <c r="N149" s="1">
        <v>46254</v>
      </c>
      <c r="O149">
        <v>1575</v>
      </c>
      <c r="P149">
        <v>4</v>
      </c>
      <c r="Q149">
        <v>0</v>
      </c>
      <c r="R149">
        <v>0</v>
      </c>
      <c r="S149">
        <v>0</v>
      </c>
      <c r="T149">
        <v>2306</v>
      </c>
      <c r="U149">
        <v>71805</v>
      </c>
      <c r="V149">
        <v>71805</v>
      </c>
      <c r="W149">
        <v>0</v>
      </c>
      <c r="X149">
        <v>0</v>
      </c>
      <c r="Y149">
        <v>19846</v>
      </c>
      <c r="Z149">
        <v>0</v>
      </c>
      <c r="AA149">
        <v>0</v>
      </c>
      <c r="AB149">
        <v>0</v>
      </c>
      <c r="AC149">
        <v>7</v>
      </c>
      <c r="AD149">
        <v>0</v>
      </c>
      <c r="AE149">
        <v>1</v>
      </c>
      <c r="AF149">
        <v>4</v>
      </c>
      <c r="AG149">
        <v>27</v>
      </c>
      <c r="AH149" t="s">
        <v>38</v>
      </c>
      <c r="AI149" t="s">
        <v>27</v>
      </c>
      <c r="AJ149" s="1"/>
      <c r="AK149" t="s">
        <v>28</v>
      </c>
      <c r="AL14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156</v>
      </c>
      <c r="AM149">
        <f>SUM(Rel_2026[[#This Row],[qtd_TrxContabil]:[VLR_EXP_SORTE]])</f>
        <v>167380</v>
      </c>
      <c r="AN14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156</v>
      </c>
    </row>
    <row r="150" spans="1:40" x14ac:dyDescent="0.3">
      <c r="A150" t="str">
        <f>IF(Rel_2026[[#This Row],[Zero]]=0,"Zero",IF(Rel_2026[[#This Row],[Pontuação]]&gt;=10,"Sim",IF(Rel_2026[[#This Row],[Pontuação]]&gt;=5,"Próximo","Não")))</f>
        <v>Sim</v>
      </c>
      <c r="B150" t="str">
        <f>IF(Rel_2026[[#This Row],[Zero]]=0,"Zero",IF(Rel_2026[[#This Row],[Pontuação2]]&gt;=10,"Sim",IF(Rel_2026[[#This Row],[Pontuação2]]&gt;=5,"Próximo","Não")))</f>
        <v>Sim</v>
      </c>
      <c r="C150" t="str">
        <f>IFERROR(VLOOKUP(Rel_2026[[#This Row],[chave_loja]],Responsavel!A:B,2,FALSE),"EUCLIDES")</f>
        <v>CÉLIO</v>
      </c>
      <c r="D150" t="str">
        <f>LEFT(Rel_2026[[#This Row],[ag_pacb]],4)</f>
        <v>0288</v>
      </c>
      <c r="E150">
        <v>232624</v>
      </c>
      <c r="F150" t="s">
        <v>354</v>
      </c>
      <c r="G150" t="s">
        <v>355</v>
      </c>
      <c r="H150" s="1">
        <v>44774</v>
      </c>
      <c r="I150" t="s">
        <v>23</v>
      </c>
      <c r="J150" t="s">
        <v>24</v>
      </c>
      <c r="K150" s="1">
        <v>45306</v>
      </c>
      <c r="L150" s="1">
        <v>44762</v>
      </c>
      <c r="M150" t="s">
        <v>25</v>
      </c>
      <c r="N150" s="1">
        <v>46254</v>
      </c>
      <c r="O150">
        <v>369</v>
      </c>
      <c r="P150">
        <v>14</v>
      </c>
      <c r="Q150">
        <v>0</v>
      </c>
      <c r="R150">
        <v>14</v>
      </c>
      <c r="S150">
        <v>2</v>
      </c>
      <c r="T150">
        <v>1300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</v>
      </c>
      <c r="AC150">
        <v>0</v>
      </c>
      <c r="AD150">
        <v>0</v>
      </c>
      <c r="AE150">
        <v>0</v>
      </c>
      <c r="AF150">
        <v>14</v>
      </c>
      <c r="AG150">
        <v>0</v>
      </c>
      <c r="AH150" t="s">
        <v>26</v>
      </c>
      <c r="AI150" t="s">
        <v>27</v>
      </c>
      <c r="AJ150" s="1"/>
      <c r="AK150" t="s">
        <v>28</v>
      </c>
      <c r="AL15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55</v>
      </c>
      <c r="AM150">
        <f>SUM(Rel_2026[[#This Row],[qtd_TrxContabil]:[VLR_EXP_SORTE]])</f>
        <v>1715</v>
      </c>
      <c r="AN15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97</v>
      </c>
    </row>
    <row r="151" spans="1:40" x14ac:dyDescent="0.3">
      <c r="A151" t="str">
        <f>IF(Rel_2026[[#This Row],[Zero]]=0,"Zero",IF(Rel_2026[[#This Row],[Pontuação]]&gt;=10,"Sim",IF(Rel_2026[[#This Row],[Pontuação]]&gt;=5,"Próximo","Não")))</f>
        <v>Sim</v>
      </c>
      <c r="B151" t="str">
        <f>IF(Rel_2026[[#This Row],[Zero]]=0,"Zero",IF(Rel_2026[[#This Row],[Pontuação2]]&gt;=10,"Sim",IF(Rel_2026[[#This Row],[Pontuação2]]&gt;=5,"Próximo","Não")))</f>
        <v>Sim</v>
      </c>
      <c r="C151" t="str">
        <f>IFERROR(VLOOKUP(Rel_2026[[#This Row],[chave_loja]],Responsavel!A:B,2,FALSE),"EUCLIDES")</f>
        <v>NYCOLLAS</v>
      </c>
      <c r="D151" t="str">
        <f>LEFT(Rel_2026[[#This Row],[ag_pacb]],4)</f>
        <v>0699</v>
      </c>
      <c r="E151">
        <v>403830</v>
      </c>
      <c r="F151" t="s">
        <v>318</v>
      </c>
      <c r="G151" t="s">
        <v>319</v>
      </c>
      <c r="H151" s="1">
        <v>45474</v>
      </c>
      <c r="I151" t="s">
        <v>23</v>
      </c>
      <c r="J151" t="s">
        <v>125</v>
      </c>
      <c r="K151" s="1">
        <v>45455</v>
      </c>
      <c r="L151" s="1">
        <v>46247</v>
      </c>
      <c r="M151" t="s">
        <v>32</v>
      </c>
      <c r="N151" s="1">
        <v>46252</v>
      </c>
      <c r="O151">
        <v>30</v>
      </c>
      <c r="P151">
        <v>2</v>
      </c>
      <c r="Q151">
        <v>1</v>
      </c>
      <c r="R151">
        <v>2</v>
      </c>
      <c r="S151">
        <v>0</v>
      </c>
      <c r="T151">
        <v>2800</v>
      </c>
      <c r="U151">
        <v>25000</v>
      </c>
      <c r="V151">
        <v>25000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2</v>
      </c>
      <c r="AG151">
        <v>0</v>
      </c>
      <c r="AH151" t="s">
        <v>26</v>
      </c>
      <c r="AI151" t="s">
        <v>27</v>
      </c>
      <c r="AJ151" s="1"/>
      <c r="AK151" t="s">
        <v>28</v>
      </c>
      <c r="AL15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64</v>
      </c>
      <c r="AM151">
        <f>SUM(Rel_2026[[#This Row],[qtd_TrxContabil]:[VLR_EXP_SORTE]])</f>
        <v>52838</v>
      </c>
      <c r="AN15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70</v>
      </c>
    </row>
    <row r="152" spans="1:40" x14ac:dyDescent="0.3">
      <c r="A152" t="str">
        <f>IF(Rel_2026[[#This Row],[Zero]]=0,"Zero",IF(Rel_2026[[#This Row],[Pontuação]]&gt;=10,"Sim",IF(Rel_2026[[#This Row],[Pontuação]]&gt;=5,"Próximo","Não")))</f>
        <v>Sim</v>
      </c>
      <c r="B152" t="str">
        <f>IF(Rel_2026[[#This Row],[Zero]]=0,"Zero",IF(Rel_2026[[#This Row],[Pontuação2]]&gt;=10,"Sim",IF(Rel_2026[[#This Row],[Pontuação2]]&gt;=5,"Próximo","Não")))</f>
        <v>Sim</v>
      </c>
      <c r="C152" t="str">
        <f>IFERROR(VLOOKUP(Rel_2026[[#This Row],[chave_loja]],Responsavel!A:B,2,FALSE),"EUCLIDES")</f>
        <v>JACK</v>
      </c>
      <c r="D152" t="str">
        <f>LEFT(Rel_2026[[#This Row],[ag_pacb]],4)</f>
        <v>5806</v>
      </c>
      <c r="E152">
        <v>424889</v>
      </c>
      <c r="F152" t="s">
        <v>1343</v>
      </c>
      <c r="G152" t="s">
        <v>1344</v>
      </c>
      <c r="H152" s="1">
        <v>46198</v>
      </c>
      <c r="I152" t="s">
        <v>107</v>
      </c>
      <c r="J152" t="s">
        <v>842</v>
      </c>
      <c r="K152" s="1">
        <v>46192</v>
      </c>
      <c r="L152" s="1">
        <v>46226</v>
      </c>
      <c r="M152" t="s">
        <v>109</v>
      </c>
      <c r="N152" s="1">
        <v>46253</v>
      </c>
      <c r="O152">
        <v>153</v>
      </c>
      <c r="P152">
        <v>3</v>
      </c>
      <c r="Q152">
        <v>3</v>
      </c>
      <c r="R152">
        <v>3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3</v>
      </c>
      <c r="AG152">
        <v>0</v>
      </c>
      <c r="AH152" t="s">
        <v>38</v>
      </c>
      <c r="AI152" t="s">
        <v>27</v>
      </c>
      <c r="AJ152" s="1"/>
      <c r="AK152" t="s">
        <v>28</v>
      </c>
      <c r="AL15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22</v>
      </c>
      <c r="AM152">
        <f>SUM(Rel_2026[[#This Row],[qtd_TrxContabil]:[VLR_EXP_SORTE]])</f>
        <v>168</v>
      </c>
      <c r="AN15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31</v>
      </c>
    </row>
    <row r="153" spans="1:40" x14ac:dyDescent="0.3">
      <c r="A153" t="str">
        <f>IF(Rel_2026[[#This Row],[Zero]]=0,"Zero",IF(Rel_2026[[#This Row],[Pontuação]]&gt;=10,"Sim",IF(Rel_2026[[#This Row],[Pontuação]]&gt;=5,"Próximo","Não")))</f>
        <v>Sim</v>
      </c>
      <c r="B153" t="str">
        <f>IF(Rel_2026[[#This Row],[Zero]]=0,"Zero",IF(Rel_2026[[#This Row],[Pontuação2]]&gt;=10,"Sim",IF(Rel_2026[[#This Row],[Pontuação2]]&gt;=5,"Próximo","Não")))</f>
        <v>Sim</v>
      </c>
      <c r="C153" t="str">
        <f>IFERROR(VLOOKUP(Rel_2026[[#This Row],[chave_loja]],Responsavel!A:B,2,FALSE),"EUCLIDES")</f>
        <v>ISMAEL</v>
      </c>
      <c r="D153" t="str">
        <f>LEFT(Rel_2026[[#This Row],[ag_pacb]],4)</f>
        <v>5365</v>
      </c>
      <c r="E153">
        <v>54924</v>
      </c>
      <c r="F153" t="s">
        <v>614</v>
      </c>
      <c r="G153" t="s">
        <v>615</v>
      </c>
      <c r="H153" s="1">
        <v>45147</v>
      </c>
      <c r="I153" t="s">
        <v>23</v>
      </c>
      <c r="J153" t="s">
        <v>616</v>
      </c>
      <c r="K153" s="1">
        <v>42214</v>
      </c>
      <c r="L153" s="1">
        <v>45510</v>
      </c>
      <c r="M153" t="s">
        <v>25</v>
      </c>
      <c r="N153" s="1">
        <v>46254</v>
      </c>
      <c r="O153">
        <v>1559</v>
      </c>
      <c r="P153">
        <v>0</v>
      </c>
      <c r="Q153">
        <v>0</v>
      </c>
      <c r="R153">
        <v>0</v>
      </c>
      <c r="S153">
        <v>0</v>
      </c>
      <c r="T153">
        <v>1230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t="s">
        <v>38</v>
      </c>
      <c r="AI153" t="s">
        <v>27</v>
      </c>
      <c r="AJ153" s="1"/>
      <c r="AK153" t="s">
        <v>28</v>
      </c>
      <c r="AL15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  <c r="AM153">
        <f>SUM(Rel_2026[[#This Row],[qtd_TrxContabil]:[VLR_EXP_SORTE]])</f>
        <v>2789</v>
      </c>
      <c r="AN15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</row>
    <row r="154" spans="1:40" x14ac:dyDescent="0.3">
      <c r="A154" t="str">
        <f>IF(Rel_2026[[#This Row],[Zero]]=0,"Zero",IF(Rel_2026[[#This Row],[Pontuação]]&gt;=10,"Sim",IF(Rel_2026[[#This Row],[Pontuação]]&gt;=5,"Próximo","Não")))</f>
        <v>Não</v>
      </c>
      <c r="B154" t="str">
        <f>IF(Rel_2026[[#This Row],[Zero]]=0,"Zero",IF(Rel_2026[[#This Row],[Pontuação2]]&gt;=10,"Sim",IF(Rel_2026[[#This Row],[Pontuação2]]&gt;=5,"Próximo","Não")))</f>
        <v>Não</v>
      </c>
      <c r="C154" t="str">
        <f>IFERROR(VLOOKUP(Rel_2026[[#This Row],[chave_loja]],Responsavel!A:B,2,FALSE),"EUCLIDES")</f>
        <v>IVAN</v>
      </c>
      <c r="D154" t="str">
        <f>LEFT(Rel_2026[[#This Row],[ag_pacb]],4)</f>
        <v>0767</v>
      </c>
      <c r="E154">
        <v>410934</v>
      </c>
      <c r="F154" t="s">
        <v>507</v>
      </c>
      <c r="G154" t="s">
        <v>508</v>
      </c>
      <c r="H154" s="1">
        <v>45828</v>
      </c>
      <c r="I154" t="s">
        <v>23</v>
      </c>
      <c r="J154" t="s">
        <v>93</v>
      </c>
      <c r="K154" s="1">
        <v>45747</v>
      </c>
      <c r="L154" s="1">
        <v>45834</v>
      </c>
      <c r="M154" t="s">
        <v>25</v>
      </c>
      <c r="N154" s="1">
        <v>46254</v>
      </c>
      <c r="O154">
        <v>941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s">
        <v>38</v>
      </c>
      <c r="AI154" t="s">
        <v>27</v>
      </c>
      <c r="AJ154" s="1"/>
      <c r="AK154" t="s">
        <v>28</v>
      </c>
      <c r="AL15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54">
        <f>SUM(Rel_2026[[#This Row],[qtd_TrxContabil]:[VLR_EXP_SORTE]])</f>
        <v>941</v>
      </c>
      <c r="AN15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55" spans="1:40" x14ac:dyDescent="0.3">
      <c r="A155" t="str">
        <f>IF(Rel_2026[[#This Row],[Zero]]=0,"Zero",IF(Rel_2026[[#This Row],[Pontuação]]&gt;=10,"Sim",IF(Rel_2026[[#This Row],[Pontuação]]&gt;=5,"Próximo","Não")))</f>
        <v>Sim</v>
      </c>
      <c r="B155" t="str">
        <f>IF(Rel_2026[[#This Row],[Zero]]=0,"Zero",IF(Rel_2026[[#This Row],[Pontuação2]]&gt;=10,"Sim",IF(Rel_2026[[#This Row],[Pontuação2]]&gt;=5,"Próximo","Não")))</f>
        <v>Sim</v>
      </c>
      <c r="C155" t="str">
        <f>IFERROR(VLOOKUP(Rel_2026[[#This Row],[chave_loja]],Responsavel!A:B,2,FALSE),"EUCLIDES")</f>
        <v>DARIO</v>
      </c>
      <c r="D155" t="str">
        <f>LEFT(Rel_2026[[#This Row],[ag_pacb]],4)</f>
        <v>0703</v>
      </c>
      <c r="E155">
        <v>51935</v>
      </c>
      <c r="F155" t="s">
        <v>771</v>
      </c>
      <c r="G155" t="s">
        <v>171</v>
      </c>
      <c r="H155" s="1">
        <v>44398</v>
      </c>
      <c r="I155" t="s">
        <v>23</v>
      </c>
      <c r="J155" t="s">
        <v>172</v>
      </c>
      <c r="K155" s="1">
        <v>42249</v>
      </c>
      <c r="L155" s="1">
        <v>45574</v>
      </c>
      <c r="M155" t="s">
        <v>25</v>
      </c>
      <c r="N155" s="1">
        <v>46254</v>
      </c>
      <c r="O155">
        <v>1661</v>
      </c>
      <c r="P155">
        <v>3</v>
      </c>
      <c r="Q155">
        <v>3</v>
      </c>
      <c r="R155">
        <v>2</v>
      </c>
      <c r="S155">
        <v>0</v>
      </c>
      <c r="T155">
        <v>1000</v>
      </c>
      <c r="U155">
        <v>23639</v>
      </c>
      <c r="V155">
        <v>23639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s">
        <v>38</v>
      </c>
      <c r="AI155" t="s">
        <v>27</v>
      </c>
      <c r="AJ155" s="1"/>
      <c r="AK155" t="s">
        <v>28</v>
      </c>
      <c r="AL15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58</v>
      </c>
      <c r="AM155">
        <f>SUM(Rel_2026[[#This Row],[qtd_TrxContabil]:[VLR_EXP_SORTE]])</f>
        <v>49950</v>
      </c>
      <c r="AN15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64</v>
      </c>
    </row>
    <row r="156" spans="1:40" x14ac:dyDescent="0.3">
      <c r="A156" t="str">
        <f>IF(Rel_2026[[#This Row],[Zero]]=0,"Zero",IF(Rel_2026[[#This Row],[Pontuação]]&gt;=10,"Sim",IF(Rel_2026[[#This Row],[Pontuação]]&gt;=5,"Próximo","Não")))</f>
        <v>Sim</v>
      </c>
      <c r="B156" t="str">
        <f>IF(Rel_2026[[#This Row],[Zero]]=0,"Zero",IF(Rel_2026[[#This Row],[Pontuação2]]&gt;=10,"Sim",IF(Rel_2026[[#This Row],[Pontuação2]]&gt;=5,"Próximo","Não")))</f>
        <v>Sim</v>
      </c>
      <c r="C156" t="str">
        <f>IFERROR(VLOOKUP(Rel_2026[[#This Row],[chave_loja]],Responsavel!A:B,2,FALSE),"EUCLIDES")</f>
        <v>WASTHSON</v>
      </c>
      <c r="D156" t="str">
        <f>LEFT(Rel_2026[[#This Row],[ag_pacb]],4)</f>
        <v>0458</v>
      </c>
      <c r="E156">
        <v>101381</v>
      </c>
      <c r="F156" t="s">
        <v>299</v>
      </c>
      <c r="G156" t="s">
        <v>300</v>
      </c>
      <c r="H156" s="1">
        <v>44117</v>
      </c>
      <c r="I156" t="s">
        <v>23</v>
      </c>
      <c r="J156" t="s">
        <v>301</v>
      </c>
      <c r="K156" s="1">
        <v>42142</v>
      </c>
      <c r="L156" s="1">
        <v>46156</v>
      </c>
      <c r="M156" t="s">
        <v>32</v>
      </c>
      <c r="N156" s="1">
        <v>46254</v>
      </c>
      <c r="O156">
        <v>5307</v>
      </c>
      <c r="P156">
        <v>23</v>
      </c>
      <c r="Q156">
        <v>5</v>
      </c>
      <c r="R156">
        <v>12</v>
      </c>
      <c r="S156">
        <v>7</v>
      </c>
      <c r="T156">
        <v>0</v>
      </c>
      <c r="U156">
        <v>8000</v>
      </c>
      <c r="V156">
        <v>8000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8</v>
      </c>
      <c r="AC156">
        <v>0</v>
      </c>
      <c r="AD156">
        <v>0</v>
      </c>
      <c r="AE156">
        <v>0</v>
      </c>
      <c r="AF156">
        <v>21</v>
      </c>
      <c r="AG156">
        <v>0</v>
      </c>
      <c r="AH156" t="s">
        <v>38</v>
      </c>
      <c r="AI156" t="s">
        <v>27</v>
      </c>
      <c r="AJ156" s="1"/>
      <c r="AK156" t="s">
        <v>28</v>
      </c>
      <c r="AL15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97</v>
      </c>
      <c r="AM156">
        <f>SUM(Rel_2026[[#This Row],[qtd_TrxContabil]:[VLR_EXP_SORTE]])</f>
        <v>21383</v>
      </c>
      <c r="AN15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133</v>
      </c>
    </row>
    <row r="157" spans="1:40" x14ac:dyDescent="0.3">
      <c r="A157" t="str">
        <f>IF(Rel_2026[[#This Row],[Zero]]=0,"Zero",IF(Rel_2026[[#This Row],[Pontuação]]&gt;=10,"Sim",IF(Rel_2026[[#This Row],[Pontuação]]&gt;=5,"Próximo","Não")))</f>
        <v>Não</v>
      </c>
      <c r="B157" t="str">
        <f>IF(Rel_2026[[#This Row],[Zero]]=0,"Zero",IF(Rel_2026[[#This Row],[Pontuação2]]&gt;=10,"Sim",IF(Rel_2026[[#This Row],[Pontuação2]]&gt;=5,"Próximo","Não")))</f>
        <v>Não</v>
      </c>
      <c r="C157" t="str">
        <f>IFERROR(VLOOKUP(Rel_2026[[#This Row],[chave_loja]],Responsavel!A:B,2,FALSE),"EUCLIDES")</f>
        <v>JUNIOR</v>
      </c>
      <c r="D157" t="str">
        <f>LEFT(Rel_2026[[#This Row],[ag_pacb]],4)</f>
        <v>5367</v>
      </c>
      <c r="E157">
        <v>403963</v>
      </c>
      <c r="F157" t="s">
        <v>203</v>
      </c>
      <c r="G157" t="s">
        <v>204</v>
      </c>
      <c r="H157" s="1">
        <v>45469</v>
      </c>
      <c r="I157" t="s">
        <v>23</v>
      </c>
      <c r="J157" t="s">
        <v>31</v>
      </c>
      <c r="K157" s="1">
        <v>45462</v>
      </c>
      <c r="L157" s="1">
        <v>45483</v>
      </c>
      <c r="M157" t="s">
        <v>32</v>
      </c>
      <c r="N157" s="1">
        <v>46254</v>
      </c>
      <c r="O157">
        <v>166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5</v>
      </c>
      <c r="AH157" t="s">
        <v>26</v>
      </c>
      <c r="AI157" t="s">
        <v>27</v>
      </c>
      <c r="AJ157" s="1"/>
      <c r="AK157" t="s">
        <v>28</v>
      </c>
      <c r="AL15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57">
        <f>SUM(Rel_2026[[#This Row],[qtd_TrxContabil]:[VLR_EXP_SORTE]])</f>
        <v>171</v>
      </c>
      <c r="AN15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58" spans="1:40" x14ac:dyDescent="0.3">
      <c r="A158" t="str">
        <f>IF(Rel_2026[[#This Row],[Zero]]=0,"Zero",IF(Rel_2026[[#This Row],[Pontuação]]&gt;=10,"Sim",IF(Rel_2026[[#This Row],[Pontuação]]&gt;=5,"Próximo","Não")))</f>
        <v>Não</v>
      </c>
      <c r="B158" t="str">
        <f>IF(Rel_2026[[#This Row],[Zero]]=0,"Zero",IF(Rel_2026[[#This Row],[Pontuação2]]&gt;=10,"Sim",IF(Rel_2026[[#This Row],[Pontuação2]]&gt;=5,"Próximo","Não")))</f>
        <v>Não</v>
      </c>
      <c r="C158" t="str">
        <f>IFERROR(VLOOKUP(Rel_2026[[#This Row],[chave_loja]],Responsavel!A:B,2,FALSE),"EUCLIDES")</f>
        <v>ALEX SIQUEIRA</v>
      </c>
      <c r="D158" t="str">
        <f>LEFT(Rel_2026[[#This Row],[ag_pacb]],4)</f>
        <v>0726</v>
      </c>
      <c r="E158">
        <v>425048</v>
      </c>
      <c r="F158" t="s">
        <v>1373</v>
      </c>
      <c r="G158" t="s">
        <v>1374</v>
      </c>
      <c r="H158" s="1">
        <v>46220</v>
      </c>
      <c r="I158" t="s">
        <v>23</v>
      </c>
      <c r="J158" t="s">
        <v>217</v>
      </c>
      <c r="K158" s="1">
        <v>46199</v>
      </c>
      <c r="L158" s="1">
        <v>46142</v>
      </c>
      <c r="M158" t="s">
        <v>109</v>
      </c>
      <c r="N158" s="1">
        <v>46254</v>
      </c>
      <c r="O158">
        <v>65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s">
        <v>26</v>
      </c>
      <c r="AI158" t="s">
        <v>27</v>
      </c>
      <c r="AJ158" s="1"/>
      <c r="AK158" t="s">
        <v>28</v>
      </c>
      <c r="AL15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158">
        <f>SUM(Rel_2026[[#This Row],[qtd_TrxContabil]:[VLR_EXP_SORTE]])</f>
        <v>66</v>
      </c>
      <c r="AN15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</row>
    <row r="159" spans="1:40" x14ac:dyDescent="0.3">
      <c r="A159" t="str">
        <f>IF(Rel_2026[[#This Row],[Zero]]=0,"Zero",IF(Rel_2026[[#This Row],[Pontuação]]&gt;=10,"Sim",IF(Rel_2026[[#This Row],[Pontuação]]&gt;=5,"Próximo","Não")))</f>
        <v>Zero</v>
      </c>
      <c r="B159" t="str">
        <f>IF(Rel_2026[[#This Row],[Zero]]=0,"Zero",IF(Rel_2026[[#This Row],[Pontuação2]]&gt;=10,"Sim",IF(Rel_2026[[#This Row],[Pontuação2]]&gt;=5,"Próximo","Não")))</f>
        <v>Zero</v>
      </c>
      <c r="C159" t="str">
        <f>IFERROR(VLOOKUP(Rel_2026[[#This Row],[chave_loja]],Responsavel!A:B,2,FALSE),"EUCLIDES")</f>
        <v>IVAN</v>
      </c>
      <c r="D159" t="str">
        <f>LEFT(Rel_2026[[#This Row],[ag_pacb]],4)</f>
        <v>5366</v>
      </c>
      <c r="E159">
        <v>95939</v>
      </c>
      <c r="F159" t="s">
        <v>385</v>
      </c>
      <c r="G159" t="s">
        <v>386</v>
      </c>
      <c r="H159" s="1">
        <v>44385</v>
      </c>
      <c r="I159" t="s">
        <v>23</v>
      </c>
      <c r="J159" t="s">
        <v>140</v>
      </c>
      <c r="K159" s="1">
        <v>42122</v>
      </c>
      <c r="L159" s="1">
        <v>45469</v>
      </c>
      <c r="M159" t="s">
        <v>25</v>
      </c>
      <c r="N159" s="1">
        <v>46239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s">
        <v>26</v>
      </c>
      <c r="AI159" t="s">
        <v>27</v>
      </c>
      <c r="AJ159" s="1"/>
      <c r="AK159" t="s">
        <v>28</v>
      </c>
      <c r="AL15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59">
        <f>SUM(Rel_2026[[#This Row],[qtd_TrxContabil]:[VLR_EXP_SORTE]])</f>
        <v>0</v>
      </c>
      <c r="AN15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60" spans="1:40" x14ac:dyDescent="0.3">
      <c r="A160" t="str">
        <f>IF(Rel_2026[[#This Row],[Zero]]=0,"Zero",IF(Rel_2026[[#This Row],[Pontuação]]&gt;=10,"Sim",IF(Rel_2026[[#This Row],[Pontuação]]&gt;=5,"Próximo","Não")))</f>
        <v>Não</v>
      </c>
      <c r="B160" t="str">
        <f>IF(Rel_2026[[#This Row],[Zero]]=0,"Zero",IF(Rel_2026[[#This Row],[Pontuação2]]&gt;=10,"Sim",IF(Rel_2026[[#This Row],[Pontuação2]]&gt;=5,"Próximo","Não")))</f>
        <v>Não</v>
      </c>
      <c r="C160" t="str">
        <f>IFERROR(VLOOKUP(Rel_2026[[#This Row],[chave_loja]],Responsavel!A:B,2,FALSE),"EUCLIDES")</f>
        <v>NYCOLLAS</v>
      </c>
      <c r="D160" t="str">
        <f>LEFT(Rel_2026[[#This Row],[ag_pacb]],4)</f>
        <v>5447</v>
      </c>
      <c r="E160">
        <v>137862</v>
      </c>
      <c r="F160" t="s">
        <v>364</v>
      </c>
      <c r="G160" t="s">
        <v>365</v>
      </c>
      <c r="H160" s="1">
        <v>45750</v>
      </c>
      <c r="I160" t="s">
        <v>23</v>
      </c>
      <c r="J160" t="s">
        <v>42</v>
      </c>
      <c r="K160" s="1">
        <v>45306</v>
      </c>
      <c r="L160" s="1">
        <v>44518</v>
      </c>
      <c r="M160" t="s">
        <v>32</v>
      </c>
      <c r="N160" s="1">
        <v>46254</v>
      </c>
      <c r="O160">
        <v>142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t="s">
        <v>26</v>
      </c>
      <c r="AI160" t="s">
        <v>27</v>
      </c>
      <c r="AJ160" s="1"/>
      <c r="AK160" t="s">
        <v>28</v>
      </c>
      <c r="AL16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60">
        <f>SUM(Rel_2026[[#This Row],[qtd_TrxContabil]:[VLR_EXP_SORTE]])</f>
        <v>142</v>
      </c>
      <c r="AN16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61" spans="1:40" x14ac:dyDescent="0.3">
      <c r="A161" t="str">
        <f>IF(Rel_2026[[#This Row],[Zero]]=0,"Zero",IF(Rel_2026[[#This Row],[Pontuação]]&gt;=10,"Sim",IF(Rel_2026[[#This Row],[Pontuação]]&gt;=5,"Próximo","Não")))</f>
        <v>Próximo</v>
      </c>
      <c r="B161" t="str">
        <f>IF(Rel_2026[[#This Row],[Zero]]=0,"Zero",IF(Rel_2026[[#This Row],[Pontuação2]]&gt;=10,"Sim",IF(Rel_2026[[#This Row],[Pontuação2]]&gt;=5,"Próximo","Não")))</f>
        <v>Próximo</v>
      </c>
      <c r="C161" t="str">
        <f>IFERROR(VLOOKUP(Rel_2026[[#This Row],[chave_loja]],Responsavel!A:B,2,FALSE),"EUCLIDES")</f>
        <v>WASTHSON</v>
      </c>
      <c r="D161" t="str">
        <f>LEFT(Rel_2026[[#This Row],[ag_pacb]],4)</f>
        <v>0458</v>
      </c>
      <c r="E161">
        <v>251507</v>
      </c>
      <c r="F161" t="s">
        <v>1032</v>
      </c>
      <c r="G161" t="s">
        <v>1033</v>
      </c>
      <c r="H161" s="1">
        <v>45699</v>
      </c>
      <c r="I161" t="s">
        <v>23</v>
      </c>
      <c r="J161" t="s">
        <v>759</v>
      </c>
      <c r="K161" s="1">
        <v>45267</v>
      </c>
      <c r="L161" s="1">
        <v>45278</v>
      </c>
      <c r="M161" t="s">
        <v>32</v>
      </c>
      <c r="N161" s="1">
        <v>46254</v>
      </c>
      <c r="O161">
        <v>2405</v>
      </c>
      <c r="P161">
        <v>0</v>
      </c>
      <c r="Q161">
        <v>0</v>
      </c>
      <c r="R161">
        <v>0</v>
      </c>
      <c r="S161">
        <v>0</v>
      </c>
      <c r="T161">
        <v>750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s">
        <v>38</v>
      </c>
      <c r="AI161" t="s">
        <v>27</v>
      </c>
      <c r="AJ161" s="1"/>
      <c r="AK161" t="s">
        <v>28</v>
      </c>
      <c r="AL16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</v>
      </c>
      <c r="AM161">
        <f>SUM(Rel_2026[[#This Row],[qtd_TrxContabil]:[VLR_EXP_SORTE]])</f>
        <v>3155</v>
      </c>
      <c r="AN16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</v>
      </c>
    </row>
    <row r="162" spans="1:40" x14ac:dyDescent="0.3">
      <c r="A162" t="str">
        <f>IF(Rel_2026[[#This Row],[Zero]]=0,"Zero",IF(Rel_2026[[#This Row],[Pontuação]]&gt;=10,"Sim",IF(Rel_2026[[#This Row],[Pontuação]]&gt;=5,"Próximo","Não")))</f>
        <v>Não</v>
      </c>
      <c r="B162" t="str">
        <f>IF(Rel_2026[[#This Row],[Zero]]=0,"Zero",IF(Rel_2026[[#This Row],[Pontuação2]]&gt;=10,"Sim",IF(Rel_2026[[#This Row],[Pontuação2]]&gt;=5,"Próximo","Não")))</f>
        <v>Não</v>
      </c>
      <c r="C162" t="str">
        <f>IFERROR(VLOOKUP(Rel_2026[[#This Row],[chave_loja]],Responsavel!A:B,2,FALSE),"EUCLIDES")</f>
        <v>NYCOLLAS</v>
      </c>
      <c r="D162" t="str">
        <f>LEFT(Rel_2026[[#This Row],[ag_pacb]],4)</f>
        <v>5446</v>
      </c>
      <c r="E162">
        <v>254363</v>
      </c>
      <c r="F162" t="s">
        <v>328</v>
      </c>
      <c r="G162" t="s">
        <v>1226</v>
      </c>
      <c r="H162" s="1">
        <v>45268</v>
      </c>
      <c r="I162" t="s">
        <v>23</v>
      </c>
      <c r="J162" t="s">
        <v>238</v>
      </c>
      <c r="K162" s="1">
        <v>45306</v>
      </c>
      <c r="L162" s="1">
        <v>45282</v>
      </c>
      <c r="M162" t="s">
        <v>32</v>
      </c>
      <c r="N162" s="1">
        <v>46254</v>
      </c>
      <c r="O162">
        <v>110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s">
        <v>26</v>
      </c>
      <c r="AI162" t="s">
        <v>27</v>
      </c>
      <c r="AJ162" s="1"/>
      <c r="AK162" t="s">
        <v>28</v>
      </c>
      <c r="AL16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62">
        <f>SUM(Rel_2026[[#This Row],[qtd_TrxContabil]:[VLR_EXP_SORTE]])</f>
        <v>110</v>
      </c>
      <c r="AN16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63" spans="1:40" x14ac:dyDescent="0.3">
      <c r="A163" t="str">
        <f>IF(Rel_2026[[#This Row],[Zero]]=0,"Zero",IF(Rel_2026[[#This Row],[Pontuação]]&gt;=10,"Sim",IF(Rel_2026[[#This Row],[Pontuação]]&gt;=5,"Próximo","Não")))</f>
        <v>Sim</v>
      </c>
      <c r="B163" t="str">
        <f>IF(Rel_2026[[#This Row],[Zero]]=0,"Zero",IF(Rel_2026[[#This Row],[Pontuação2]]&gt;=10,"Sim",IF(Rel_2026[[#This Row],[Pontuação2]]&gt;=5,"Próximo","Não")))</f>
        <v>Sim</v>
      </c>
      <c r="C163" t="str">
        <f>IFERROR(VLOOKUP(Rel_2026[[#This Row],[chave_loja]],Responsavel!A:B,2,FALSE),"EUCLIDES")</f>
        <v>ROSSY</v>
      </c>
      <c r="D163" t="str">
        <f>LEFT(Rel_2026[[#This Row],[ag_pacb]],4)</f>
        <v>0854</v>
      </c>
      <c r="E163">
        <v>98954</v>
      </c>
      <c r="F163" t="s">
        <v>975</v>
      </c>
      <c r="G163" t="s">
        <v>976</v>
      </c>
      <c r="H163" s="1">
        <v>45188</v>
      </c>
      <c r="I163" t="s">
        <v>875</v>
      </c>
      <c r="J163" t="s">
        <v>876</v>
      </c>
      <c r="K163" s="1">
        <v>43927</v>
      </c>
      <c r="L163" s="1">
        <v>46246</v>
      </c>
      <c r="M163" t="s">
        <v>109</v>
      </c>
      <c r="N163" s="1">
        <v>46254</v>
      </c>
      <c r="O163">
        <v>1198</v>
      </c>
      <c r="P163">
        <v>2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s">
        <v>26</v>
      </c>
      <c r="AI163" t="s">
        <v>27</v>
      </c>
      <c r="AJ163" s="1"/>
      <c r="AK163" t="s">
        <v>28</v>
      </c>
      <c r="AL16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163">
        <f>SUM(Rel_2026[[#This Row],[qtd_TrxContabil]:[VLR_EXP_SORTE]])</f>
        <v>1201</v>
      </c>
      <c r="AN16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164" spans="1:40" x14ac:dyDescent="0.3">
      <c r="A164" t="str">
        <f>IF(Rel_2026[[#This Row],[Zero]]=0,"Zero",IF(Rel_2026[[#This Row],[Pontuação]]&gt;=10,"Sim",IF(Rel_2026[[#This Row],[Pontuação]]&gt;=5,"Próximo","Não")))</f>
        <v>Não</v>
      </c>
      <c r="B164" t="str">
        <f>IF(Rel_2026[[#This Row],[Zero]]=0,"Zero",IF(Rel_2026[[#This Row],[Pontuação2]]&gt;=10,"Sim",IF(Rel_2026[[#This Row],[Pontuação2]]&gt;=5,"Próximo","Não")))</f>
        <v>Não</v>
      </c>
      <c r="C164" t="str">
        <f>IFERROR(VLOOKUP(Rel_2026[[#This Row],[chave_loja]],Responsavel!A:B,2,FALSE),"EUCLIDES")</f>
        <v>JUNIOR</v>
      </c>
      <c r="D164" t="str">
        <f>LEFT(Rel_2026[[#This Row],[ag_pacb]],4)</f>
        <v>1351</v>
      </c>
      <c r="E164">
        <v>157497</v>
      </c>
      <c r="F164" t="s">
        <v>417</v>
      </c>
      <c r="G164" t="s">
        <v>418</v>
      </c>
      <c r="H164" s="1">
        <v>45149</v>
      </c>
      <c r="I164" t="s">
        <v>23</v>
      </c>
      <c r="J164" t="s">
        <v>142</v>
      </c>
      <c r="K164" s="1">
        <v>43430</v>
      </c>
      <c r="L164" s="1">
        <v>44763</v>
      </c>
      <c r="M164" t="s">
        <v>32</v>
      </c>
      <c r="N164" s="1">
        <v>46254</v>
      </c>
      <c r="O164">
        <v>441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s">
        <v>26</v>
      </c>
      <c r="AI164" t="s">
        <v>27</v>
      </c>
      <c r="AJ164" s="1"/>
      <c r="AK164" t="s">
        <v>28</v>
      </c>
      <c r="AL16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64">
        <f>SUM(Rel_2026[[#This Row],[qtd_TrxContabil]:[VLR_EXP_SORTE]])</f>
        <v>441</v>
      </c>
      <c r="AN16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65" spans="1:40" x14ac:dyDescent="0.3">
      <c r="A165" t="str">
        <f>IF(Rel_2026[[#This Row],[Zero]]=0,"Zero",IF(Rel_2026[[#This Row],[Pontuação]]&gt;=10,"Sim",IF(Rel_2026[[#This Row],[Pontuação]]&gt;=5,"Próximo","Não")))</f>
        <v>Não</v>
      </c>
      <c r="B165" t="str">
        <f>IF(Rel_2026[[#This Row],[Zero]]=0,"Zero",IF(Rel_2026[[#This Row],[Pontuação2]]&gt;=10,"Sim",IF(Rel_2026[[#This Row],[Pontuação2]]&gt;=5,"Próximo","Não")))</f>
        <v>Não</v>
      </c>
      <c r="C165" t="str">
        <f>IFERROR(VLOOKUP(Rel_2026[[#This Row],[chave_loja]],Responsavel!A:B,2,FALSE),"EUCLIDES")</f>
        <v>ROSSY</v>
      </c>
      <c r="D165" t="str">
        <f>LEFT(Rel_2026[[#This Row],[ag_pacb]],4)</f>
        <v>3848</v>
      </c>
      <c r="E165">
        <v>187294</v>
      </c>
      <c r="F165" t="s">
        <v>918</v>
      </c>
      <c r="G165" t="s">
        <v>1224</v>
      </c>
      <c r="H165" s="1">
        <v>45204</v>
      </c>
      <c r="I165" t="s">
        <v>107</v>
      </c>
      <c r="J165" t="s">
        <v>919</v>
      </c>
      <c r="K165" s="1">
        <v>43915</v>
      </c>
      <c r="L165" s="1">
        <v>46231</v>
      </c>
      <c r="M165" t="s">
        <v>109</v>
      </c>
      <c r="N165" s="1">
        <v>46254</v>
      </c>
      <c r="O165">
        <v>1013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t="s">
        <v>26</v>
      </c>
      <c r="AI165" t="s">
        <v>27</v>
      </c>
      <c r="AJ165" s="1"/>
      <c r="AK165" t="s">
        <v>28</v>
      </c>
      <c r="AL16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65">
        <f>SUM(Rel_2026[[#This Row],[qtd_TrxContabil]:[VLR_EXP_SORTE]])</f>
        <v>1013</v>
      </c>
      <c r="AN16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66" spans="1:40" x14ac:dyDescent="0.3">
      <c r="A166" t="str">
        <f>IF(Rel_2026[[#This Row],[Zero]]=0,"Zero",IF(Rel_2026[[#This Row],[Pontuação]]&gt;=10,"Sim",IF(Rel_2026[[#This Row],[Pontuação]]&gt;=5,"Próximo","Não")))</f>
        <v>Próximo</v>
      </c>
      <c r="B166" t="str">
        <f>IF(Rel_2026[[#This Row],[Zero]]=0,"Zero",IF(Rel_2026[[#This Row],[Pontuação2]]&gt;=10,"Sim",IF(Rel_2026[[#This Row],[Pontuação2]]&gt;=5,"Próximo","Não")))</f>
        <v>Sim</v>
      </c>
      <c r="C166" t="str">
        <f>IFERROR(VLOOKUP(Rel_2026[[#This Row],[chave_loja]],Responsavel!A:B,2,FALSE),"EUCLIDES")</f>
        <v>JACK</v>
      </c>
      <c r="D166" t="str">
        <f>LEFT(Rel_2026[[#This Row],[ag_pacb]],4)</f>
        <v>5808</v>
      </c>
      <c r="E166">
        <v>421703</v>
      </c>
      <c r="F166" t="s">
        <v>1050</v>
      </c>
      <c r="G166" t="s">
        <v>1051</v>
      </c>
      <c r="H166" s="1">
        <v>46043</v>
      </c>
      <c r="I166" t="s">
        <v>107</v>
      </c>
      <c r="J166" t="s">
        <v>879</v>
      </c>
      <c r="K166" s="1">
        <v>46029</v>
      </c>
      <c r="L166" s="1">
        <v>46058</v>
      </c>
      <c r="M166" t="s">
        <v>109</v>
      </c>
      <c r="N166" s="1">
        <v>46254</v>
      </c>
      <c r="O166">
        <v>94</v>
      </c>
      <c r="P166">
        <v>1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t="s">
        <v>26</v>
      </c>
      <c r="AI166" t="s">
        <v>27</v>
      </c>
      <c r="AJ166" s="1"/>
      <c r="AK166" t="s">
        <v>28</v>
      </c>
      <c r="AL16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166">
        <f>SUM(Rel_2026[[#This Row],[qtd_TrxContabil]:[VLR_EXP_SORTE]])</f>
        <v>97</v>
      </c>
      <c r="AN16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167" spans="1:40" x14ac:dyDescent="0.3">
      <c r="A167" t="str">
        <f>IF(Rel_2026[[#This Row],[Zero]]=0,"Zero",IF(Rel_2026[[#This Row],[Pontuação]]&gt;=10,"Sim",IF(Rel_2026[[#This Row],[Pontuação]]&gt;=5,"Próximo","Não")))</f>
        <v>Sim</v>
      </c>
      <c r="B167" t="str">
        <f>IF(Rel_2026[[#This Row],[Zero]]=0,"Zero",IF(Rel_2026[[#This Row],[Pontuação2]]&gt;=10,"Sim",IF(Rel_2026[[#This Row],[Pontuação2]]&gt;=5,"Próximo","Não")))</f>
        <v>Sim</v>
      </c>
      <c r="C167" t="str">
        <f>IFERROR(VLOOKUP(Rel_2026[[#This Row],[chave_loja]],Responsavel!A:B,2,FALSE),"EUCLIDES")</f>
        <v>JOSELITO</v>
      </c>
      <c r="D167" t="str">
        <f>LEFT(Rel_2026[[#This Row],[ag_pacb]],4)</f>
        <v>0685</v>
      </c>
      <c r="E167">
        <v>135036</v>
      </c>
      <c r="F167" t="s">
        <v>550</v>
      </c>
      <c r="G167" t="s">
        <v>551</v>
      </c>
      <c r="H167" s="1">
        <v>45141</v>
      </c>
      <c r="I167" t="s">
        <v>23</v>
      </c>
      <c r="J167" t="s">
        <v>552</v>
      </c>
      <c r="K167" s="1">
        <v>42130</v>
      </c>
      <c r="L167" s="1">
        <v>45587</v>
      </c>
      <c r="M167" t="s">
        <v>25</v>
      </c>
      <c r="N167" s="1">
        <v>46254</v>
      </c>
      <c r="O167">
        <v>1075</v>
      </c>
      <c r="P167">
        <v>5</v>
      </c>
      <c r="Q167">
        <v>0</v>
      </c>
      <c r="R167">
        <v>5</v>
      </c>
      <c r="S167">
        <v>0</v>
      </c>
      <c r="T167">
        <v>1020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5</v>
      </c>
      <c r="AG167">
        <v>0</v>
      </c>
      <c r="AH167" t="s">
        <v>26</v>
      </c>
      <c r="AI167" t="s">
        <v>27</v>
      </c>
      <c r="AJ167" s="1"/>
      <c r="AK167" t="s">
        <v>28</v>
      </c>
      <c r="AL16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25</v>
      </c>
      <c r="AM167">
        <f>SUM(Rel_2026[[#This Row],[qtd_TrxContabil]:[VLR_EXP_SORTE]])</f>
        <v>2110</v>
      </c>
      <c r="AN16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40</v>
      </c>
    </row>
    <row r="168" spans="1:40" x14ac:dyDescent="0.3">
      <c r="A168" t="str">
        <f>IF(Rel_2026[[#This Row],[Zero]]=0,"Zero",IF(Rel_2026[[#This Row],[Pontuação]]&gt;=10,"Sim",IF(Rel_2026[[#This Row],[Pontuação]]&gt;=5,"Próximo","Não")))</f>
        <v>Sim</v>
      </c>
      <c r="B168" t="str">
        <f>IF(Rel_2026[[#This Row],[Zero]]=0,"Zero",IF(Rel_2026[[#This Row],[Pontuação2]]&gt;=10,"Sim",IF(Rel_2026[[#This Row],[Pontuação2]]&gt;=5,"Próximo","Não")))</f>
        <v>Sim</v>
      </c>
      <c r="C168" t="str">
        <f>IFERROR(VLOOKUP(Rel_2026[[#This Row],[chave_loja]],Responsavel!A:B,2,FALSE),"EUCLIDES")</f>
        <v>WASTHSON</v>
      </c>
      <c r="D168" t="str">
        <f>LEFT(Rel_2026[[#This Row],[ag_pacb]],4)</f>
        <v>0702</v>
      </c>
      <c r="E168">
        <v>185726</v>
      </c>
      <c r="F168" t="s">
        <v>561</v>
      </c>
      <c r="G168" t="s">
        <v>562</v>
      </c>
      <c r="H168" s="1">
        <v>45125</v>
      </c>
      <c r="I168" t="s">
        <v>23</v>
      </c>
      <c r="J168" t="s">
        <v>226</v>
      </c>
      <c r="K168" s="1">
        <v>45306</v>
      </c>
      <c r="L168" s="1">
        <v>44438</v>
      </c>
      <c r="M168" t="s">
        <v>32</v>
      </c>
      <c r="N168" s="1">
        <v>46254</v>
      </c>
      <c r="O168">
        <v>96</v>
      </c>
      <c r="P168">
        <v>22</v>
      </c>
      <c r="Q168">
        <v>0</v>
      </c>
      <c r="R168">
        <v>13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2</v>
      </c>
      <c r="AC168">
        <v>0</v>
      </c>
      <c r="AD168">
        <v>0</v>
      </c>
      <c r="AE168">
        <v>0</v>
      </c>
      <c r="AF168">
        <v>14</v>
      </c>
      <c r="AG168">
        <v>0</v>
      </c>
      <c r="AH168" t="s">
        <v>26</v>
      </c>
      <c r="AI168" t="s">
        <v>27</v>
      </c>
      <c r="AJ168" s="1"/>
      <c r="AK168" t="s">
        <v>28</v>
      </c>
      <c r="AL16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66</v>
      </c>
      <c r="AM168">
        <f>SUM(Rel_2026[[#This Row],[qtd_TrxContabil]:[VLR_EXP_SORTE]])</f>
        <v>149</v>
      </c>
      <c r="AN16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105</v>
      </c>
    </row>
    <row r="169" spans="1:40" x14ac:dyDescent="0.3">
      <c r="A169" t="str">
        <f>IF(Rel_2026[[#This Row],[Zero]]=0,"Zero",IF(Rel_2026[[#This Row],[Pontuação]]&gt;=10,"Sim",IF(Rel_2026[[#This Row],[Pontuação]]&gt;=5,"Próximo","Não")))</f>
        <v>Sim</v>
      </c>
      <c r="B169" t="str">
        <f>IF(Rel_2026[[#This Row],[Zero]]=0,"Zero",IF(Rel_2026[[#This Row],[Pontuação2]]&gt;=10,"Sim",IF(Rel_2026[[#This Row],[Pontuação2]]&gt;=5,"Próximo","Não")))</f>
        <v>Sim</v>
      </c>
      <c r="C169" t="str">
        <f>IFERROR(VLOOKUP(Rel_2026[[#This Row],[chave_loja]],Responsavel!A:B,2,FALSE),"EUCLIDES")</f>
        <v>CÉLIO</v>
      </c>
      <c r="D169" t="str">
        <f>LEFT(Rel_2026[[#This Row],[ag_pacb]],4)</f>
        <v>0621</v>
      </c>
      <c r="E169">
        <v>412253</v>
      </c>
      <c r="F169" t="s">
        <v>1289</v>
      </c>
      <c r="G169" t="s">
        <v>1290</v>
      </c>
      <c r="H169" s="1">
        <v>45903</v>
      </c>
      <c r="I169" t="s">
        <v>23</v>
      </c>
      <c r="J169" t="s">
        <v>24</v>
      </c>
      <c r="K169" s="1">
        <v>45783</v>
      </c>
      <c r="L169" s="1">
        <v>45912</v>
      </c>
      <c r="M169" t="s">
        <v>32</v>
      </c>
      <c r="N169" s="1">
        <v>46254</v>
      </c>
      <c r="O169">
        <v>10</v>
      </c>
      <c r="P169">
        <v>4</v>
      </c>
      <c r="Q169">
        <v>0</v>
      </c>
      <c r="R169">
        <v>4</v>
      </c>
      <c r="S169">
        <v>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</v>
      </c>
      <c r="AC169">
        <v>0</v>
      </c>
      <c r="AD169">
        <v>0</v>
      </c>
      <c r="AE169">
        <v>0</v>
      </c>
      <c r="AF169">
        <v>4</v>
      </c>
      <c r="AG169">
        <v>0</v>
      </c>
      <c r="AH169" t="s">
        <v>26</v>
      </c>
      <c r="AI169" t="s">
        <v>27</v>
      </c>
      <c r="AJ169" s="1"/>
      <c r="AK169" t="s">
        <v>28</v>
      </c>
      <c r="AL16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  <c r="AM169">
        <f>SUM(Rel_2026[[#This Row],[qtd_TrxContabil]:[VLR_EXP_SORTE]])</f>
        <v>26</v>
      </c>
      <c r="AN16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</row>
    <row r="170" spans="1:40" x14ac:dyDescent="0.3">
      <c r="A170" t="str">
        <f>IF(Rel_2026[[#This Row],[Zero]]=0,"Zero",IF(Rel_2026[[#This Row],[Pontuação]]&gt;=10,"Sim",IF(Rel_2026[[#This Row],[Pontuação]]&gt;=5,"Próximo","Não")))</f>
        <v>Zero</v>
      </c>
      <c r="B170" t="str">
        <f>IF(Rel_2026[[#This Row],[Zero]]=0,"Zero",IF(Rel_2026[[#This Row],[Pontuação2]]&gt;=10,"Sim",IF(Rel_2026[[#This Row],[Pontuação2]]&gt;=5,"Próximo","Não")))</f>
        <v>Zero</v>
      </c>
      <c r="C170" t="str">
        <f>IFERROR(VLOOKUP(Rel_2026[[#This Row],[chave_loja]],Responsavel!A:B,2,FALSE),"EUCLIDES")</f>
        <v>JUNIOR</v>
      </c>
      <c r="D170" t="str">
        <f>LEFT(Rel_2026[[#This Row],[ag_pacb]],4)</f>
        <v>5367</v>
      </c>
      <c r="E170">
        <v>412981</v>
      </c>
      <c r="F170" t="s">
        <v>539</v>
      </c>
      <c r="G170" t="s">
        <v>540</v>
      </c>
      <c r="H170" s="1">
        <v>45807</v>
      </c>
      <c r="I170" t="s">
        <v>23</v>
      </c>
      <c r="J170" t="s">
        <v>425</v>
      </c>
      <c r="K170" s="1">
        <v>45799</v>
      </c>
      <c r="L170" s="1">
        <v>45820</v>
      </c>
      <c r="M170" t="s">
        <v>32</v>
      </c>
      <c r="N170" s="1">
        <v>46134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t="s">
        <v>26</v>
      </c>
      <c r="AI170" t="s">
        <v>27</v>
      </c>
      <c r="AJ170" s="1"/>
      <c r="AK170" t="s">
        <v>28</v>
      </c>
      <c r="AL17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70">
        <f>SUM(Rel_2026[[#This Row],[qtd_TrxContabil]:[VLR_EXP_SORTE]])</f>
        <v>0</v>
      </c>
      <c r="AN17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71" spans="1:40" x14ac:dyDescent="0.3">
      <c r="A171" t="str">
        <f>IF(Rel_2026[[#This Row],[Zero]]=0,"Zero",IF(Rel_2026[[#This Row],[Pontuação]]&gt;=10,"Sim",IF(Rel_2026[[#This Row],[Pontuação]]&gt;=5,"Próximo","Não")))</f>
        <v>Sim</v>
      </c>
      <c r="B171" t="str">
        <f>IF(Rel_2026[[#This Row],[Zero]]=0,"Zero",IF(Rel_2026[[#This Row],[Pontuação2]]&gt;=10,"Sim",IF(Rel_2026[[#This Row],[Pontuação2]]&gt;=5,"Próximo","Não")))</f>
        <v>Sim</v>
      </c>
      <c r="C171" t="str">
        <f>IFERROR(VLOOKUP(Rel_2026[[#This Row],[chave_loja]],Responsavel!A:B,2,FALSE),"EUCLIDES")</f>
        <v>CÉLIO</v>
      </c>
      <c r="D171" t="str">
        <f>LEFT(Rel_2026[[#This Row],[ag_pacb]],4)</f>
        <v>0683</v>
      </c>
      <c r="E171">
        <v>413552</v>
      </c>
      <c r="F171" t="s">
        <v>1212</v>
      </c>
      <c r="G171" t="s">
        <v>547</v>
      </c>
      <c r="H171" s="1">
        <v>45814</v>
      </c>
      <c r="I171" t="s">
        <v>23</v>
      </c>
      <c r="J171" t="s">
        <v>24</v>
      </c>
      <c r="K171" s="1">
        <v>45810</v>
      </c>
      <c r="L171" s="1">
        <v>45861</v>
      </c>
      <c r="M171" t="s">
        <v>32</v>
      </c>
      <c r="N171" s="1">
        <v>46254</v>
      </c>
      <c r="O171">
        <v>119</v>
      </c>
      <c r="P171">
        <v>11</v>
      </c>
      <c r="Q171">
        <v>7</v>
      </c>
      <c r="R171">
        <v>10</v>
      </c>
      <c r="S171">
        <v>2</v>
      </c>
      <c r="T171">
        <v>0</v>
      </c>
      <c r="U171">
        <v>44061</v>
      </c>
      <c r="V171">
        <v>44061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2</v>
      </c>
      <c r="AC171">
        <v>0</v>
      </c>
      <c r="AD171">
        <v>0</v>
      </c>
      <c r="AE171">
        <v>0</v>
      </c>
      <c r="AF171">
        <v>10</v>
      </c>
      <c r="AG171">
        <v>0</v>
      </c>
      <c r="AH171" t="s">
        <v>26</v>
      </c>
      <c r="AI171" t="s">
        <v>27</v>
      </c>
      <c r="AJ171" s="1"/>
      <c r="AK171" t="s">
        <v>28</v>
      </c>
      <c r="AL17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105</v>
      </c>
      <c r="AM171">
        <f>SUM(Rel_2026[[#This Row],[qtd_TrxContabil]:[VLR_EXP_SORTE]])</f>
        <v>88283</v>
      </c>
      <c r="AN17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135</v>
      </c>
    </row>
    <row r="172" spans="1:40" x14ac:dyDescent="0.3">
      <c r="A172" t="str">
        <f>IF(Rel_2026[[#This Row],[Zero]]=0,"Zero",IF(Rel_2026[[#This Row],[Pontuação]]&gt;=10,"Sim",IF(Rel_2026[[#This Row],[Pontuação]]&gt;=5,"Próximo","Não")))</f>
        <v>Sim</v>
      </c>
      <c r="B172" t="str">
        <f>IF(Rel_2026[[#This Row],[Zero]]=0,"Zero",IF(Rel_2026[[#This Row],[Pontuação2]]&gt;=10,"Sim",IF(Rel_2026[[#This Row],[Pontuação2]]&gt;=5,"Próximo","Não")))</f>
        <v>Sim</v>
      </c>
      <c r="C172" t="str">
        <f>IFERROR(VLOOKUP(Rel_2026[[#This Row],[chave_loja]],Responsavel!A:B,2,FALSE),"EUCLIDES")</f>
        <v>ISMAEL</v>
      </c>
      <c r="D172" t="str">
        <f>LEFT(Rel_2026[[#This Row],[ag_pacb]],4)</f>
        <v>1302</v>
      </c>
      <c r="E172">
        <v>47013</v>
      </c>
      <c r="F172" t="s">
        <v>293</v>
      </c>
      <c r="G172" t="s">
        <v>294</v>
      </c>
      <c r="H172" s="1">
        <v>44406</v>
      </c>
      <c r="I172" t="s">
        <v>23</v>
      </c>
      <c r="J172" t="s">
        <v>71</v>
      </c>
      <c r="K172" s="1">
        <v>42691</v>
      </c>
      <c r="L172" s="1">
        <v>44467</v>
      </c>
      <c r="M172" t="s">
        <v>32</v>
      </c>
      <c r="N172" s="1">
        <v>46254</v>
      </c>
      <c r="O172">
        <v>1283</v>
      </c>
      <c r="P172">
        <v>1</v>
      </c>
      <c r="Q172">
        <v>0</v>
      </c>
      <c r="R172">
        <v>1</v>
      </c>
      <c r="S172">
        <v>0</v>
      </c>
      <c r="T172">
        <v>2072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s">
        <v>38</v>
      </c>
      <c r="AI172" t="s">
        <v>27</v>
      </c>
      <c r="AJ172" s="1"/>
      <c r="AK172" t="s">
        <v>28</v>
      </c>
      <c r="AL17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  <c r="AM172">
        <f>SUM(Rel_2026[[#This Row],[qtd_TrxContabil]:[VLR_EXP_SORTE]])</f>
        <v>3357</v>
      </c>
      <c r="AN17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27</v>
      </c>
    </row>
    <row r="173" spans="1:40" x14ac:dyDescent="0.3">
      <c r="A173" t="str">
        <f>IF(Rel_2026[[#This Row],[Zero]]=0,"Zero",IF(Rel_2026[[#This Row],[Pontuação]]&gt;=10,"Sim",IF(Rel_2026[[#This Row],[Pontuação]]&gt;=5,"Próximo","Não")))</f>
        <v>Sim</v>
      </c>
      <c r="B173" t="str">
        <f>IF(Rel_2026[[#This Row],[Zero]]=0,"Zero",IF(Rel_2026[[#This Row],[Pontuação2]]&gt;=10,"Sim",IF(Rel_2026[[#This Row],[Pontuação2]]&gt;=5,"Próximo","Não")))</f>
        <v>Sim</v>
      </c>
      <c r="C173" t="str">
        <f>IFERROR(VLOOKUP(Rel_2026[[#This Row],[chave_loja]],Responsavel!A:B,2,FALSE),"EUCLIDES")</f>
        <v>PAULO</v>
      </c>
      <c r="D173" t="str">
        <f>LEFT(Rel_2026[[#This Row],[ag_pacb]],4)</f>
        <v>0937</v>
      </c>
      <c r="E173">
        <v>57445</v>
      </c>
      <c r="F173" t="s">
        <v>1287</v>
      </c>
      <c r="G173" t="s">
        <v>1288</v>
      </c>
      <c r="H173" s="1">
        <v>44511</v>
      </c>
      <c r="I173" t="s">
        <v>107</v>
      </c>
      <c r="J173" t="s">
        <v>1129</v>
      </c>
      <c r="K173" s="1">
        <v>42240</v>
      </c>
      <c r="L173" s="1">
        <v>45672</v>
      </c>
      <c r="M173" t="s">
        <v>109</v>
      </c>
      <c r="N173" s="1">
        <v>46254</v>
      </c>
      <c r="O173">
        <v>123</v>
      </c>
      <c r="P173">
        <v>2</v>
      </c>
      <c r="Q173">
        <v>2</v>
      </c>
      <c r="R173">
        <v>2</v>
      </c>
      <c r="S173">
        <v>0</v>
      </c>
      <c r="T173">
        <v>2500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s">
        <v>26</v>
      </c>
      <c r="AI173" t="s">
        <v>27</v>
      </c>
      <c r="AJ173" s="1"/>
      <c r="AK173" t="s">
        <v>28</v>
      </c>
      <c r="AL17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39</v>
      </c>
      <c r="AM173">
        <f>SUM(Rel_2026[[#This Row],[qtd_TrxContabil]:[VLR_EXP_SORTE]])</f>
        <v>2629</v>
      </c>
      <c r="AN17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45</v>
      </c>
    </row>
    <row r="174" spans="1:40" x14ac:dyDescent="0.3">
      <c r="A174" t="str">
        <f>IF(Rel_2026[[#This Row],[Zero]]=0,"Zero",IF(Rel_2026[[#This Row],[Pontuação]]&gt;=10,"Sim",IF(Rel_2026[[#This Row],[Pontuação]]&gt;=5,"Próximo","Não")))</f>
        <v>Próximo</v>
      </c>
      <c r="B174" t="str">
        <f>IF(Rel_2026[[#This Row],[Zero]]=0,"Zero",IF(Rel_2026[[#This Row],[Pontuação2]]&gt;=10,"Sim",IF(Rel_2026[[#This Row],[Pontuação2]]&gt;=5,"Próximo","Não")))</f>
        <v>Próximo</v>
      </c>
      <c r="C174" t="str">
        <f>IFERROR(VLOOKUP(Rel_2026[[#This Row],[chave_loja]],Responsavel!A:B,2,FALSE),"EUCLIDES")</f>
        <v>WASTHSON</v>
      </c>
      <c r="D174" t="str">
        <f>LEFT(Rel_2026[[#This Row],[ag_pacb]],4)</f>
        <v>0458</v>
      </c>
      <c r="E174">
        <v>228557</v>
      </c>
      <c r="F174" t="s">
        <v>1018</v>
      </c>
      <c r="G174" t="s">
        <v>1019</v>
      </c>
      <c r="H174" s="1">
        <v>44579</v>
      </c>
      <c r="I174" t="s">
        <v>23</v>
      </c>
      <c r="J174" t="s">
        <v>759</v>
      </c>
      <c r="K174" s="1">
        <v>44804</v>
      </c>
      <c r="L174" s="1">
        <v>44589</v>
      </c>
      <c r="M174" t="s">
        <v>32</v>
      </c>
      <c r="N174" s="1">
        <v>46254</v>
      </c>
      <c r="O174">
        <v>749</v>
      </c>
      <c r="P174">
        <v>0</v>
      </c>
      <c r="Q174">
        <v>0</v>
      </c>
      <c r="R174">
        <v>0</v>
      </c>
      <c r="S174">
        <v>0</v>
      </c>
      <c r="T174">
        <v>550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 t="s">
        <v>26</v>
      </c>
      <c r="AI174" t="s">
        <v>27</v>
      </c>
      <c r="AJ174" s="1"/>
      <c r="AK174" t="s">
        <v>28</v>
      </c>
      <c r="AL17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  <c r="AM174">
        <f>SUM(Rel_2026[[#This Row],[qtd_TrxContabil]:[VLR_EXP_SORTE]])</f>
        <v>1299</v>
      </c>
      <c r="AN17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175" spans="1:40" x14ac:dyDescent="0.3">
      <c r="A175" t="str">
        <f>IF(Rel_2026[[#This Row],[Zero]]=0,"Zero",IF(Rel_2026[[#This Row],[Pontuação]]&gt;=10,"Sim",IF(Rel_2026[[#This Row],[Pontuação]]&gt;=5,"Próximo","Não")))</f>
        <v>Sim</v>
      </c>
      <c r="B175" t="str">
        <f>IF(Rel_2026[[#This Row],[Zero]]=0,"Zero",IF(Rel_2026[[#This Row],[Pontuação2]]&gt;=10,"Sim",IF(Rel_2026[[#This Row],[Pontuação2]]&gt;=5,"Próximo","Não")))</f>
        <v>Sim</v>
      </c>
      <c r="C175" t="str">
        <f>IFERROR(VLOOKUP(Rel_2026[[#This Row],[chave_loja]],Responsavel!A:B,2,FALSE),"EUCLIDES")</f>
        <v>NYCOLLAS</v>
      </c>
      <c r="D175" t="str">
        <f>LEFT(Rel_2026[[#This Row],[ag_pacb]],4)</f>
        <v>0699</v>
      </c>
      <c r="E175">
        <v>83181</v>
      </c>
      <c r="F175" t="s">
        <v>229</v>
      </c>
      <c r="G175" t="s">
        <v>230</v>
      </c>
      <c r="H175" s="1">
        <v>44098</v>
      </c>
      <c r="I175" t="s">
        <v>23</v>
      </c>
      <c r="J175" t="s">
        <v>125</v>
      </c>
      <c r="K175" s="1">
        <v>42130</v>
      </c>
      <c r="L175" s="1">
        <v>46184</v>
      </c>
      <c r="M175" t="s">
        <v>32</v>
      </c>
      <c r="N175" s="1">
        <v>46254</v>
      </c>
      <c r="O175">
        <v>1863</v>
      </c>
      <c r="P175">
        <v>12</v>
      </c>
      <c r="Q175">
        <v>0</v>
      </c>
      <c r="R175">
        <v>12</v>
      </c>
      <c r="S175">
        <v>0</v>
      </c>
      <c r="T175">
        <v>150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8</v>
      </c>
      <c r="AG175">
        <v>0</v>
      </c>
      <c r="AH175" t="s">
        <v>38</v>
      </c>
      <c r="AI175" t="s">
        <v>27</v>
      </c>
      <c r="AJ175" s="1"/>
      <c r="AK175" t="s">
        <v>28</v>
      </c>
      <c r="AL17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38</v>
      </c>
      <c r="AM175">
        <f>SUM(Rel_2026[[#This Row],[qtd_TrxContabil]:[VLR_EXP_SORTE]])</f>
        <v>2045</v>
      </c>
      <c r="AN17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74</v>
      </c>
    </row>
    <row r="176" spans="1:40" x14ac:dyDescent="0.3">
      <c r="A176" t="str">
        <f>IF(Rel_2026[[#This Row],[Zero]]=0,"Zero",IF(Rel_2026[[#This Row],[Pontuação]]&gt;=10,"Sim",IF(Rel_2026[[#This Row],[Pontuação]]&gt;=5,"Próximo","Não")))</f>
        <v>Sim</v>
      </c>
      <c r="B176" t="str">
        <f>IF(Rel_2026[[#This Row],[Zero]]=0,"Zero",IF(Rel_2026[[#This Row],[Pontuação2]]&gt;=10,"Sim",IF(Rel_2026[[#This Row],[Pontuação2]]&gt;=5,"Próximo","Não")))</f>
        <v>Sim</v>
      </c>
      <c r="C176" t="str">
        <f>IFERROR(VLOOKUP(Rel_2026[[#This Row],[chave_loja]],Responsavel!A:B,2,FALSE),"EUCLIDES")</f>
        <v>IVAN</v>
      </c>
      <c r="D176" t="str">
        <f>LEFT(Rel_2026[[#This Row],[ag_pacb]],4)</f>
        <v>5449</v>
      </c>
      <c r="E176">
        <v>204849</v>
      </c>
      <c r="F176" t="s">
        <v>377</v>
      </c>
      <c r="G176" t="s">
        <v>378</v>
      </c>
      <c r="H176" s="1">
        <v>44281</v>
      </c>
      <c r="I176" t="s">
        <v>23</v>
      </c>
      <c r="J176" t="s">
        <v>102</v>
      </c>
      <c r="K176" s="1">
        <v>44643</v>
      </c>
      <c r="L176" s="1">
        <v>46167</v>
      </c>
      <c r="M176" t="s">
        <v>25</v>
      </c>
      <c r="N176" s="1">
        <v>46254</v>
      </c>
      <c r="O176">
        <v>2397</v>
      </c>
      <c r="P176">
        <v>3</v>
      </c>
      <c r="Q176">
        <v>0</v>
      </c>
      <c r="R176">
        <v>3</v>
      </c>
      <c r="S176">
        <v>1</v>
      </c>
      <c r="T176">
        <v>4126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2</v>
      </c>
      <c r="AG176">
        <v>0</v>
      </c>
      <c r="AH176" t="s">
        <v>38</v>
      </c>
      <c r="AI176" t="s">
        <v>27</v>
      </c>
      <c r="AJ176" s="1"/>
      <c r="AK176" t="s">
        <v>28</v>
      </c>
      <c r="AL17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50</v>
      </c>
      <c r="AM176">
        <f>SUM(Rel_2026[[#This Row],[qtd_TrxContabil]:[VLR_EXP_SORTE]])</f>
        <v>6533</v>
      </c>
      <c r="AN17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59</v>
      </c>
    </row>
    <row r="177" spans="1:40" x14ac:dyDescent="0.3">
      <c r="A177" t="str">
        <f>IF(Rel_2026[[#This Row],[Zero]]=0,"Zero",IF(Rel_2026[[#This Row],[Pontuação]]&gt;=10,"Sim",IF(Rel_2026[[#This Row],[Pontuação]]&gt;=5,"Próximo","Não")))</f>
        <v>Próximo</v>
      </c>
      <c r="B177" t="str">
        <f>IF(Rel_2026[[#This Row],[Zero]]=0,"Zero",IF(Rel_2026[[#This Row],[Pontuação2]]&gt;=10,"Sim",IF(Rel_2026[[#This Row],[Pontuação2]]&gt;=5,"Próximo","Não")))</f>
        <v>Próximo</v>
      </c>
      <c r="C177" t="str">
        <f>IFERROR(VLOOKUP(Rel_2026[[#This Row],[chave_loja]],Responsavel!A:B,2,FALSE),"EUCLIDES")</f>
        <v>DARIO</v>
      </c>
      <c r="D177" t="str">
        <f>LEFT(Rel_2026[[#This Row],[ag_pacb]],4)</f>
        <v>5438</v>
      </c>
      <c r="E177">
        <v>224066</v>
      </c>
      <c r="F177" t="s">
        <v>1350</v>
      </c>
      <c r="G177" t="s">
        <v>1351</v>
      </c>
      <c r="H177" s="1">
        <v>45191</v>
      </c>
      <c r="I177" t="s">
        <v>23</v>
      </c>
      <c r="J177" t="s">
        <v>599</v>
      </c>
      <c r="K177" s="1">
        <v>45306</v>
      </c>
      <c r="L177" s="1">
        <v>44533</v>
      </c>
      <c r="M177" t="s">
        <v>25</v>
      </c>
      <c r="N177" s="1">
        <v>46254</v>
      </c>
      <c r="O177">
        <v>728</v>
      </c>
      <c r="P177">
        <v>0</v>
      </c>
      <c r="Q177">
        <v>0</v>
      </c>
      <c r="R177">
        <v>0</v>
      </c>
      <c r="S177">
        <v>0</v>
      </c>
      <c r="T177">
        <v>900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 t="s">
        <v>26</v>
      </c>
      <c r="AI177" t="s">
        <v>27</v>
      </c>
      <c r="AJ177" s="1"/>
      <c r="AK177" t="s">
        <v>28</v>
      </c>
      <c r="AL17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</v>
      </c>
      <c r="AM177">
        <f>SUM(Rel_2026[[#This Row],[qtd_TrxContabil]:[VLR_EXP_SORTE]])</f>
        <v>1628</v>
      </c>
      <c r="AN17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</v>
      </c>
    </row>
    <row r="178" spans="1:40" x14ac:dyDescent="0.3">
      <c r="A178" t="str">
        <f>IF(Rel_2026[[#This Row],[Zero]]=0,"Zero",IF(Rel_2026[[#This Row],[Pontuação]]&gt;=10,"Sim",IF(Rel_2026[[#This Row],[Pontuação]]&gt;=5,"Próximo","Não")))</f>
        <v>Sim</v>
      </c>
      <c r="B178" t="str">
        <f>IF(Rel_2026[[#This Row],[Zero]]=0,"Zero",IF(Rel_2026[[#This Row],[Pontuação2]]&gt;=10,"Sim",IF(Rel_2026[[#This Row],[Pontuação2]]&gt;=5,"Próximo","Não")))</f>
        <v>Sim</v>
      </c>
      <c r="C178" t="str">
        <f>IFERROR(VLOOKUP(Rel_2026[[#This Row],[chave_loja]],Responsavel!A:B,2,FALSE),"EUCLIDES")</f>
        <v>ALEX SIQUEIRA</v>
      </c>
      <c r="D178" t="str">
        <f>LEFT(Rel_2026[[#This Row],[ag_pacb]],4)</f>
        <v>0752</v>
      </c>
      <c r="E178">
        <v>417735</v>
      </c>
      <c r="F178" t="s">
        <v>673</v>
      </c>
      <c r="G178" t="s">
        <v>672</v>
      </c>
      <c r="H178" s="1">
        <v>45924</v>
      </c>
      <c r="I178" t="s">
        <v>23</v>
      </c>
      <c r="J178" t="s">
        <v>117</v>
      </c>
      <c r="K178" s="1">
        <v>45917</v>
      </c>
      <c r="L178" s="1">
        <v>45519</v>
      </c>
      <c r="M178" t="s">
        <v>109</v>
      </c>
      <c r="N178" s="1">
        <v>46254</v>
      </c>
      <c r="O178">
        <v>2279</v>
      </c>
      <c r="P178">
        <v>8</v>
      </c>
      <c r="Q178">
        <v>8</v>
      </c>
      <c r="R178">
        <v>7</v>
      </c>
      <c r="S178">
        <v>0</v>
      </c>
      <c r="T178">
        <v>0</v>
      </c>
      <c r="U178">
        <v>32928</v>
      </c>
      <c r="V178">
        <v>32928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3</v>
      </c>
      <c r="AF178">
        <v>8</v>
      </c>
      <c r="AG178">
        <v>0</v>
      </c>
      <c r="AH178" t="s">
        <v>38</v>
      </c>
      <c r="AI178" t="s">
        <v>27</v>
      </c>
      <c r="AJ178" s="1"/>
      <c r="AK178" t="s">
        <v>28</v>
      </c>
      <c r="AL17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92</v>
      </c>
      <c r="AM178">
        <f>SUM(Rel_2026[[#This Row],[qtd_TrxContabil]:[VLR_EXP_SORTE]])</f>
        <v>68169</v>
      </c>
      <c r="AN17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113</v>
      </c>
    </row>
    <row r="179" spans="1:40" x14ac:dyDescent="0.3">
      <c r="A179" t="str">
        <f>IF(Rel_2026[[#This Row],[Zero]]=0,"Zero",IF(Rel_2026[[#This Row],[Pontuação]]&gt;=10,"Sim",IF(Rel_2026[[#This Row],[Pontuação]]&gt;=5,"Próximo","Não")))</f>
        <v>Não</v>
      </c>
      <c r="B179" t="str">
        <f>IF(Rel_2026[[#This Row],[Zero]]=0,"Zero",IF(Rel_2026[[#This Row],[Pontuação2]]&gt;=10,"Sim",IF(Rel_2026[[#This Row],[Pontuação2]]&gt;=5,"Próximo","Não")))</f>
        <v>Não</v>
      </c>
      <c r="C179" t="str">
        <f>IFERROR(VLOOKUP(Rel_2026[[#This Row],[chave_loja]],Responsavel!A:B,2,FALSE),"EUCLIDES")</f>
        <v>WASTHSON</v>
      </c>
      <c r="D179" t="str">
        <f>LEFT(Rel_2026[[#This Row],[ag_pacb]],4)</f>
        <v>5415</v>
      </c>
      <c r="E179">
        <v>400004</v>
      </c>
      <c r="F179" t="s">
        <v>456</v>
      </c>
      <c r="G179" t="s">
        <v>457</v>
      </c>
      <c r="H179" s="1">
        <v>45615</v>
      </c>
      <c r="I179" t="s">
        <v>23</v>
      </c>
      <c r="J179" t="s">
        <v>199</v>
      </c>
      <c r="K179" s="1">
        <v>45306</v>
      </c>
      <c r="L179" s="1">
        <v>46162</v>
      </c>
      <c r="M179" t="s">
        <v>32</v>
      </c>
      <c r="N179" s="1">
        <v>46254</v>
      </c>
      <c r="O179">
        <v>390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t="s">
        <v>26</v>
      </c>
      <c r="AI179" t="s">
        <v>27</v>
      </c>
      <c r="AJ179" s="1"/>
      <c r="AK179" t="s">
        <v>28</v>
      </c>
      <c r="AL17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79">
        <f>SUM(Rel_2026[[#This Row],[qtd_TrxContabil]:[VLR_EXP_SORTE]])</f>
        <v>390</v>
      </c>
      <c r="AN17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80" spans="1:40" x14ac:dyDescent="0.3">
      <c r="A180" t="str">
        <f>IF(Rel_2026[[#This Row],[Zero]]=0,"Zero",IF(Rel_2026[[#This Row],[Pontuação]]&gt;=10,"Sim",IF(Rel_2026[[#This Row],[Pontuação]]&gt;=5,"Próximo","Não")))</f>
        <v>Próximo</v>
      </c>
      <c r="B180" t="str">
        <f>IF(Rel_2026[[#This Row],[Zero]]=0,"Zero",IF(Rel_2026[[#This Row],[Pontuação2]]&gt;=10,"Sim",IF(Rel_2026[[#This Row],[Pontuação2]]&gt;=5,"Próximo","Não")))</f>
        <v>Próximo</v>
      </c>
      <c r="C180" t="str">
        <f>IFERROR(VLOOKUP(Rel_2026[[#This Row],[chave_loja]],Responsavel!A:B,2,FALSE),"EUCLIDES")</f>
        <v>CÉLIO</v>
      </c>
      <c r="D180" t="str">
        <f>LEFT(Rel_2026[[#This Row],[ag_pacb]],4)</f>
        <v>2999</v>
      </c>
      <c r="E180">
        <v>418857</v>
      </c>
      <c r="F180" t="s">
        <v>731</v>
      </c>
      <c r="G180" t="s">
        <v>732</v>
      </c>
      <c r="H180" s="1">
        <v>45953</v>
      </c>
      <c r="I180" t="s">
        <v>23</v>
      </c>
      <c r="J180" t="s">
        <v>118</v>
      </c>
      <c r="K180" s="1">
        <v>45939</v>
      </c>
      <c r="L180" s="1"/>
      <c r="M180" t="s">
        <v>32</v>
      </c>
      <c r="N180" s="1">
        <v>46254</v>
      </c>
      <c r="O180">
        <v>101</v>
      </c>
      <c r="P180">
        <v>2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s">
        <v>26</v>
      </c>
      <c r="AI180" t="s">
        <v>27</v>
      </c>
      <c r="AJ180" s="1"/>
      <c r="AK180" t="s">
        <v>28</v>
      </c>
      <c r="AL18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  <c r="AM180">
        <f>SUM(Rel_2026[[#This Row],[qtd_TrxContabil]:[VLR_EXP_SORTE]])</f>
        <v>104</v>
      </c>
      <c r="AN18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</v>
      </c>
    </row>
    <row r="181" spans="1:40" x14ac:dyDescent="0.3">
      <c r="A181" t="str">
        <f>IF(Rel_2026[[#This Row],[Zero]]=0,"Zero",IF(Rel_2026[[#This Row],[Pontuação]]&gt;=10,"Sim",IF(Rel_2026[[#This Row],[Pontuação]]&gt;=5,"Próximo","Não")))</f>
        <v>Sim</v>
      </c>
      <c r="B181" t="str">
        <f>IF(Rel_2026[[#This Row],[Zero]]=0,"Zero",IF(Rel_2026[[#This Row],[Pontuação2]]&gt;=10,"Sim",IF(Rel_2026[[#This Row],[Pontuação2]]&gt;=5,"Próximo","Não")))</f>
        <v>Sim</v>
      </c>
      <c r="C181" t="str">
        <f>IFERROR(VLOOKUP(Rel_2026[[#This Row],[chave_loja]],Responsavel!A:B,2,FALSE),"EUCLIDES")</f>
        <v>ALEX SIQUEIRA</v>
      </c>
      <c r="D181" t="str">
        <f>LEFT(Rel_2026[[#This Row],[ag_pacb]],4)</f>
        <v>0726</v>
      </c>
      <c r="E181">
        <v>245240</v>
      </c>
      <c r="F181" t="s">
        <v>1356</v>
      </c>
      <c r="G181" t="s">
        <v>1171</v>
      </c>
      <c r="H181" s="1">
        <v>45142</v>
      </c>
      <c r="I181" t="s">
        <v>23</v>
      </c>
      <c r="J181" t="s">
        <v>217</v>
      </c>
      <c r="K181" s="1">
        <v>45306</v>
      </c>
      <c r="L181" s="1">
        <v>45008</v>
      </c>
      <c r="M181" t="s">
        <v>109</v>
      </c>
      <c r="N181" s="1">
        <v>46254</v>
      </c>
      <c r="O181">
        <v>409</v>
      </c>
      <c r="P181">
        <v>1</v>
      </c>
      <c r="Q181">
        <v>1</v>
      </c>
      <c r="R181">
        <v>1</v>
      </c>
      <c r="S181">
        <v>0</v>
      </c>
      <c r="T181">
        <v>300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s">
        <v>26</v>
      </c>
      <c r="AI181" t="s">
        <v>27</v>
      </c>
      <c r="AJ181" s="1"/>
      <c r="AK181" t="s">
        <v>28</v>
      </c>
      <c r="AL18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181">
        <f>SUM(Rel_2026[[#This Row],[qtd_TrxContabil]:[VLR_EXP_SORTE]])</f>
        <v>712</v>
      </c>
      <c r="AN18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</v>
      </c>
    </row>
    <row r="182" spans="1:40" x14ac:dyDescent="0.3">
      <c r="A182" t="str">
        <f>IF(Rel_2026[[#This Row],[Zero]]=0,"Zero",IF(Rel_2026[[#This Row],[Pontuação]]&gt;=10,"Sim",IF(Rel_2026[[#This Row],[Pontuação]]&gt;=5,"Próximo","Não")))</f>
        <v>Não</v>
      </c>
      <c r="B182" t="str">
        <f>IF(Rel_2026[[#This Row],[Zero]]=0,"Zero",IF(Rel_2026[[#This Row],[Pontuação2]]&gt;=10,"Sim",IF(Rel_2026[[#This Row],[Pontuação2]]&gt;=5,"Próximo","Não")))</f>
        <v>Não</v>
      </c>
      <c r="C182" t="str">
        <f>IFERROR(VLOOKUP(Rel_2026[[#This Row],[chave_loja]],Responsavel!A:B,2,FALSE),"EUCLIDES")</f>
        <v>JUNIOR</v>
      </c>
      <c r="D182" t="str">
        <f>LEFT(Rel_2026[[#This Row],[ag_pacb]],4)</f>
        <v>5367</v>
      </c>
      <c r="E182">
        <v>248900</v>
      </c>
      <c r="F182" t="s">
        <v>1354</v>
      </c>
      <c r="G182" t="s">
        <v>1355</v>
      </c>
      <c r="H182" s="1">
        <v>45103</v>
      </c>
      <c r="I182" t="s">
        <v>23</v>
      </c>
      <c r="J182" t="s">
        <v>58</v>
      </c>
      <c r="K182" s="1">
        <v>45159</v>
      </c>
      <c r="L182" s="1">
        <v>46101</v>
      </c>
      <c r="M182" t="s">
        <v>32</v>
      </c>
      <c r="N182" s="1">
        <v>46254</v>
      </c>
      <c r="O182">
        <v>66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s">
        <v>26</v>
      </c>
      <c r="AI182" t="s">
        <v>27</v>
      </c>
      <c r="AJ182" s="1"/>
      <c r="AK182" t="s">
        <v>28</v>
      </c>
      <c r="AL18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82">
        <f>SUM(Rel_2026[[#This Row],[qtd_TrxContabil]:[VLR_EXP_SORTE]])</f>
        <v>66</v>
      </c>
      <c r="AN18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83" spans="1:40" x14ac:dyDescent="0.3">
      <c r="A183" t="str">
        <f>IF(Rel_2026[[#This Row],[Zero]]=0,"Zero",IF(Rel_2026[[#This Row],[Pontuação]]&gt;=10,"Sim",IF(Rel_2026[[#This Row],[Pontuação]]&gt;=5,"Próximo","Não")))</f>
        <v>Sim</v>
      </c>
      <c r="B183" t="str">
        <f>IF(Rel_2026[[#This Row],[Zero]]=0,"Zero",IF(Rel_2026[[#This Row],[Pontuação2]]&gt;=10,"Sim",IF(Rel_2026[[#This Row],[Pontuação2]]&gt;=5,"Próximo","Não")))</f>
        <v>Sim</v>
      </c>
      <c r="C183" t="str">
        <f>IFERROR(VLOOKUP(Rel_2026[[#This Row],[chave_loja]],Responsavel!A:B,2,FALSE),"EUCLIDES")</f>
        <v>JUNIOR</v>
      </c>
      <c r="D183" t="str">
        <f>LEFT(Rel_2026[[#This Row],[ag_pacb]],4)</f>
        <v>0684</v>
      </c>
      <c r="E183">
        <v>184556</v>
      </c>
      <c r="F183" t="s">
        <v>148</v>
      </c>
      <c r="G183" t="s">
        <v>149</v>
      </c>
      <c r="H183" s="1">
        <v>46161</v>
      </c>
      <c r="I183" t="s">
        <v>23</v>
      </c>
      <c r="J183" t="s">
        <v>133</v>
      </c>
      <c r="K183" s="1">
        <v>43937</v>
      </c>
      <c r="L183" s="1">
        <v>45636</v>
      </c>
      <c r="M183" t="s">
        <v>32</v>
      </c>
      <c r="N183" s="1">
        <v>46254</v>
      </c>
      <c r="O183">
        <v>1033</v>
      </c>
      <c r="P183">
        <v>26</v>
      </c>
      <c r="Q183">
        <v>0</v>
      </c>
      <c r="R183">
        <v>22</v>
      </c>
      <c r="S183">
        <v>4</v>
      </c>
      <c r="T183">
        <v>1300</v>
      </c>
      <c r="U183">
        <v>258249</v>
      </c>
      <c r="V183">
        <v>245249</v>
      </c>
      <c r="W183">
        <v>0</v>
      </c>
      <c r="X183">
        <v>13000</v>
      </c>
      <c r="Y183">
        <v>5867</v>
      </c>
      <c r="Z183">
        <v>0</v>
      </c>
      <c r="AA183">
        <v>0</v>
      </c>
      <c r="AB183">
        <v>4</v>
      </c>
      <c r="AC183">
        <v>0</v>
      </c>
      <c r="AD183">
        <v>17</v>
      </c>
      <c r="AE183">
        <v>27</v>
      </c>
      <c r="AF183">
        <v>25</v>
      </c>
      <c r="AG183">
        <v>0</v>
      </c>
      <c r="AH183" t="s">
        <v>26</v>
      </c>
      <c r="AI183" t="s">
        <v>27</v>
      </c>
      <c r="AJ183" s="1"/>
      <c r="AK183" t="s">
        <v>28</v>
      </c>
      <c r="AL18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405</v>
      </c>
      <c r="AM183">
        <f>SUM(Rel_2026[[#This Row],[qtd_TrxContabil]:[VLR_EXP_SORTE]])</f>
        <v>524823</v>
      </c>
      <c r="AN18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471</v>
      </c>
    </row>
    <row r="184" spans="1:40" x14ac:dyDescent="0.3">
      <c r="A184" t="str">
        <f>IF(Rel_2026[[#This Row],[Zero]]=0,"Zero",IF(Rel_2026[[#This Row],[Pontuação]]&gt;=10,"Sim",IF(Rel_2026[[#This Row],[Pontuação]]&gt;=5,"Próximo","Não")))</f>
        <v>Sim</v>
      </c>
      <c r="B184" t="str">
        <f>IF(Rel_2026[[#This Row],[Zero]]=0,"Zero",IF(Rel_2026[[#This Row],[Pontuação2]]&gt;=10,"Sim",IF(Rel_2026[[#This Row],[Pontuação2]]&gt;=5,"Próximo","Não")))</f>
        <v>Sim</v>
      </c>
      <c r="C184" t="str">
        <f>IFERROR(VLOOKUP(Rel_2026[[#This Row],[chave_loja]],Responsavel!A:B,2,FALSE),"EUCLIDES")</f>
        <v>NYCOLLAS</v>
      </c>
      <c r="D184" t="str">
        <f>LEFT(Rel_2026[[#This Row],[ag_pacb]],4)</f>
        <v>0719</v>
      </c>
      <c r="E184">
        <v>420195</v>
      </c>
      <c r="F184" t="s">
        <v>789</v>
      </c>
      <c r="G184" t="s">
        <v>790</v>
      </c>
      <c r="H184" s="1">
        <v>46009</v>
      </c>
      <c r="I184" t="s">
        <v>23</v>
      </c>
      <c r="J184" t="s">
        <v>1215</v>
      </c>
      <c r="K184" s="1">
        <v>46001</v>
      </c>
      <c r="L184" s="1">
        <v>46034</v>
      </c>
      <c r="M184" t="s">
        <v>32</v>
      </c>
      <c r="N184" s="1">
        <v>46254</v>
      </c>
      <c r="O184">
        <v>94</v>
      </c>
      <c r="P184">
        <v>2</v>
      </c>
      <c r="Q184">
        <v>2</v>
      </c>
      <c r="R184">
        <v>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s">
        <v>26</v>
      </c>
      <c r="AI184" t="s">
        <v>27</v>
      </c>
      <c r="AJ184" s="1"/>
      <c r="AK184" t="s">
        <v>28</v>
      </c>
      <c r="AL18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184">
        <f>SUM(Rel_2026[[#This Row],[qtd_TrxContabil]:[VLR_EXP_SORTE]])</f>
        <v>100</v>
      </c>
      <c r="AN18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185" spans="1:40" x14ac:dyDescent="0.3">
      <c r="A185" t="str">
        <f>IF(Rel_2026[[#This Row],[Zero]]=0,"Zero",IF(Rel_2026[[#This Row],[Pontuação]]&gt;=10,"Sim",IF(Rel_2026[[#This Row],[Pontuação]]&gt;=5,"Próximo","Não")))</f>
        <v>Sim</v>
      </c>
      <c r="B185" t="str">
        <f>IF(Rel_2026[[#This Row],[Zero]]=0,"Zero",IF(Rel_2026[[#This Row],[Pontuação2]]&gt;=10,"Sim",IF(Rel_2026[[#This Row],[Pontuação2]]&gt;=5,"Próximo","Não")))</f>
        <v>Sim</v>
      </c>
      <c r="C185" t="str">
        <f>IFERROR(VLOOKUP(Rel_2026[[#This Row],[chave_loja]],Responsavel!A:B,2,FALSE),"EUCLIDES")</f>
        <v>NYCOLLAS</v>
      </c>
      <c r="D185" t="str">
        <f>LEFT(Rel_2026[[#This Row],[ag_pacb]],4)</f>
        <v>5447</v>
      </c>
      <c r="E185">
        <v>404796</v>
      </c>
      <c r="F185" t="s">
        <v>65</v>
      </c>
      <c r="G185" t="s">
        <v>66</v>
      </c>
      <c r="H185" s="1">
        <v>45533</v>
      </c>
      <c r="I185" t="s">
        <v>23</v>
      </c>
      <c r="J185" t="s">
        <v>67</v>
      </c>
      <c r="K185" s="1">
        <v>45495</v>
      </c>
      <c r="L185" s="1">
        <v>45554</v>
      </c>
      <c r="M185" t="s">
        <v>32</v>
      </c>
      <c r="N185" s="1">
        <v>46254</v>
      </c>
      <c r="O185">
        <v>845</v>
      </c>
      <c r="P185">
        <v>2</v>
      </c>
      <c r="Q185">
        <v>2</v>
      </c>
      <c r="R185">
        <v>2</v>
      </c>
      <c r="S185">
        <v>0</v>
      </c>
      <c r="T185">
        <v>330</v>
      </c>
      <c r="U185">
        <v>3732</v>
      </c>
      <c r="V185">
        <v>3732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2</v>
      </c>
      <c r="AG185">
        <v>0</v>
      </c>
      <c r="AH185" t="s">
        <v>26</v>
      </c>
      <c r="AI185" t="s">
        <v>27</v>
      </c>
      <c r="AJ185" s="1"/>
      <c r="AK185" t="s">
        <v>28</v>
      </c>
      <c r="AL18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185">
        <f>SUM(Rel_2026[[#This Row],[qtd_TrxContabil]:[VLR_EXP_SORTE]])</f>
        <v>8647</v>
      </c>
      <c r="AN18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27</v>
      </c>
    </row>
    <row r="186" spans="1:40" x14ac:dyDescent="0.3">
      <c r="A186" t="str">
        <f>IF(Rel_2026[[#This Row],[Zero]]=0,"Zero",IF(Rel_2026[[#This Row],[Pontuação]]&gt;=10,"Sim",IF(Rel_2026[[#This Row],[Pontuação]]&gt;=5,"Próximo","Não")))</f>
        <v>Sim</v>
      </c>
      <c r="B186" t="str">
        <f>IF(Rel_2026[[#This Row],[Zero]]=0,"Zero",IF(Rel_2026[[#This Row],[Pontuação2]]&gt;=10,"Sim",IF(Rel_2026[[#This Row],[Pontuação2]]&gt;=5,"Próximo","Não")))</f>
        <v>Sim</v>
      </c>
      <c r="C186" t="str">
        <f>IFERROR(VLOOKUP(Rel_2026[[#This Row],[chave_loja]],Responsavel!A:B,2,FALSE),"EUCLIDES")</f>
        <v>IVAN</v>
      </c>
      <c r="D186" t="str">
        <f>LEFT(Rel_2026[[#This Row],[ag_pacb]],4)</f>
        <v>5449</v>
      </c>
      <c r="E186">
        <v>422470</v>
      </c>
      <c r="F186" t="s">
        <v>1083</v>
      </c>
      <c r="G186" t="s">
        <v>1084</v>
      </c>
      <c r="H186" s="1">
        <v>46072</v>
      </c>
      <c r="I186" t="s">
        <v>23</v>
      </c>
      <c r="J186" t="s">
        <v>88</v>
      </c>
      <c r="K186" s="1">
        <v>46065</v>
      </c>
      <c r="L186" s="1">
        <v>46190</v>
      </c>
      <c r="M186" t="s">
        <v>25</v>
      </c>
      <c r="N186" s="1">
        <v>46252</v>
      </c>
      <c r="O186">
        <v>2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170777</v>
      </c>
      <c r="V186">
        <v>149877</v>
      </c>
      <c r="W186">
        <v>18900</v>
      </c>
      <c r="X186">
        <v>2000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10</v>
      </c>
      <c r="AE186">
        <v>9</v>
      </c>
      <c r="AF186">
        <v>0</v>
      </c>
      <c r="AG186">
        <v>100</v>
      </c>
      <c r="AH186" t="s">
        <v>26</v>
      </c>
      <c r="AI186" t="s">
        <v>27</v>
      </c>
      <c r="AJ186" s="1"/>
      <c r="AK186" t="s">
        <v>28</v>
      </c>
      <c r="AL18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195</v>
      </c>
      <c r="AM186">
        <f>SUM(Rel_2026[[#This Row],[qtd_TrxContabil]:[VLR_EXP_SORTE]])</f>
        <v>341677</v>
      </c>
      <c r="AN18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198</v>
      </c>
    </row>
    <row r="187" spans="1:40" x14ac:dyDescent="0.3">
      <c r="A187" t="str">
        <f>IF(Rel_2026[[#This Row],[Zero]]=0,"Zero",IF(Rel_2026[[#This Row],[Pontuação]]&gt;=10,"Sim",IF(Rel_2026[[#This Row],[Pontuação]]&gt;=5,"Próximo","Não")))</f>
        <v>Sim</v>
      </c>
      <c r="B187" t="str">
        <f>IF(Rel_2026[[#This Row],[Zero]]=0,"Zero",IF(Rel_2026[[#This Row],[Pontuação2]]&gt;=10,"Sim",IF(Rel_2026[[#This Row],[Pontuação2]]&gt;=5,"Próximo","Não")))</f>
        <v>Sim</v>
      </c>
      <c r="C187" t="str">
        <f>IFERROR(VLOOKUP(Rel_2026[[#This Row],[chave_loja]],Responsavel!A:B,2,FALSE),"EUCLIDES")</f>
        <v>JUNIOR</v>
      </c>
      <c r="D187" t="str">
        <f>LEFT(Rel_2026[[#This Row],[ag_pacb]],4)</f>
        <v>0684</v>
      </c>
      <c r="E187">
        <v>67580</v>
      </c>
      <c r="F187" t="s">
        <v>533</v>
      </c>
      <c r="G187" t="s">
        <v>534</v>
      </c>
      <c r="H187" s="1">
        <v>45216</v>
      </c>
      <c r="I187" t="s">
        <v>23</v>
      </c>
      <c r="J187" t="s">
        <v>133</v>
      </c>
      <c r="K187" s="1">
        <v>43745</v>
      </c>
      <c r="L187" s="1">
        <v>45495</v>
      </c>
      <c r="M187" t="s">
        <v>32</v>
      </c>
      <c r="N187" s="1">
        <v>46254</v>
      </c>
      <c r="O187">
        <v>657</v>
      </c>
      <c r="P187">
        <v>0</v>
      </c>
      <c r="Q187">
        <v>0</v>
      </c>
      <c r="R187">
        <v>0</v>
      </c>
      <c r="S187">
        <v>0</v>
      </c>
      <c r="T187">
        <v>3450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 t="s">
        <v>26</v>
      </c>
      <c r="AI187" t="s">
        <v>27</v>
      </c>
      <c r="AJ187" s="1"/>
      <c r="AK187" t="s">
        <v>28</v>
      </c>
      <c r="AL18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35</v>
      </c>
      <c r="AM187">
        <f>SUM(Rel_2026[[#This Row],[qtd_TrxContabil]:[VLR_EXP_SORTE]])</f>
        <v>4107</v>
      </c>
      <c r="AN18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35</v>
      </c>
    </row>
    <row r="188" spans="1:40" x14ac:dyDescent="0.3">
      <c r="A188" t="str">
        <f>IF(Rel_2026[[#This Row],[Zero]]=0,"Zero",IF(Rel_2026[[#This Row],[Pontuação]]&gt;=10,"Sim",IF(Rel_2026[[#This Row],[Pontuação]]&gt;=5,"Próximo","Não")))</f>
        <v>Próximo</v>
      </c>
      <c r="B188" t="str">
        <f>IF(Rel_2026[[#This Row],[Zero]]=0,"Zero",IF(Rel_2026[[#This Row],[Pontuação2]]&gt;=10,"Sim",IF(Rel_2026[[#This Row],[Pontuação2]]&gt;=5,"Próximo","Não")))</f>
        <v>Sim</v>
      </c>
      <c r="C188" t="str">
        <f>IFERROR(VLOOKUP(Rel_2026[[#This Row],[chave_loja]],Responsavel!A:B,2,FALSE),"EUCLIDES")</f>
        <v>ALEX SIQUEIRA</v>
      </c>
      <c r="D188" t="str">
        <f>LEFT(Rel_2026[[#This Row],[ag_pacb]],4)</f>
        <v>0726</v>
      </c>
      <c r="E188">
        <v>236683</v>
      </c>
      <c r="F188" t="s">
        <v>479</v>
      </c>
      <c r="G188" t="s">
        <v>480</v>
      </c>
      <c r="H188" s="1">
        <v>45118</v>
      </c>
      <c r="I188" t="s">
        <v>23</v>
      </c>
      <c r="J188" t="s">
        <v>192</v>
      </c>
      <c r="K188" s="1">
        <v>44823</v>
      </c>
      <c r="L188" s="1">
        <v>44827</v>
      </c>
      <c r="M188" t="s">
        <v>109</v>
      </c>
      <c r="N188" s="1">
        <v>46254</v>
      </c>
      <c r="O188">
        <v>599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1</v>
      </c>
      <c r="AG188">
        <v>0</v>
      </c>
      <c r="AH188" t="s">
        <v>26</v>
      </c>
      <c r="AI188" t="s">
        <v>27</v>
      </c>
      <c r="AJ188" s="1"/>
      <c r="AK188" t="s">
        <v>28</v>
      </c>
      <c r="AL18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188">
        <f>SUM(Rel_2026[[#This Row],[qtd_TrxContabil]:[VLR_EXP_SORTE]])</f>
        <v>605</v>
      </c>
      <c r="AN18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189" spans="1:40" x14ac:dyDescent="0.3">
      <c r="A189" t="str">
        <f>IF(Rel_2026[[#This Row],[Zero]]=0,"Zero",IF(Rel_2026[[#This Row],[Pontuação]]&gt;=10,"Sim",IF(Rel_2026[[#This Row],[Pontuação]]&gt;=5,"Próximo","Não")))</f>
        <v>Sim</v>
      </c>
      <c r="B189" t="str">
        <f>IF(Rel_2026[[#This Row],[Zero]]=0,"Zero",IF(Rel_2026[[#This Row],[Pontuação2]]&gt;=10,"Sim",IF(Rel_2026[[#This Row],[Pontuação2]]&gt;=5,"Próximo","Não")))</f>
        <v>Sim</v>
      </c>
      <c r="C189" t="str">
        <f>IFERROR(VLOOKUP(Rel_2026[[#This Row],[chave_loja]],Responsavel!A:B,2,FALSE),"EUCLIDES")</f>
        <v>NYCOLLAS</v>
      </c>
      <c r="D189" t="str">
        <f>LEFT(Rel_2026[[#This Row],[ag_pacb]],4)</f>
        <v>0719</v>
      </c>
      <c r="E189">
        <v>419833</v>
      </c>
      <c r="F189" t="s">
        <v>776</v>
      </c>
      <c r="G189" t="s">
        <v>777</v>
      </c>
      <c r="H189" s="1">
        <v>45994</v>
      </c>
      <c r="I189" t="s">
        <v>23</v>
      </c>
      <c r="J189" t="s">
        <v>1215</v>
      </c>
      <c r="K189" s="1">
        <v>45986</v>
      </c>
      <c r="L189" s="1">
        <v>46078</v>
      </c>
      <c r="M189" t="s">
        <v>32</v>
      </c>
      <c r="N189" s="1">
        <v>46254</v>
      </c>
      <c r="O189">
        <v>269</v>
      </c>
      <c r="P189">
        <v>2</v>
      </c>
      <c r="Q189">
        <v>2</v>
      </c>
      <c r="R189">
        <v>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 t="s">
        <v>26</v>
      </c>
      <c r="AI189" t="s">
        <v>27</v>
      </c>
      <c r="AJ189" s="1"/>
      <c r="AK189" t="s">
        <v>28</v>
      </c>
      <c r="AL18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189">
        <f>SUM(Rel_2026[[#This Row],[qtd_TrxContabil]:[VLR_EXP_SORTE]])</f>
        <v>276</v>
      </c>
      <c r="AN18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190" spans="1:40" x14ac:dyDescent="0.3">
      <c r="A190" t="str">
        <f>IF(Rel_2026[[#This Row],[Zero]]=0,"Zero",IF(Rel_2026[[#This Row],[Pontuação]]&gt;=10,"Sim",IF(Rel_2026[[#This Row],[Pontuação]]&gt;=5,"Próximo","Não")))</f>
        <v>Próximo</v>
      </c>
      <c r="B190" t="str">
        <f>IF(Rel_2026[[#This Row],[Zero]]=0,"Zero",IF(Rel_2026[[#This Row],[Pontuação2]]&gt;=10,"Sim",IF(Rel_2026[[#This Row],[Pontuação2]]&gt;=5,"Próximo","Não")))</f>
        <v>Sim</v>
      </c>
      <c r="C190" t="str">
        <f>IFERROR(VLOOKUP(Rel_2026[[#This Row],[chave_loja]],Responsavel!A:B,2,FALSE),"EUCLIDES")</f>
        <v>IVAN</v>
      </c>
      <c r="D190" t="str">
        <f>LEFT(Rel_2026[[#This Row],[ag_pacb]],4)</f>
        <v>5304</v>
      </c>
      <c r="E190">
        <v>160958</v>
      </c>
      <c r="F190" t="s">
        <v>279</v>
      </c>
      <c r="G190" t="s">
        <v>280</v>
      </c>
      <c r="H190" s="1">
        <v>45131</v>
      </c>
      <c r="I190" t="s">
        <v>23</v>
      </c>
      <c r="J190" t="s">
        <v>57</v>
      </c>
      <c r="K190" s="1">
        <v>43039</v>
      </c>
      <c r="L190" s="1">
        <v>46029</v>
      </c>
      <c r="M190" t="s">
        <v>25</v>
      </c>
      <c r="N190" s="1">
        <v>46254</v>
      </c>
      <c r="O190">
        <v>38</v>
      </c>
      <c r="P190">
        <v>2</v>
      </c>
      <c r="Q190">
        <v>0</v>
      </c>
      <c r="R190">
        <v>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t="s">
        <v>26</v>
      </c>
      <c r="AI190" t="s">
        <v>27</v>
      </c>
      <c r="AJ190" s="1"/>
      <c r="AK190" t="s">
        <v>28</v>
      </c>
      <c r="AL19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  <c r="AM190">
        <f>SUM(Rel_2026[[#This Row],[qtd_TrxContabil]:[VLR_EXP_SORTE]])</f>
        <v>42</v>
      </c>
      <c r="AN19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</row>
    <row r="191" spans="1:40" x14ac:dyDescent="0.3">
      <c r="A191" t="str">
        <f>IF(Rel_2026[[#This Row],[Zero]]=0,"Zero",IF(Rel_2026[[#This Row],[Pontuação]]&gt;=10,"Sim",IF(Rel_2026[[#This Row],[Pontuação]]&gt;=5,"Próximo","Não")))</f>
        <v>Próximo</v>
      </c>
      <c r="B191" t="str">
        <f>IF(Rel_2026[[#This Row],[Zero]]=0,"Zero",IF(Rel_2026[[#This Row],[Pontuação2]]&gt;=10,"Sim",IF(Rel_2026[[#This Row],[Pontuação2]]&gt;=5,"Próximo","Não")))</f>
        <v>Sim</v>
      </c>
      <c r="C191" t="str">
        <f>IFERROR(VLOOKUP(Rel_2026[[#This Row],[chave_loja]],Responsavel!A:B,2,FALSE),"EUCLIDES")</f>
        <v>JACK</v>
      </c>
      <c r="D191" t="str">
        <f>LEFT(Rel_2026[[#This Row],[ag_pacb]],4)</f>
        <v>5806</v>
      </c>
      <c r="E191">
        <v>219521</v>
      </c>
      <c r="F191" t="s">
        <v>185</v>
      </c>
      <c r="G191" t="s">
        <v>929</v>
      </c>
      <c r="H191" s="1">
        <v>45252</v>
      </c>
      <c r="I191" t="s">
        <v>107</v>
      </c>
      <c r="J191" t="s">
        <v>833</v>
      </c>
      <c r="K191" s="1">
        <v>45306</v>
      </c>
      <c r="L191" s="1">
        <v>46100</v>
      </c>
      <c r="M191" t="s">
        <v>109</v>
      </c>
      <c r="N191" s="1">
        <v>46254</v>
      </c>
      <c r="O191">
        <v>360</v>
      </c>
      <c r="P191">
        <v>1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s">
        <v>26</v>
      </c>
      <c r="AI191" t="s">
        <v>27</v>
      </c>
      <c r="AJ191" s="1"/>
      <c r="AK191" t="s">
        <v>28</v>
      </c>
      <c r="AL19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191">
        <f>SUM(Rel_2026[[#This Row],[qtd_TrxContabil]:[VLR_EXP_SORTE]])</f>
        <v>363</v>
      </c>
      <c r="AN19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192" spans="1:40" x14ac:dyDescent="0.3">
      <c r="A192" t="str">
        <f>IF(Rel_2026[[#This Row],[Zero]]=0,"Zero",IF(Rel_2026[[#This Row],[Pontuação]]&gt;=10,"Sim",IF(Rel_2026[[#This Row],[Pontuação]]&gt;=5,"Próximo","Não")))</f>
        <v>Não</v>
      </c>
      <c r="B192" t="str">
        <f>IF(Rel_2026[[#This Row],[Zero]]=0,"Zero",IF(Rel_2026[[#This Row],[Pontuação2]]&gt;=10,"Sim",IF(Rel_2026[[#This Row],[Pontuação2]]&gt;=5,"Próximo","Não")))</f>
        <v>Não</v>
      </c>
      <c r="C192" t="str">
        <f>IFERROR(VLOOKUP(Rel_2026[[#This Row],[chave_loja]],Responsavel!A:B,2,FALSE),"EUCLIDES")</f>
        <v>ROSSY</v>
      </c>
      <c r="D192" t="str">
        <f>LEFT(Rel_2026[[#This Row],[ag_pacb]],4)</f>
        <v>5792</v>
      </c>
      <c r="E192">
        <v>415055</v>
      </c>
      <c r="F192" t="s">
        <v>1056</v>
      </c>
      <c r="G192" t="s">
        <v>1057</v>
      </c>
      <c r="H192" s="1">
        <v>45870</v>
      </c>
      <c r="I192" t="s">
        <v>107</v>
      </c>
      <c r="J192" t="s">
        <v>848</v>
      </c>
      <c r="K192" s="1">
        <v>45861</v>
      </c>
      <c r="L192" s="1">
        <v>45875</v>
      </c>
      <c r="M192" t="s">
        <v>109</v>
      </c>
      <c r="N192" s="1">
        <v>46249</v>
      </c>
      <c r="O192">
        <v>45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 t="s">
        <v>38</v>
      </c>
      <c r="AI192" t="s">
        <v>27</v>
      </c>
      <c r="AJ192" s="1"/>
      <c r="AK192" t="s">
        <v>28</v>
      </c>
      <c r="AL19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92">
        <f>SUM(Rel_2026[[#This Row],[qtd_TrxContabil]:[VLR_EXP_SORTE]])</f>
        <v>45</v>
      </c>
      <c r="AN19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93" spans="1:40" x14ac:dyDescent="0.3">
      <c r="A193" t="str">
        <f>IF(Rel_2026[[#This Row],[Zero]]=0,"Zero",IF(Rel_2026[[#This Row],[Pontuação]]&gt;=10,"Sim",IF(Rel_2026[[#This Row],[Pontuação]]&gt;=5,"Próximo","Não")))</f>
        <v>Sim</v>
      </c>
      <c r="B193" t="str">
        <f>IF(Rel_2026[[#This Row],[Zero]]=0,"Zero",IF(Rel_2026[[#This Row],[Pontuação2]]&gt;=10,"Sim",IF(Rel_2026[[#This Row],[Pontuação2]]&gt;=5,"Próximo","Não")))</f>
        <v>Sim</v>
      </c>
      <c r="C193" t="str">
        <f>IFERROR(VLOOKUP(Rel_2026[[#This Row],[chave_loja]],Responsavel!A:B,2,FALSE),"EUCLIDES")</f>
        <v>DARIO</v>
      </c>
      <c r="D193" t="str">
        <f>LEFT(Rel_2026[[#This Row],[ag_pacb]],4)</f>
        <v>5438</v>
      </c>
      <c r="E193">
        <v>187219</v>
      </c>
      <c r="F193" t="s">
        <v>728</v>
      </c>
      <c r="G193" t="s">
        <v>729</v>
      </c>
      <c r="H193" s="1">
        <v>45182</v>
      </c>
      <c r="I193" t="s">
        <v>23</v>
      </c>
      <c r="J193" t="s">
        <v>599</v>
      </c>
      <c r="K193" s="1">
        <v>44078</v>
      </c>
      <c r="L193" s="1">
        <v>45348</v>
      </c>
      <c r="M193" t="s">
        <v>25</v>
      </c>
      <c r="N193" s="1">
        <v>46254</v>
      </c>
      <c r="O193">
        <v>3654</v>
      </c>
      <c r="P193">
        <v>4</v>
      </c>
      <c r="Q193">
        <v>3</v>
      </c>
      <c r="R193">
        <v>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</v>
      </c>
      <c r="AG193">
        <v>0</v>
      </c>
      <c r="AH193" t="s">
        <v>26</v>
      </c>
      <c r="AI193" t="s">
        <v>27</v>
      </c>
      <c r="AJ193" s="1"/>
      <c r="AK193" t="s">
        <v>28</v>
      </c>
      <c r="AL19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  <c r="AM193">
        <f>SUM(Rel_2026[[#This Row],[qtd_TrxContabil]:[VLR_EXP_SORTE]])</f>
        <v>3667</v>
      </c>
      <c r="AN19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36</v>
      </c>
    </row>
    <row r="194" spans="1:40" x14ac:dyDescent="0.3">
      <c r="A194" t="str">
        <f>IF(Rel_2026[[#This Row],[Zero]]=0,"Zero",IF(Rel_2026[[#This Row],[Pontuação]]&gt;=10,"Sim",IF(Rel_2026[[#This Row],[Pontuação]]&gt;=5,"Próximo","Não")))</f>
        <v>Zero</v>
      </c>
      <c r="B194" t="str">
        <f>IF(Rel_2026[[#This Row],[Zero]]=0,"Zero",IF(Rel_2026[[#This Row],[Pontuação2]]&gt;=10,"Sim",IF(Rel_2026[[#This Row],[Pontuação2]]&gt;=5,"Próximo","Não")))</f>
        <v>Zero</v>
      </c>
      <c r="C194" t="str">
        <f>IFERROR(VLOOKUP(Rel_2026[[#This Row],[chave_loja]],Responsavel!A:B,2,FALSE),"EUCLIDES")</f>
        <v>JUNIOR</v>
      </c>
      <c r="D194" t="str">
        <f>LEFT(Rel_2026[[#This Row],[ag_pacb]],4)</f>
        <v>5367</v>
      </c>
      <c r="E194">
        <v>405647</v>
      </c>
      <c r="F194" t="s">
        <v>629</v>
      </c>
      <c r="G194" t="s">
        <v>630</v>
      </c>
      <c r="H194" s="1">
        <v>45532</v>
      </c>
      <c r="I194" t="s">
        <v>23</v>
      </c>
      <c r="J194" t="s">
        <v>425</v>
      </c>
      <c r="K194" s="1">
        <v>45525</v>
      </c>
      <c r="L194" s="1">
        <v>45544</v>
      </c>
      <c r="M194" t="s">
        <v>32</v>
      </c>
      <c r="N194" s="1">
        <v>46014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t="s">
        <v>26</v>
      </c>
      <c r="AI194" t="s">
        <v>56</v>
      </c>
      <c r="AJ194" s="1">
        <v>46083</v>
      </c>
      <c r="AK194" t="s">
        <v>28</v>
      </c>
      <c r="AL19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94">
        <f>SUM(Rel_2026[[#This Row],[qtd_TrxContabil]:[VLR_EXP_SORTE]])</f>
        <v>0</v>
      </c>
      <c r="AN19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95" spans="1:40" x14ac:dyDescent="0.3">
      <c r="A195" t="str">
        <f>IF(Rel_2026[[#This Row],[Zero]]=0,"Zero",IF(Rel_2026[[#This Row],[Pontuação]]&gt;=10,"Sim",IF(Rel_2026[[#This Row],[Pontuação]]&gt;=5,"Próximo","Não")))</f>
        <v>Zero</v>
      </c>
      <c r="B195" t="str">
        <f>IF(Rel_2026[[#This Row],[Zero]]=0,"Zero",IF(Rel_2026[[#This Row],[Pontuação2]]&gt;=10,"Sim",IF(Rel_2026[[#This Row],[Pontuação2]]&gt;=5,"Próximo","Não")))</f>
        <v>Zero</v>
      </c>
      <c r="C195" t="str">
        <f>IFERROR(VLOOKUP(Rel_2026[[#This Row],[chave_loja]],Responsavel!A:B,2,FALSE),"EUCLIDES")</f>
        <v>ALEX SIQUEIRA</v>
      </c>
      <c r="D195" t="str">
        <f>LEFT(Rel_2026[[#This Row],[ag_pacb]],4)</f>
        <v>0752</v>
      </c>
      <c r="E195">
        <v>423506</v>
      </c>
      <c r="F195" t="s">
        <v>1209</v>
      </c>
      <c r="G195" t="s">
        <v>1210</v>
      </c>
      <c r="H195" s="1">
        <v>46128</v>
      </c>
      <c r="I195" t="s">
        <v>23</v>
      </c>
      <c r="J195" t="s">
        <v>338</v>
      </c>
      <c r="K195" s="1">
        <v>46122</v>
      </c>
      <c r="L195" s="1">
        <v>46160</v>
      </c>
      <c r="M195" t="s">
        <v>109</v>
      </c>
      <c r="N195" s="1">
        <v>46233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t="s">
        <v>26</v>
      </c>
      <c r="AI195" t="s">
        <v>27</v>
      </c>
      <c r="AJ195" s="1"/>
      <c r="AK195" t="s">
        <v>28</v>
      </c>
      <c r="AL19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95">
        <f>SUM(Rel_2026[[#This Row],[qtd_TrxContabil]:[VLR_EXP_SORTE]])</f>
        <v>0</v>
      </c>
      <c r="AN19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96" spans="1:40" x14ac:dyDescent="0.3">
      <c r="A196" t="str">
        <f>IF(Rel_2026[[#This Row],[Zero]]=0,"Zero",IF(Rel_2026[[#This Row],[Pontuação]]&gt;=10,"Sim",IF(Rel_2026[[#This Row],[Pontuação]]&gt;=5,"Próximo","Não")))</f>
        <v>Sim</v>
      </c>
      <c r="B196" t="str">
        <f>IF(Rel_2026[[#This Row],[Zero]]=0,"Zero",IF(Rel_2026[[#This Row],[Pontuação2]]&gt;=10,"Sim",IF(Rel_2026[[#This Row],[Pontuação2]]&gt;=5,"Próximo","Não")))</f>
        <v>Sim</v>
      </c>
      <c r="C196" t="str">
        <f>IFERROR(VLOOKUP(Rel_2026[[#This Row],[chave_loja]],Responsavel!A:B,2,FALSE),"EUCLIDES")</f>
        <v>ROSSY</v>
      </c>
      <c r="D196" t="str">
        <f>LEFT(Rel_2026[[#This Row],[ag_pacb]],4)</f>
        <v>5798</v>
      </c>
      <c r="E196">
        <v>80351</v>
      </c>
      <c r="F196" t="s">
        <v>836</v>
      </c>
      <c r="G196" t="s">
        <v>837</v>
      </c>
      <c r="H196" s="1">
        <v>44111</v>
      </c>
      <c r="I196" t="s">
        <v>107</v>
      </c>
      <c r="J196" t="s">
        <v>838</v>
      </c>
      <c r="K196" s="1">
        <v>42311</v>
      </c>
      <c r="L196" s="1">
        <v>46196</v>
      </c>
      <c r="M196" t="s">
        <v>109</v>
      </c>
      <c r="N196" s="1">
        <v>46254</v>
      </c>
      <c r="O196">
        <v>1602</v>
      </c>
      <c r="P196">
        <v>0</v>
      </c>
      <c r="Q196">
        <v>0</v>
      </c>
      <c r="R196">
        <v>0</v>
      </c>
      <c r="S196">
        <v>0</v>
      </c>
      <c r="T196">
        <v>1500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 t="s">
        <v>38</v>
      </c>
      <c r="AI196" t="s">
        <v>27</v>
      </c>
      <c r="AJ196" s="1"/>
      <c r="AK196" t="s">
        <v>28</v>
      </c>
      <c r="AL19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15</v>
      </c>
      <c r="AM196">
        <f>SUM(Rel_2026[[#This Row],[qtd_TrxContabil]:[VLR_EXP_SORTE]])</f>
        <v>3102</v>
      </c>
      <c r="AN19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15</v>
      </c>
    </row>
    <row r="197" spans="1:40" x14ac:dyDescent="0.3">
      <c r="A197" t="str">
        <f>IF(Rel_2026[[#This Row],[Zero]]=0,"Zero",IF(Rel_2026[[#This Row],[Pontuação]]&gt;=10,"Sim",IF(Rel_2026[[#This Row],[Pontuação]]&gt;=5,"Próximo","Não")))</f>
        <v>Sim</v>
      </c>
      <c r="B197" t="str">
        <f>IF(Rel_2026[[#This Row],[Zero]]=0,"Zero",IF(Rel_2026[[#This Row],[Pontuação2]]&gt;=10,"Sim",IF(Rel_2026[[#This Row],[Pontuação2]]&gt;=5,"Próximo","Não")))</f>
        <v>Sim</v>
      </c>
      <c r="C197" t="str">
        <f>IFERROR(VLOOKUP(Rel_2026[[#This Row],[chave_loja]],Responsavel!A:B,2,FALSE),"EUCLIDES")</f>
        <v>GIL</v>
      </c>
      <c r="D197" t="str">
        <f>LEFT(Rel_2026[[#This Row],[ag_pacb]],4)</f>
        <v>5387</v>
      </c>
      <c r="E197">
        <v>84297</v>
      </c>
      <c r="F197" t="s">
        <v>347</v>
      </c>
      <c r="G197" t="s">
        <v>348</v>
      </c>
      <c r="H197" s="1">
        <v>44166</v>
      </c>
      <c r="I197" t="s">
        <v>23</v>
      </c>
      <c r="J197" t="s">
        <v>130</v>
      </c>
      <c r="K197" s="1">
        <v>42137</v>
      </c>
      <c r="L197" s="1">
        <v>46100</v>
      </c>
      <c r="M197" t="s">
        <v>32</v>
      </c>
      <c r="N197" s="1">
        <v>46254</v>
      </c>
      <c r="O197">
        <v>933</v>
      </c>
      <c r="P197">
        <v>1</v>
      </c>
      <c r="Q197">
        <v>1</v>
      </c>
      <c r="R197">
        <v>1</v>
      </c>
      <c r="S197">
        <v>0</v>
      </c>
      <c r="T197">
        <v>2410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t="s">
        <v>38</v>
      </c>
      <c r="AI197" t="s">
        <v>27</v>
      </c>
      <c r="AJ197" s="1"/>
      <c r="AK197" t="s">
        <v>28</v>
      </c>
      <c r="AL19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31</v>
      </c>
      <c r="AM197">
        <f>SUM(Rel_2026[[#This Row],[qtd_TrxContabil]:[VLR_EXP_SORTE]])</f>
        <v>3346</v>
      </c>
      <c r="AN19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34</v>
      </c>
    </row>
    <row r="198" spans="1:40" x14ac:dyDescent="0.3">
      <c r="A198" t="str">
        <f>IF(Rel_2026[[#This Row],[Zero]]=0,"Zero",IF(Rel_2026[[#This Row],[Pontuação]]&gt;=10,"Sim",IF(Rel_2026[[#This Row],[Pontuação]]&gt;=5,"Próximo","Não")))</f>
        <v>Sim</v>
      </c>
      <c r="B198" t="str">
        <f>IF(Rel_2026[[#This Row],[Zero]]=0,"Zero",IF(Rel_2026[[#This Row],[Pontuação2]]&gt;=10,"Sim",IF(Rel_2026[[#This Row],[Pontuação2]]&gt;=5,"Próximo","Não")))</f>
        <v>Sim</v>
      </c>
      <c r="C198" t="str">
        <f>IFERROR(VLOOKUP(Rel_2026[[#This Row],[chave_loja]],Responsavel!A:B,2,FALSE),"EUCLIDES")</f>
        <v>JACK</v>
      </c>
      <c r="D198" t="str">
        <f>LEFT(Rel_2026[[#This Row],[ag_pacb]],4)</f>
        <v>1522</v>
      </c>
      <c r="E198">
        <v>414596</v>
      </c>
      <c r="F198" t="s">
        <v>969</v>
      </c>
      <c r="G198" t="s">
        <v>970</v>
      </c>
      <c r="H198" s="1">
        <v>45849</v>
      </c>
      <c r="I198" t="s">
        <v>107</v>
      </c>
      <c r="J198" t="s">
        <v>858</v>
      </c>
      <c r="K198" s="1">
        <v>45846</v>
      </c>
      <c r="L198" s="1">
        <v>45868</v>
      </c>
      <c r="M198" t="s">
        <v>109</v>
      </c>
      <c r="N198" s="1">
        <v>46254</v>
      </c>
      <c r="O198">
        <v>156</v>
      </c>
      <c r="P198">
        <v>3</v>
      </c>
      <c r="Q198">
        <v>2</v>
      </c>
      <c r="R198">
        <v>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2</v>
      </c>
      <c r="AG198">
        <v>0</v>
      </c>
      <c r="AH198" t="s">
        <v>26</v>
      </c>
      <c r="AI198" t="s">
        <v>27</v>
      </c>
      <c r="AJ198" s="1"/>
      <c r="AK198" t="s">
        <v>28</v>
      </c>
      <c r="AL19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</v>
      </c>
      <c r="AM198">
        <f>SUM(Rel_2026[[#This Row],[qtd_TrxContabil]:[VLR_EXP_SORTE]])</f>
        <v>165</v>
      </c>
      <c r="AN19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23</v>
      </c>
    </row>
    <row r="199" spans="1:40" x14ac:dyDescent="0.3">
      <c r="A199" t="str">
        <f>IF(Rel_2026[[#This Row],[Zero]]=0,"Zero",IF(Rel_2026[[#This Row],[Pontuação]]&gt;=10,"Sim",IF(Rel_2026[[#This Row],[Pontuação]]&gt;=5,"Próximo","Não")))</f>
        <v>Sim</v>
      </c>
      <c r="B199" t="str">
        <f>IF(Rel_2026[[#This Row],[Zero]]=0,"Zero",IF(Rel_2026[[#This Row],[Pontuação2]]&gt;=10,"Sim",IF(Rel_2026[[#This Row],[Pontuação2]]&gt;=5,"Próximo","Não")))</f>
        <v>Sim</v>
      </c>
      <c r="C199" t="str">
        <f>IFERROR(VLOOKUP(Rel_2026[[#This Row],[chave_loja]],Responsavel!A:B,2,FALSE),"EUCLIDES")</f>
        <v>WASTHSON</v>
      </c>
      <c r="D199" t="str">
        <f>LEFT(Rel_2026[[#This Row],[ag_pacb]],4)</f>
        <v>5415</v>
      </c>
      <c r="E199">
        <v>424745</v>
      </c>
      <c r="F199" t="s">
        <v>1327</v>
      </c>
      <c r="G199" t="s">
        <v>1328</v>
      </c>
      <c r="H199" s="1">
        <v>46189</v>
      </c>
      <c r="I199" t="s">
        <v>23</v>
      </c>
      <c r="J199" t="s">
        <v>289</v>
      </c>
      <c r="K199" s="1">
        <v>46185</v>
      </c>
      <c r="L199" s="1">
        <v>46196</v>
      </c>
      <c r="M199" t="s">
        <v>32</v>
      </c>
      <c r="N199" s="1">
        <v>46254</v>
      </c>
      <c r="O199">
        <v>56</v>
      </c>
      <c r="P199">
        <v>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t="s">
        <v>26</v>
      </c>
      <c r="AI199" t="s">
        <v>27</v>
      </c>
      <c r="AJ199" s="1"/>
      <c r="AK199" t="s">
        <v>28</v>
      </c>
      <c r="AL19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  <c r="AM199">
        <f>SUM(Rel_2026[[#This Row],[qtd_TrxContabil]:[VLR_EXP_SORTE]])</f>
        <v>60</v>
      </c>
      <c r="AN19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</row>
    <row r="200" spans="1:40" x14ac:dyDescent="0.3">
      <c r="A200" t="str">
        <f>IF(Rel_2026[[#This Row],[Zero]]=0,"Zero",IF(Rel_2026[[#This Row],[Pontuação]]&gt;=10,"Sim",IF(Rel_2026[[#This Row],[Pontuação]]&gt;=5,"Próximo","Não")))</f>
        <v>Não</v>
      </c>
      <c r="B200" t="str">
        <f>IF(Rel_2026[[#This Row],[Zero]]=0,"Zero",IF(Rel_2026[[#This Row],[Pontuação2]]&gt;=10,"Sim",IF(Rel_2026[[#This Row],[Pontuação2]]&gt;=5,"Próximo","Não")))</f>
        <v>Não</v>
      </c>
      <c r="C200" t="str">
        <f>IFERROR(VLOOKUP(Rel_2026[[#This Row],[chave_loja]],Responsavel!A:B,2,FALSE),"EUCLIDES")</f>
        <v>PAULO</v>
      </c>
      <c r="D200" t="str">
        <f>LEFT(Rel_2026[[#This Row],[ag_pacb]],4)</f>
        <v>0937</v>
      </c>
      <c r="E200">
        <v>59775</v>
      </c>
      <c r="F200" t="s">
        <v>1130</v>
      </c>
      <c r="G200" t="s">
        <v>1131</v>
      </c>
      <c r="H200" s="1">
        <v>44229</v>
      </c>
      <c r="I200" t="s">
        <v>107</v>
      </c>
      <c r="J200" t="s">
        <v>1116</v>
      </c>
      <c r="K200" s="1">
        <v>42466</v>
      </c>
      <c r="L200" s="1">
        <v>45548</v>
      </c>
      <c r="M200" t="s">
        <v>109</v>
      </c>
      <c r="N200" s="1">
        <v>46254</v>
      </c>
      <c r="O200">
        <v>1524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s">
        <v>38</v>
      </c>
      <c r="AI200" t="s">
        <v>27</v>
      </c>
      <c r="AJ200" s="1"/>
      <c r="AK200" t="s">
        <v>28</v>
      </c>
      <c r="AL20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00">
        <f>SUM(Rel_2026[[#This Row],[qtd_TrxContabil]:[VLR_EXP_SORTE]])</f>
        <v>1524</v>
      </c>
      <c r="AN20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01" spans="1:40" x14ac:dyDescent="0.3">
      <c r="A201" t="str">
        <f>IF(Rel_2026[[#This Row],[Zero]]=0,"Zero",IF(Rel_2026[[#This Row],[Pontuação]]&gt;=10,"Sim",IF(Rel_2026[[#This Row],[Pontuação]]&gt;=5,"Próximo","Não")))</f>
        <v>Próximo</v>
      </c>
      <c r="B201" t="str">
        <f>IF(Rel_2026[[#This Row],[Zero]]=0,"Zero",IF(Rel_2026[[#This Row],[Pontuação2]]&gt;=10,"Sim",IF(Rel_2026[[#This Row],[Pontuação2]]&gt;=5,"Próximo","Não")))</f>
        <v>Sim</v>
      </c>
      <c r="C201" t="str">
        <f>IFERROR(VLOOKUP(Rel_2026[[#This Row],[chave_loja]],Responsavel!A:B,2,FALSE),"EUCLIDES")</f>
        <v>ROSSY</v>
      </c>
      <c r="D201" t="str">
        <f>LEFT(Rel_2026[[#This Row],[ag_pacb]],4)</f>
        <v>5792</v>
      </c>
      <c r="E201">
        <v>83792</v>
      </c>
      <c r="F201" t="s">
        <v>434</v>
      </c>
      <c r="G201" t="s">
        <v>843</v>
      </c>
      <c r="H201" s="1">
        <v>45120</v>
      </c>
      <c r="I201" t="s">
        <v>107</v>
      </c>
      <c r="J201" t="s">
        <v>844</v>
      </c>
      <c r="K201" s="1">
        <v>42137</v>
      </c>
      <c r="L201" s="1">
        <v>46183</v>
      </c>
      <c r="M201" t="s">
        <v>109</v>
      </c>
      <c r="N201" s="1">
        <v>46254</v>
      </c>
      <c r="O201">
        <v>1816</v>
      </c>
      <c r="P201">
        <v>1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 t="s">
        <v>38</v>
      </c>
      <c r="AI201" t="s">
        <v>27</v>
      </c>
      <c r="AJ201" s="1"/>
      <c r="AK201" t="s">
        <v>28</v>
      </c>
      <c r="AL20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201">
        <f>SUM(Rel_2026[[#This Row],[qtd_TrxContabil]:[VLR_EXP_SORTE]])</f>
        <v>1820</v>
      </c>
      <c r="AN20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202" spans="1:40" x14ac:dyDescent="0.3">
      <c r="A202" t="str">
        <f>IF(Rel_2026[[#This Row],[Zero]]=0,"Zero",IF(Rel_2026[[#This Row],[Pontuação]]&gt;=10,"Sim",IF(Rel_2026[[#This Row],[Pontuação]]&gt;=5,"Próximo","Não")))</f>
        <v>Sim</v>
      </c>
      <c r="B202" t="str">
        <f>IF(Rel_2026[[#This Row],[Zero]]=0,"Zero",IF(Rel_2026[[#This Row],[Pontuação2]]&gt;=10,"Sim",IF(Rel_2026[[#This Row],[Pontuação2]]&gt;=5,"Próximo","Não")))</f>
        <v>Sim</v>
      </c>
      <c r="C202" t="str">
        <f>IFERROR(VLOOKUP(Rel_2026[[#This Row],[chave_loja]],Responsavel!A:B,2,FALSE),"EUCLIDES")</f>
        <v>ROSSY</v>
      </c>
      <c r="D202" t="str">
        <f>LEFT(Rel_2026[[#This Row],[ag_pacb]],4)</f>
        <v>0854</v>
      </c>
      <c r="E202">
        <v>150795</v>
      </c>
      <c r="F202" t="s">
        <v>882</v>
      </c>
      <c r="G202" t="s">
        <v>883</v>
      </c>
      <c r="H202" s="1">
        <v>45154</v>
      </c>
      <c r="I202" t="s">
        <v>875</v>
      </c>
      <c r="J202" t="s">
        <v>876</v>
      </c>
      <c r="K202" s="1">
        <v>42551</v>
      </c>
      <c r="L202" s="1">
        <v>46112</v>
      </c>
      <c r="M202" t="s">
        <v>109</v>
      </c>
      <c r="N202" s="1">
        <v>46254</v>
      </c>
      <c r="O202">
        <v>1524</v>
      </c>
      <c r="P202">
        <v>1</v>
      </c>
      <c r="Q202">
        <v>1</v>
      </c>
      <c r="R202">
        <v>1</v>
      </c>
      <c r="S202">
        <v>0</v>
      </c>
      <c r="T202">
        <v>300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 t="s">
        <v>38</v>
      </c>
      <c r="AI202" t="s">
        <v>27</v>
      </c>
      <c r="AJ202" s="1"/>
      <c r="AK202" t="s">
        <v>28</v>
      </c>
      <c r="AL20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202">
        <f>SUM(Rel_2026[[#This Row],[qtd_TrxContabil]:[VLR_EXP_SORTE]])</f>
        <v>1827</v>
      </c>
      <c r="AN20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</v>
      </c>
    </row>
    <row r="203" spans="1:40" x14ac:dyDescent="0.3">
      <c r="A203" t="str">
        <f>IF(Rel_2026[[#This Row],[Zero]]=0,"Zero",IF(Rel_2026[[#This Row],[Pontuação]]&gt;=10,"Sim",IF(Rel_2026[[#This Row],[Pontuação]]&gt;=5,"Próximo","Não")))</f>
        <v>Próximo</v>
      </c>
      <c r="B203" t="str">
        <f>IF(Rel_2026[[#This Row],[Zero]]=0,"Zero",IF(Rel_2026[[#This Row],[Pontuação2]]&gt;=10,"Sim",IF(Rel_2026[[#This Row],[Pontuação2]]&gt;=5,"Próximo","Não")))</f>
        <v>Próximo</v>
      </c>
      <c r="C203" t="str">
        <f>IFERROR(VLOOKUP(Rel_2026[[#This Row],[chave_loja]],Responsavel!A:B,2,FALSE),"EUCLIDES")</f>
        <v>GIL</v>
      </c>
      <c r="D203" t="str">
        <f>LEFT(Rel_2026[[#This Row],[ag_pacb]],4)</f>
        <v>0715</v>
      </c>
      <c r="E203">
        <v>255367</v>
      </c>
      <c r="F203" t="s">
        <v>200</v>
      </c>
      <c r="G203" t="s">
        <v>201</v>
      </c>
      <c r="H203" s="1">
        <v>45275</v>
      </c>
      <c r="I203" t="s">
        <v>23</v>
      </c>
      <c r="J203" t="s">
        <v>202</v>
      </c>
      <c r="K203" s="1">
        <v>45306</v>
      </c>
      <c r="L203" s="1">
        <v>45331</v>
      </c>
      <c r="M203" t="s">
        <v>32</v>
      </c>
      <c r="N203" s="1">
        <v>46254</v>
      </c>
      <c r="O203">
        <v>372</v>
      </c>
      <c r="P203">
        <v>0</v>
      </c>
      <c r="Q203">
        <v>0</v>
      </c>
      <c r="R203">
        <v>0</v>
      </c>
      <c r="S203">
        <v>0</v>
      </c>
      <c r="T203">
        <v>809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 t="s">
        <v>26</v>
      </c>
      <c r="AI203" t="s">
        <v>27</v>
      </c>
      <c r="AJ203" s="1"/>
      <c r="AK203" t="s">
        <v>28</v>
      </c>
      <c r="AL20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</v>
      </c>
      <c r="AM203">
        <f>SUM(Rel_2026[[#This Row],[qtd_TrxContabil]:[VLR_EXP_SORTE]])</f>
        <v>1181</v>
      </c>
      <c r="AN20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</v>
      </c>
    </row>
    <row r="204" spans="1:40" x14ac:dyDescent="0.3">
      <c r="A204" t="str">
        <f>IF(Rel_2026[[#This Row],[Zero]]=0,"Zero",IF(Rel_2026[[#This Row],[Pontuação]]&gt;=10,"Sim",IF(Rel_2026[[#This Row],[Pontuação]]&gt;=5,"Próximo","Não")))</f>
        <v>Não</v>
      </c>
      <c r="B204" t="str">
        <f>IF(Rel_2026[[#This Row],[Zero]]=0,"Zero",IF(Rel_2026[[#This Row],[Pontuação2]]&gt;=10,"Sim",IF(Rel_2026[[#This Row],[Pontuação2]]&gt;=5,"Próximo","Não")))</f>
        <v>Não</v>
      </c>
      <c r="C204" t="str">
        <f>IFERROR(VLOOKUP(Rel_2026[[#This Row],[chave_loja]],Responsavel!A:B,2,FALSE),"EUCLIDES")</f>
        <v>GIL</v>
      </c>
      <c r="D204" t="str">
        <f>LEFT(Rel_2026[[#This Row],[ag_pacb]],4)</f>
        <v>0715</v>
      </c>
      <c r="E204">
        <v>420055</v>
      </c>
      <c r="F204" t="s">
        <v>782</v>
      </c>
      <c r="G204" t="s">
        <v>783</v>
      </c>
      <c r="H204" s="1">
        <v>46006</v>
      </c>
      <c r="I204" t="s">
        <v>23</v>
      </c>
      <c r="J204" t="s">
        <v>141</v>
      </c>
      <c r="K204" s="1">
        <v>45994</v>
      </c>
      <c r="L204" s="1">
        <v>46048</v>
      </c>
      <c r="M204" t="s">
        <v>32</v>
      </c>
      <c r="N204" s="1">
        <v>46253</v>
      </c>
      <c r="O204">
        <v>114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 t="s">
        <v>38</v>
      </c>
      <c r="AI204" t="s">
        <v>27</v>
      </c>
      <c r="AJ204" s="1"/>
      <c r="AK204" t="s">
        <v>28</v>
      </c>
      <c r="AL20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04">
        <f>SUM(Rel_2026[[#This Row],[qtd_TrxContabil]:[VLR_EXP_SORTE]])</f>
        <v>114</v>
      </c>
      <c r="AN20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05" spans="1:40" x14ac:dyDescent="0.3">
      <c r="A205" t="str">
        <f>IF(Rel_2026[[#This Row],[Zero]]=0,"Zero",IF(Rel_2026[[#This Row],[Pontuação]]&gt;=10,"Sim",IF(Rel_2026[[#This Row],[Pontuação]]&gt;=5,"Próximo","Não")))</f>
        <v>Zero</v>
      </c>
      <c r="B205" t="str">
        <f>IF(Rel_2026[[#This Row],[Zero]]=0,"Zero",IF(Rel_2026[[#This Row],[Pontuação2]]&gt;=10,"Sim",IF(Rel_2026[[#This Row],[Pontuação2]]&gt;=5,"Próximo","Não")))</f>
        <v>Zero</v>
      </c>
      <c r="C205" t="str">
        <f>IFERROR(VLOOKUP(Rel_2026[[#This Row],[chave_loja]],Responsavel!A:B,2,FALSE),"EUCLIDES")</f>
        <v>IVAN</v>
      </c>
      <c r="D205" t="str">
        <f>LEFT(Rel_2026[[#This Row],[ag_pacb]],4)</f>
        <v>0295</v>
      </c>
      <c r="E205">
        <v>402236</v>
      </c>
      <c r="F205" t="s">
        <v>1081</v>
      </c>
      <c r="G205" t="s">
        <v>1036</v>
      </c>
      <c r="H205" s="1">
        <v>45391</v>
      </c>
      <c r="I205" t="s">
        <v>23</v>
      </c>
      <c r="J205" t="s">
        <v>802</v>
      </c>
      <c r="K205" s="1">
        <v>45384</v>
      </c>
      <c r="L205" s="1">
        <v>45407</v>
      </c>
      <c r="M205" t="s">
        <v>32</v>
      </c>
      <c r="N205" s="1">
        <v>46231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s">
        <v>26</v>
      </c>
      <c r="AI205" t="s">
        <v>27</v>
      </c>
      <c r="AJ205" s="1"/>
      <c r="AK205" t="s">
        <v>28</v>
      </c>
      <c r="AL20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05">
        <f>SUM(Rel_2026[[#This Row],[qtd_TrxContabil]:[VLR_EXP_SORTE]])</f>
        <v>0</v>
      </c>
      <c r="AN20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06" spans="1:40" x14ac:dyDescent="0.3">
      <c r="A206" t="str">
        <f>IF(Rel_2026[[#This Row],[Zero]]=0,"Zero",IF(Rel_2026[[#This Row],[Pontuação]]&gt;=10,"Sim",IF(Rel_2026[[#This Row],[Pontuação]]&gt;=5,"Próximo","Não")))</f>
        <v>Não</v>
      </c>
      <c r="B206" t="str">
        <f>IF(Rel_2026[[#This Row],[Zero]]=0,"Zero",IF(Rel_2026[[#This Row],[Pontuação2]]&gt;=10,"Sim",IF(Rel_2026[[#This Row],[Pontuação2]]&gt;=5,"Próximo","Não")))</f>
        <v>Não</v>
      </c>
      <c r="C206" t="str">
        <f>IFERROR(VLOOKUP(Rel_2026[[#This Row],[chave_loja]],Responsavel!A:B,2,FALSE),"EUCLIDES")</f>
        <v>IVAN</v>
      </c>
      <c r="D206" t="str">
        <f>LEFT(Rel_2026[[#This Row],[ag_pacb]],4)</f>
        <v>0716</v>
      </c>
      <c r="E206">
        <v>415998</v>
      </c>
      <c r="F206" t="s">
        <v>1167</v>
      </c>
      <c r="G206" t="s">
        <v>1168</v>
      </c>
      <c r="H206" s="1">
        <v>45898</v>
      </c>
      <c r="I206" t="s">
        <v>23</v>
      </c>
      <c r="J206" t="s">
        <v>178</v>
      </c>
      <c r="K206" s="1">
        <v>45889</v>
      </c>
      <c r="L206" s="1">
        <v>45954</v>
      </c>
      <c r="M206" t="s">
        <v>25</v>
      </c>
      <c r="N206" s="1">
        <v>46249</v>
      </c>
      <c r="O206">
        <v>8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 t="s">
        <v>38</v>
      </c>
      <c r="AI206" t="s">
        <v>27</v>
      </c>
      <c r="AJ206" s="1"/>
      <c r="AK206" t="s">
        <v>28</v>
      </c>
      <c r="AL20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06">
        <f>SUM(Rel_2026[[#This Row],[qtd_TrxContabil]:[VLR_EXP_SORTE]])</f>
        <v>8</v>
      </c>
      <c r="AN20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07" spans="1:40" x14ac:dyDescent="0.3">
      <c r="A207" t="str">
        <f>IF(Rel_2026[[#This Row],[Zero]]=0,"Zero",IF(Rel_2026[[#This Row],[Pontuação]]&gt;=10,"Sim",IF(Rel_2026[[#This Row],[Pontuação]]&gt;=5,"Próximo","Não")))</f>
        <v>Sim</v>
      </c>
      <c r="B207" t="str">
        <f>IF(Rel_2026[[#This Row],[Zero]]=0,"Zero",IF(Rel_2026[[#This Row],[Pontuação2]]&gt;=10,"Sim",IF(Rel_2026[[#This Row],[Pontuação2]]&gt;=5,"Próximo","Não")))</f>
        <v>Sim</v>
      </c>
      <c r="C207" t="str">
        <f>IFERROR(VLOOKUP(Rel_2026[[#This Row],[chave_loja]],Responsavel!A:B,2,FALSE),"EUCLIDES")</f>
        <v>ALEX SIQUEIRA</v>
      </c>
      <c r="D207" t="str">
        <f>LEFT(Rel_2026[[#This Row],[ag_pacb]],4)</f>
        <v>0458</v>
      </c>
      <c r="E207">
        <v>100026</v>
      </c>
      <c r="F207" t="s">
        <v>334</v>
      </c>
      <c r="G207" t="s">
        <v>335</v>
      </c>
      <c r="H207" s="1">
        <v>45405</v>
      </c>
      <c r="I207" t="s">
        <v>23</v>
      </c>
      <c r="J207" t="s">
        <v>250</v>
      </c>
      <c r="K207" s="1">
        <v>42122</v>
      </c>
      <c r="L207" s="1">
        <v>45495</v>
      </c>
      <c r="M207" t="s">
        <v>32</v>
      </c>
      <c r="N207" s="1">
        <v>46254</v>
      </c>
      <c r="O207">
        <v>436</v>
      </c>
      <c r="P207">
        <v>3</v>
      </c>
      <c r="Q207">
        <v>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 t="s">
        <v>26</v>
      </c>
      <c r="AI207" t="s">
        <v>27</v>
      </c>
      <c r="AJ207" s="1"/>
      <c r="AK207" t="s">
        <v>28</v>
      </c>
      <c r="AL20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  <c r="AM207">
        <f>SUM(Rel_2026[[#This Row],[qtd_TrxContabil]:[VLR_EXP_SORTE]])</f>
        <v>442</v>
      </c>
      <c r="AN20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</row>
    <row r="208" spans="1:40" x14ac:dyDescent="0.3">
      <c r="A208" t="str">
        <f>IF(Rel_2026[[#This Row],[Zero]]=0,"Zero",IF(Rel_2026[[#This Row],[Pontuação]]&gt;=10,"Sim",IF(Rel_2026[[#This Row],[Pontuação]]&gt;=5,"Próximo","Não")))</f>
        <v>Não</v>
      </c>
      <c r="B208" t="str">
        <f>IF(Rel_2026[[#This Row],[Zero]]=0,"Zero",IF(Rel_2026[[#This Row],[Pontuação2]]&gt;=10,"Sim",IF(Rel_2026[[#This Row],[Pontuação2]]&gt;=5,"Próximo","Não")))</f>
        <v>Não</v>
      </c>
      <c r="C208" t="str">
        <f>IFERROR(VLOOKUP(Rel_2026[[#This Row],[chave_loja]],Responsavel!A:B,2,FALSE),"EUCLIDES")</f>
        <v>ROSSY</v>
      </c>
      <c r="D208" t="str">
        <f>LEFT(Rel_2026[[#This Row],[ag_pacb]],4)</f>
        <v>3848</v>
      </c>
      <c r="E208">
        <v>44993</v>
      </c>
      <c r="F208" t="s">
        <v>812</v>
      </c>
      <c r="G208" t="s">
        <v>1229</v>
      </c>
      <c r="H208" s="1">
        <v>45119</v>
      </c>
      <c r="I208" t="s">
        <v>107</v>
      </c>
      <c r="J208" t="s">
        <v>813</v>
      </c>
      <c r="K208" s="1">
        <v>42464</v>
      </c>
      <c r="L208" s="1">
        <v>44792</v>
      </c>
      <c r="M208" t="s">
        <v>109</v>
      </c>
      <c r="N208" s="1">
        <v>46254</v>
      </c>
      <c r="O208">
        <v>294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 t="s">
        <v>38</v>
      </c>
      <c r="AI208" t="s">
        <v>27</v>
      </c>
      <c r="AJ208" s="1"/>
      <c r="AK208" t="s">
        <v>28</v>
      </c>
      <c r="AL20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08">
        <f>SUM(Rel_2026[[#This Row],[qtd_TrxContabil]:[VLR_EXP_SORTE]])</f>
        <v>294</v>
      </c>
      <c r="AN20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09" spans="1:40" x14ac:dyDescent="0.3">
      <c r="A209" t="str">
        <f>IF(Rel_2026[[#This Row],[Zero]]=0,"Zero",IF(Rel_2026[[#This Row],[Pontuação]]&gt;=10,"Sim",IF(Rel_2026[[#This Row],[Pontuação]]&gt;=5,"Próximo","Não")))</f>
        <v>Sim</v>
      </c>
      <c r="B209" t="str">
        <f>IF(Rel_2026[[#This Row],[Zero]]=0,"Zero",IF(Rel_2026[[#This Row],[Pontuação2]]&gt;=10,"Sim",IF(Rel_2026[[#This Row],[Pontuação2]]&gt;=5,"Próximo","Não")))</f>
        <v>Sim</v>
      </c>
      <c r="C209" t="str">
        <f>IFERROR(VLOOKUP(Rel_2026[[#This Row],[chave_loja]],Responsavel!A:B,2,FALSE),"EUCLIDES")</f>
        <v>ROSSY</v>
      </c>
      <c r="D209" t="str">
        <f>LEFT(Rel_2026[[#This Row],[ag_pacb]],4)</f>
        <v>5798</v>
      </c>
      <c r="E209">
        <v>62735</v>
      </c>
      <c r="F209" t="s">
        <v>403</v>
      </c>
      <c r="G209" t="s">
        <v>404</v>
      </c>
      <c r="H209" s="1">
        <v>44237</v>
      </c>
      <c r="I209" t="s">
        <v>107</v>
      </c>
      <c r="J209" t="s">
        <v>405</v>
      </c>
      <c r="K209" s="1">
        <v>42256</v>
      </c>
      <c r="L209" s="1">
        <v>46100</v>
      </c>
      <c r="M209" t="s">
        <v>109</v>
      </c>
      <c r="N209" s="1">
        <v>46254</v>
      </c>
      <c r="O209">
        <v>1445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10000</v>
      </c>
      <c r="V209">
        <v>10000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 t="s">
        <v>38</v>
      </c>
      <c r="AI209" t="s">
        <v>27</v>
      </c>
      <c r="AJ209" s="1"/>
      <c r="AK209" t="s">
        <v>28</v>
      </c>
      <c r="AL20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209">
        <f>SUM(Rel_2026[[#This Row],[qtd_TrxContabil]:[VLR_EXP_SORTE]])</f>
        <v>21445</v>
      </c>
      <c r="AN20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210" spans="1:40" x14ac:dyDescent="0.3">
      <c r="A210" t="str">
        <f>IF(Rel_2026[[#This Row],[Zero]]=0,"Zero",IF(Rel_2026[[#This Row],[Pontuação]]&gt;=10,"Sim",IF(Rel_2026[[#This Row],[Pontuação]]&gt;=5,"Próximo","Não")))</f>
        <v>Não</v>
      </c>
      <c r="B210" t="str">
        <f>IF(Rel_2026[[#This Row],[Zero]]=0,"Zero",IF(Rel_2026[[#This Row],[Pontuação2]]&gt;=10,"Sim",IF(Rel_2026[[#This Row],[Pontuação2]]&gt;=5,"Próximo","Não")))</f>
        <v>Não</v>
      </c>
      <c r="C210" t="str">
        <f>IFERROR(VLOOKUP(Rel_2026[[#This Row],[chave_loja]],Responsavel!A:B,2,FALSE),"EUCLIDES")</f>
        <v>GIL</v>
      </c>
      <c r="D210" t="str">
        <f>LEFT(Rel_2026[[#This Row],[ag_pacb]],4)</f>
        <v>5387</v>
      </c>
      <c r="E210">
        <v>170580</v>
      </c>
      <c r="F210" t="s">
        <v>625</v>
      </c>
      <c r="G210" t="s">
        <v>626</v>
      </c>
      <c r="H210" s="1">
        <v>46223</v>
      </c>
      <c r="I210" t="s">
        <v>23</v>
      </c>
      <c r="J210" t="s">
        <v>74</v>
      </c>
      <c r="K210" s="1">
        <v>43438</v>
      </c>
      <c r="L210" s="1">
        <v>46253</v>
      </c>
      <c r="M210" t="s">
        <v>32</v>
      </c>
      <c r="N210" s="1">
        <v>46252</v>
      </c>
      <c r="O210">
        <v>723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 t="s">
        <v>38</v>
      </c>
      <c r="AI210" t="s">
        <v>27</v>
      </c>
      <c r="AJ210" s="1"/>
      <c r="AK210" t="s">
        <v>28</v>
      </c>
      <c r="AL2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10">
        <f>SUM(Rel_2026[[#This Row],[qtd_TrxContabil]:[VLR_EXP_SORTE]])</f>
        <v>723</v>
      </c>
      <c r="AN2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11" spans="1:40" x14ac:dyDescent="0.3">
      <c r="A211" t="str">
        <f>IF(Rel_2026[[#This Row],[Zero]]=0,"Zero",IF(Rel_2026[[#This Row],[Pontuação]]&gt;=10,"Sim",IF(Rel_2026[[#This Row],[Pontuação]]&gt;=5,"Próximo","Não")))</f>
        <v>Não</v>
      </c>
      <c r="B211" t="str">
        <f>IF(Rel_2026[[#This Row],[Zero]]=0,"Zero",IF(Rel_2026[[#This Row],[Pontuação2]]&gt;=10,"Sim",IF(Rel_2026[[#This Row],[Pontuação2]]&gt;=5,"Próximo","Não")))</f>
        <v>Próximo</v>
      </c>
      <c r="C211" t="str">
        <f>IFERROR(VLOOKUP(Rel_2026[[#This Row],[chave_loja]],Responsavel!A:B,2,FALSE),"EUCLIDES")</f>
        <v>CÉLIO</v>
      </c>
      <c r="D211" t="str">
        <f>LEFT(Rel_2026[[#This Row],[ag_pacb]],4)</f>
        <v>0713</v>
      </c>
      <c r="E211">
        <v>185578</v>
      </c>
      <c r="F211" t="s">
        <v>569</v>
      </c>
      <c r="G211" t="s">
        <v>570</v>
      </c>
      <c r="H211" s="1">
        <v>45083</v>
      </c>
      <c r="I211" t="s">
        <v>23</v>
      </c>
      <c r="J211" t="s">
        <v>24</v>
      </c>
      <c r="K211" s="1">
        <v>45306</v>
      </c>
      <c r="L211" s="1">
        <v>45030</v>
      </c>
      <c r="M211" t="s">
        <v>25</v>
      </c>
      <c r="N211" s="1">
        <v>46254</v>
      </c>
      <c r="O211">
        <v>312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 t="s">
        <v>26</v>
      </c>
      <c r="AI211" t="s">
        <v>27</v>
      </c>
      <c r="AJ211" s="1"/>
      <c r="AK211" t="s">
        <v>28</v>
      </c>
      <c r="AL2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211">
        <f>SUM(Rel_2026[[#This Row],[qtd_TrxContabil]:[VLR_EXP_SORTE]])</f>
        <v>314</v>
      </c>
      <c r="AN2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212" spans="1:40" x14ac:dyDescent="0.3">
      <c r="A212" t="str">
        <f>IF(Rel_2026[[#This Row],[Zero]]=0,"Zero",IF(Rel_2026[[#This Row],[Pontuação]]&gt;=10,"Sim",IF(Rel_2026[[#This Row],[Pontuação]]&gt;=5,"Próximo","Não")))</f>
        <v>Sim</v>
      </c>
      <c r="B212" t="str">
        <f>IF(Rel_2026[[#This Row],[Zero]]=0,"Zero",IF(Rel_2026[[#This Row],[Pontuação2]]&gt;=10,"Sim",IF(Rel_2026[[#This Row],[Pontuação2]]&gt;=5,"Próximo","Não")))</f>
        <v>Sim</v>
      </c>
      <c r="C212" t="str">
        <f>IFERROR(VLOOKUP(Rel_2026[[#This Row],[chave_loja]],Responsavel!A:B,2,FALSE),"EUCLIDES")</f>
        <v>NYCOLLAS</v>
      </c>
      <c r="D212" t="str">
        <f>LEFT(Rel_2026[[#This Row],[ag_pacb]],4)</f>
        <v>0719</v>
      </c>
      <c r="E212">
        <v>409107</v>
      </c>
      <c r="F212" t="s">
        <v>1376</v>
      </c>
      <c r="G212" t="s">
        <v>1377</v>
      </c>
      <c r="H212" s="1">
        <v>45686</v>
      </c>
      <c r="I212" t="s">
        <v>23</v>
      </c>
      <c r="J212" t="s">
        <v>127</v>
      </c>
      <c r="K212" s="1">
        <v>45674</v>
      </c>
      <c r="L212" s="1">
        <v>45706</v>
      </c>
      <c r="M212" t="s">
        <v>32</v>
      </c>
      <c r="N212" s="1">
        <v>46253</v>
      </c>
      <c r="O212">
        <v>141</v>
      </c>
      <c r="P212">
        <v>10</v>
      </c>
      <c r="Q212">
        <v>4</v>
      </c>
      <c r="R212">
        <v>10</v>
      </c>
      <c r="S212">
        <v>0</v>
      </c>
      <c r="T212">
        <v>0</v>
      </c>
      <c r="U212">
        <v>20386</v>
      </c>
      <c r="V212">
        <v>20386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0</v>
      </c>
      <c r="AC212">
        <v>0</v>
      </c>
      <c r="AD212">
        <v>2</v>
      </c>
      <c r="AE212">
        <v>15</v>
      </c>
      <c r="AF212">
        <v>14</v>
      </c>
      <c r="AG212">
        <v>50</v>
      </c>
      <c r="AH212" t="s">
        <v>26</v>
      </c>
      <c r="AI212" t="s">
        <v>27</v>
      </c>
      <c r="AJ212" s="1"/>
      <c r="AK212" t="s">
        <v>28</v>
      </c>
      <c r="AL2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87</v>
      </c>
      <c r="AM212">
        <f>SUM(Rel_2026[[#This Row],[qtd_TrxContabil]:[VLR_EXP_SORTE]])</f>
        <v>41021</v>
      </c>
      <c r="AN2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117</v>
      </c>
    </row>
    <row r="213" spans="1:40" x14ac:dyDescent="0.3">
      <c r="A213" t="str">
        <f>IF(Rel_2026[[#This Row],[Zero]]=0,"Zero",IF(Rel_2026[[#This Row],[Pontuação]]&gt;=10,"Sim",IF(Rel_2026[[#This Row],[Pontuação]]&gt;=5,"Próximo","Não")))</f>
        <v>Não</v>
      </c>
      <c r="B213" t="str">
        <f>IF(Rel_2026[[#This Row],[Zero]]=0,"Zero",IF(Rel_2026[[#This Row],[Pontuação2]]&gt;=10,"Sim",IF(Rel_2026[[#This Row],[Pontuação2]]&gt;=5,"Próximo","Não")))</f>
        <v>Não</v>
      </c>
      <c r="C213" t="str">
        <f>IFERROR(VLOOKUP(Rel_2026[[#This Row],[chave_loja]],Responsavel!A:B,2,FALSE),"EUCLIDES")</f>
        <v>JUNIOR</v>
      </c>
      <c r="D213" t="str">
        <f>LEFT(Rel_2026[[#This Row],[ag_pacb]],4)</f>
        <v>1351</v>
      </c>
      <c r="E213">
        <v>409253</v>
      </c>
      <c r="F213" t="s">
        <v>1039</v>
      </c>
      <c r="G213" t="s">
        <v>1040</v>
      </c>
      <c r="H213" s="1">
        <v>45687</v>
      </c>
      <c r="I213" t="s">
        <v>23</v>
      </c>
      <c r="J213" t="s">
        <v>993</v>
      </c>
      <c r="K213" s="1">
        <v>45680</v>
      </c>
      <c r="L213" s="1">
        <v>45699</v>
      </c>
      <c r="M213" t="s">
        <v>32</v>
      </c>
      <c r="N213" s="1">
        <v>46254</v>
      </c>
      <c r="O213">
        <v>254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 t="s">
        <v>26</v>
      </c>
      <c r="AI213" t="s">
        <v>27</v>
      </c>
      <c r="AJ213" s="1"/>
      <c r="AK213" t="s">
        <v>28</v>
      </c>
      <c r="AL2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13">
        <f>SUM(Rel_2026[[#This Row],[qtd_TrxContabil]:[VLR_EXP_SORTE]])</f>
        <v>254</v>
      </c>
      <c r="AN2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14" spans="1:40" x14ac:dyDescent="0.3">
      <c r="A214" t="str">
        <f>IF(Rel_2026[[#This Row],[Zero]]=0,"Zero",IF(Rel_2026[[#This Row],[Pontuação]]&gt;=10,"Sim",IF(Rel_2026[[#This Row],[Pontuação]]&gt;=5,"Próximo","Não")))</f>
        <v>Sim</v>
      </c>
      <c r="B214" t="str">
        <f>IF(Rel_2026[[#This Row],[Zero]]=0,"Zero",IF(Rel_2026[[#This Row],[Pontuação2]]&gt;=10,"Sim",IF(Rel_2026[[#This Row],[Pontuação2]]&gt;=5,"Próximo","Não")))</f>
        <v>Sim</v>
      </c>
      <c r="C214" t="str">
        <f>IFERROR(VLOOKUP(Rel_2026[[#This Row],[chave_loja]],Responsavel!A:B,2,FALSE),"EUCLIDES")</f>
        <v>NYCOLLAS</v>
      </c>
      <c r="D214" t="str">
        <f>LEFT(Rel_2026[[#This Row],[ag_pacb]],4)</f>
        <v>5447</v>
      </c>
      <c r="E214">
        <v>414960</v>
      </c>
      <c r="F214" t="s">
        <v>110</v>
      </c>
      <c r="G214" t="s">
        <v>111</v>
      </c>
      <c r="H214" s="1">
        <v>45864</v>
      </c>
      <c r="I214" t="s">
        <v>23</v>
      </c>
      <c r="J214" t="s">
        <v>67</v>
      </c>
      <c r="K214" s="1">
        <v>45859</v>
      </c>
      <c r="L214" s="1">
        <v>45875</v>
      </c>
      <c r="M214" t="s">
        <v>32</v>
      </c>
      <c r="N214" s="1">
        <v>46252</v>
      </c>
      <c r="O214">
        <v>62</v>
      </c>
      <c r="P214">
        <v>2</v>
      </c>
      <c r="Q214">
        <v>2</v>
      </c>
      <c r="R214">
        <v>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2</v>
      </c>
      <c r="AG214">
        <v>0</v>
      </c>
      <c r="AH214" t="s">
        <v>26</v>
      </c>
      <c r="AI214" t="s">
        <v>27</v>
      </c>
      <c r="AJ214" s="1"/>
      <c r="AK214" t="s">
        <v>28</v>
      </c>
      <c r="AL2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214">
        <f>SUM(Rel_2026[[#This Row],[qtd_TrxContabil]:[VLR_EXP_SORTE]])</f>
        <v>70</v>
      </c>
      <c r="AN2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215" spans="1:40" x14ac:dyDescent="0.3">
      <c r="A215" t="str">
        <f>IF(Rel_2026[[#This Row],[Zero]]=0,"Zero",IF(Rel_2026[[#This Row],[Pontuação]]&gt;=10,"Sim",IF(Rel_2026[[#This Row],[Pontuação]]&gt;=5,"Próximo","Não")))</f>
        <v>Sim</v>
      </c>
      <c r="B215" t="str">
        <f>IF(Rel_2026[[#This Row],[Zero]]=0,"Zero",IF(Rel_2026[[#This Row],[Pontuação2]]&gt;=10,"Sim",IF(Rel_2026[[#This Row],[Pontuação2]]&gt;=5,"Próximo","Não")))</f>
        <v>Sim</v>
      </c>
      <c r="C215" t="str">
        <f>IFERROR(VLOOKUP(Rel_2026[[#This Row],[chave_loja]],Responsavel!A:B,2,FALSE),"EUCLIDES")</f>
        <v>ROSSY</v>
      </c>
      <c r="D215" t="str">
        <f>LEFT(Rel_2026[[#This Row],[ag_pacb]],4)</f>
        <v>5792</v>
      </c>
      <c r="E215">
        <v>45741</v>
      </c>
      <c r="F215" t="s">
        <v>814</v>
      </c>
      <c r="G215" t="s">
        <v>815</v>
      </c>
      <c r="H215" s="1">
        <v>44566</v>
      </c>
      <c r="I215" t="s">
        <v>107</v>
      </c>
      <c r="J215" t="s">
        <v>816</v>
      </c>
      <c r="K215" s="1">
        <v>43915</v>
      </c>
      <c r="L215" s="1">
        <v>46156</v>
      </c>
      <c r="M215" t="s">
        <v>109</v>
      </c>
      <c r="N215" s="1">
        <v>46254</v>
      </c>
      <c r="O215">
        <v>558</v>
      </c>
      <c r="P215">
        <v>0</v>
      </c>
      <c r="Q215">
        <v>0</v>
      </c>
      <c r="R215">
        <v>0</v>
      </c>
      <c r="S215">
        <v>0</v>
      </c>
      <c r="T215">
        <v>1500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s">
        <v>26</v>
      </c>
      <c r="AI215" t="s">
        <v>27</v>
      </c>
      <c r="AJ215" s="1"/>
      <c r="AK215" t="s">
        <v>28</v>
      </c>
      <c r="AL2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15</v>
      </c>
      <c r="AM215">
        <f>SUM(Rel_2026[[#This Row],[qtd_TrxContabil]:[VLR_EXP_SORTE]])</f>
        <v>2058</v>
      </c>
      <c r="AN2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15</v>
      </c>
    </row>
    <row r="216" spans="1:40" x14ac:dyDescent="0.3">
      <c r="A216" t="str">
        <f>IF(Rel_2026[[#This Row],[Zero]]=0,"Zero",IF(Rel_2026[[#This Row],[Pontuação]]&gt;=10,"Sim",IF(Rel_2026[[#This Row],[Pontuação]]&gt;=5,"Próximo","Não")))</f>
        <v>Próximo</v>
      </c>
      <c r="B216" t="str">
        <f>IF(Rel_2026[[#This Row],[Zero]]=0,"Zero",IF(Rel_2026[[#This Row],[Pontuação2]]&gt;=10,"Sim",IF(Rel_2026[[#This Row],[Pontuação2]]&gt;=5,"Próximo","Não")))</f>
        <v>Sim</v>
      </c>
      <c r="C216" t="str">
        <f>IFERROR(VLOOKUP(Rel_2026[[#This Row],[chave_loja]],Responsavel!A:B,2,FALSE),"EUCLIDES")</f>
        <v>JUNIOR</v>
      </c>
      <c r="D216" t="str">
        <f>LEFT(Rel_2026[[#This Row],[ag_pacb]],4)</f>
        <v>5367</v>
      </c>
      <c r="E216">
        <v>99624</v>
      </c>
      <c r="F216" t="s">
        <v>94</v>
      </c>
      <c r="G216" t="s">
        <v>95</v>
      </c>
      <c r="H216" s="1">
        <v>46149</v>
      </c>
      <c r="I216" t="s">
        <v>23</v>
      </c>
      <c r="J216" t="s">
        <v>96</v>
      </c>
      <c r="K216" s="1">
        <v>42144</v>
      </c>
      <c r="L216" s="1">
        <v>45352</v>
      </c>
      <c r="M216" t="s">
        <v>32</v>
      </c>
      <c r="N216" s="1">
        <v>46254</v>
      </c>
      <c r="O216">
        <v>272</v>
      </c>
      <c r="P216">
        <v>1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 t="s">
        <v>26</v>
      </c>
      <c r="AI216" t="s">
        <v>27</v>
      </c>
      <c r="AJ216" s="1"/>
      <c r="AK216" t="s">
        <v>28</v>
      </c>
      <c r="AL2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216">
        <f>SUM(Rel_2026[[#This Row],[qtd_TrxContabil]:[VLR_EXP_SORTE]])</f>
        <v>276</v>
      </c>
      <c r="AN2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217" spans="1:40" x14ac:dyDescent="0.3">
      <c r="A217" t="str">
        <f>IF(Rel_2026[[#This Row],[Zero]]=0,"Zero",IF(Rel_2026[[#This Row],[Pontuação]]&gt;=10,"Sim",IF(Rel_2026[[#This Row],[Pontuação]]&gt;=5,"Próximo","Não")))</f>
        <v>Sim</v>
      </c>
      <c r="B217" t="str">
        <f>IF(Rel_2026[[#This Row],[Zero]]=0,"Zero",IF(Rel_2026[[#This Row],[Pontuação2]]&gt;=10,"Sim",IF(Rel_2026[[#This Row],[Pontuação2]]&gt;=5,"Próximo","Não")))</f>
        <v>Sim</v>
      </c>
      <c r="C217" t="str">
        <f>IFERROR(VLOOKUP(Rel_2026[[#This Row],[chave_loja]],Responsavel!A:B,2,FALSE),"EUCLIDES")</f>
        <v>NYCOLLAS</v>
      </c>
      <c r="D217" t="str">
        <f>LEFT(Rel_2026[[#This Row],[ag_pacb]],4)</f>
        <v>0719</v>
      </c>
      <c r="E217">
        <v>147738</v>
      </c>
      <c r="F217" t="s">
        <v>503</v>
      </c>
      <c r="G217" t="s">
        <v>504</v>
      </c>
      <c r="H217" s="1">
        <v>44335</v>
      </c>
      <c r="I217" t="s">
        <v>23</v>
      </c>
      <c r="J217" t="s">
        <v>127</v>
      </c>
      <c r="K217" s="1">
        <v>42404</v>
      </c>
      <c r="L217" s="1">
        <v>46105</v>
      </c>
      <c r="M217" t="s">
        <v>32</v>
      </c>
      <c r="N217" s="1">
        <v>46254</v>
      </c>
      <c r="O217">
        <v>2319</v>
      </c>
      <c r="P217">
        <v>4</v>
      </c>
      <c r="Q217">
        <v>4</v>
      </c>
      <c r="R217">
        <v>3</v>
      </c>
      <c r="S217">
        <v>0</v>
      </c>
      <c r="T217">
        <v>300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4</v>
      </c>
      <c r="AG217">
        <v>135</v>
      </c>
      <c r="AH217" t="s">
        <v>38</v>
      </c>
      <c r="AI217" t="s">
        <v>27</v>
      </c>
      <c r="AJ217" s="1"/>
      <c r="AK217" t="s">
        <v>28</v>
      </c>
      <c r="AL2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34</v>
      </c>
      <c r="AM217">
        <f>SUM(Rel_2026[[#This Row],[qtd_TrxContabil]:[VLR_EXP_SORTE]])</f>
        <v>2769</v>
      </c>
      <c r="AN2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43</v>
      </c>
    </row>
    <row r="218" spans="1:40" x14ac:dyDescent="0.3">
      <c r="A218" t="str">
        <f>IF(Rel_2026[[#This Row],[Zero]]=0,"Zero",IF(Rel_2026[[#This Row],[Pontuação]]&gt;=10,"Sim",IF(Rel_2026[[#This Row],[Pontuação]]&gt;=5,"Próximo","Não")))</f>
        <v>Zero</v>
      </c>
      <c r="B218" t="str">
        <f>IF(Rel_2026[[#This Row],[Zero]]=0,"Zero",IF(Rel_2026[[#This Row],[Pontuação2]]&gt;=10,"Sim",IF(Rel_2026[[#This Row],[Pontuação2]]&gt;=5,"Próximo","Não")))</f>
        <v>Zero</v>
      </c>
      <c r="C218" t="str">
        <f>IFERROR(VLOOKUP(Rel_2026[[#This Row],[chave_loja]],Responsavel!A:B,2,FALSE),"EUCLIDES")</f>
        <v>CÉLIO</v>
      </c>
      <c r="D218" t="str">
        <f>LEFT(Rel_2026[[#This Row],[ag_pacb]],4)</f>
        <v>0713</v>
      </c>
      <c r="E218">
        <v>185723</v>
      </c>
      <c r="F218" t="s">
        <v>443</v>
      </c>
      <c r="G218" t="s">
        <v>444</v>
      </c>
      <c r="H218" s="1">
        <v>45139</v>
      </c>
      <c r="I218" t="s">
        <v>23</v>
      </c>
      <c r="J218" t="s">
        <v>24</v>
      </c>
      <c r="K218" s="1">
        <v>45306</v>
      </c>
      <c r="L218" s="1">
        <v>45755</v>
      </c>
      <c r="M218" t="s">
        <v>25</v>
      </c>
      <c r="N218" s="1">
        <v>46226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 t="s">
        <v>26</v>
      </c>
      <c r="AI218" t="s">
        <v>27</v>
      </c>
      <c r="AJ218" s="1"/>
      <c r="AK218" t="s">
        <v>28</v>
      </c>
      <c r="AL2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18">
        <f>SUM(Rel_2026[[#This Row],[qtd_TrxContabil]:[VLR_EXP_SORTE]])</f>
        <v>0</v>
      </c>
      <c r="AN2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19" spans="1:40" x14ac:dyDescent="0.3">
      <c r="A219" t="str">
        <f>IF(Rel_2026[[#This Row],[Zero]]=0,"Zero",IF(Rel_2026[[#This Row],[Pontuação]]&gt;=10,"Sim",IF(Rel_2026[[#This Row],[Pontuação]]&gt;=5,"Próximo","Não")))</f>
        <v>Próximo</v>
      </c>
      <c r="B219" t="str">
        <f>IF(Rel_2026[[#This Row],[Zero]]=0,"Zero",IF(Rel_2026[[#This Row],[Pontuação2]]&gt;=10,"Sim",IF(Rel_2026[[#This Row],[Pontuação2]]&gt;=5,"Próximo","Não")))</f>
        <v>Sim</v>
      </c>
      <c r="C219" t="str">
        <f>IFERROR(VLOOKUP(Rel_2026[[#This Row],[chave_loja]],Responsavel!A:B,2,FALSE),"EUCLIDES")</f>
        <v>IVAN</v>
      </c>
      <c r="D219" t="str">
        <f>LEFT(Rel_2026[[#This Row],[ag_pacb]],4)</f>
        <v>0711</v>
      </c>
      <c r="E219">
        <v>238716</v>
      </c>
      <c r="F219" t="s">
        <v>451</v>
      </c>
      <c r="G219" t="s">
        <v>564</v>
      </c>
      <c r="H219" s="1">
        <v>45505</v>
      </c>
      <c r="I219" t="s">
        <v>23</v>
      </c>
      <c r="J219" t="s">
        <v>41</v>
      </c>
      <c r="K219" s="1">
        <v>44810</v>
      </c>
      <c r="L219" s="1">
        <v>44966</v>
      </c>
      <c r="M219" t="s">
        <v>25</v>
      </c>
      <c r="N219" s="1">
        <v>46254</v>
      </c>
      <c r="O219">
        <v>95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1</v>
      </c>
      <c r="AG219">
        <v>0</v>
      </c>
      <c r="AH219" t="s">
        <v>26</v>
      </c>
      <c r="AI219" t="s">
        <v>27</v>
      </c>
      <c r="AJ219" s="1"/>
      <c r="AK219" t="s">
        <v>28</v>
      </c>
      <c r="AL21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219">
        <f>SUM(Rel_2026[[#This Row],[qtd_TrxContabil]:[VLR_EXP_SORTE]])</f>
        <v>101</v>
      </c>
      <c r="AN21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220" spans="1:40" x14ac:dyDescent="0.3">
      <c r="A220" t="str">
        <f>IF(Rel_2026[[#This Row],[Zero]]=0,"Zero",IF(Rel_2026[[#This Row],[Pontuação]]&gt;=10,"Sim",IF(Rel_2026[[#This Row],[Pontuação]]&gt;=5,"Próximo","Não")))</f>
        <v>Zero</v>
      </c>
      <c r="B220" t="str">
        <f>IF(Rel_2026[[#This Row],[Zero]]=0,"Zero",IF(Rel_2026[[#This Row],[Pontuação2]]&gt;=10,"Sim",IF(Rel_2026[[#This Row],[Pontuação2]]&gt;=5,"Próximo","Não")))</f>
        <v>Zero</v>
      </c>
      <c r="C220" t="str">
        <f>IFERROR(VLOOKUP(Rel_2026[[#This Row],[chave_loja]],Responsavel!A:B,2,FALSE),"EUCLIDES")</f>
        <v>CÉLIO</v>
      </c>
      <c r="D220" t="str">
        <f>LEFT(Rel_2026[[#This Row],[ag_pacb]],4)</f>
        <v>1379</v>
      </c>
      <c r="E220">
        <v>417965</v>
      </c>
      <c r="F220" t="s">
        <v>1044</v>
      </c>
      <c r="G220" t="s">
        <v>1045</v>
      </c>
      <c r="H220" s="1">
        <v>45937</v>
      </c>
      <c r="I220" t="s">
        <v>23</v>
      </c>
      <c r="J220" t="s">
        <v>24</v>
      </c>
      <c r="K220" s="1">
        <v>45922</v>
      </c>
      <c r="L220" s="1">
        <v>45951</v>
      </c>
      <c r="M220" t="s">
        <v>32</v>
      </c>
      <c r="N220" s="1">
        <v>46217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t="s">
        <v>26</v>
      </c>
      <c r="AI220" t="s">
        <v>27</v>
      </c>
      <c r="AJ220" s="1"/>
      <c r="AK220" t="s">
        <v>28</v>
      </c>
      <c r="AL22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20">
        <f>SUM(Rel_2026[[#This Row],[qtd_TrxContabil]:[VLR_EXP_SORTE]])</f>
        <v>0</v>
      </c>
      <c r="AN22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21" spans="1:40" x14ac:dyDescent="0.3">
      <c r="A221" t="str">
        <f>IF(Rel_2026[[#This Row],[Zero]]=0,"Zero",IF(Rel_2026[[#This Row],[Pontuação]]&gt;=10,"Sim",IF(Rel_2026[[#This Row],[Pontuação]]&gt;=5,"Próximo","Não")))</f>
        <v>Próximo</v>
      </c>
      <c r="B221" t="str">
        <f>IF(Rel_2026[[#This Row],[Zero]]=0,"Zero",IF(Rel_2026[[#This Row],[Pontuação2]]&gt;=10,"Sim",IF(Rel_2026[[#This Row],[Pontuação2]]&gt;=5,"Próximo","Não")))</f>
        <v>Sim</v>
      </c>
      <c r="C221" t="str">
        <f>IFERROR(VLOOKUP(Rel_2026[[#This Row],[chave_loja]],Responsavel!A:B,2,FALSE),"EUCLIDES")</f>
        <v>IVAN</v>
      </c>
      <c r="D221" t="str">
        <f>LEFT(Rel_2026[[#This Row],[ag_pacb]],4)</f>
        <v>0716</v>
      </c>
      <c r="E221">
        <v>419929</v>
      </c>
      <c r="F221" t="s">
        <v>785</v>
      </c>
      <c r="G221" t="s">
        <v>786</v>
      </c>
      <c r="H221" s="1">
        <v>46007</v>
      </c>
      <c r="I221" t="s">
        <v>23</v>
      </c>
      <c r="J221" t="s">
        <v>178</v>
      </c>
      <c r="K221" s="1">
        <v>45992</v>
      </c>
      <c r="L221" s="1">
        <v>46139</v>
      </c>
      <c r="M221" t="s">
        <v>25</v>
      </c>
      <c r="N221" s="1">
        <v>46253</v>
      </c>
      <c r="O221">
        <v>395</v>
      </c>
      <c r="P221">
        <v>1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 t="s">
        <v>38</v>
      </c>
      <c r="AI221" t="s">
        <v>27</v>
      </c>
      <c r="AJ221" s="1"/>
      <c r="AK221" t="s">
        <v>28</v>
      </c>
      <c r="AL22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221">
        <f>SUM(Rel_2026[[#This Row],[qtd_TrxContabil]:[VLR_EXP_SORTE]])</f>
        <v>398</v>
      </c>
      <c r="AN22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222" spans="1:40" x14ac:dyDescent="0.3">
      <c r="A222" t="str">
        <f>IF(Rel_2026[[#This Row],[Zero]]=0,"Zero",IF(Rel_2026[[#This Row],[Pontuação]]&gt;=10,"Sim",IF(Rel_2026[[#This Row],[Pontuação]]&gt;=5,"Próximo","Não")))</f>
        <v>Sim</v>
      </c>
      <c r="B222" t="str">
        <f>IF(Rel_2026[[#This Row],[Zero]]=0,"Zero",IF(Rel_2026[[#This Row],[Pontuação2]]&gt;=10,"Sim",IF(Rel_2026[[#This Row],[Pontuação2]]&gt;=5,"Próximo","Não")))</f>
        <v>Sim</v>
      </c>
      <c r="C222" t="str">
        <f>IFERROR(VLOOKUP(Rel_2026[[#This Row],[chave_loja]],Responsavel!A:B,2,FALSE),"EUCLIDES")</f>
        <v>JUNIOR</v>
      </c>
      <c r="D222" t="str">
        <f>LEFT(Rel_2026[[#This Row],[ag_pacb]],4)</f>
        <v>5367</v>
      </c>
      <c r="E222">
        <v>421769</v>
      </c>
      <c r="F222" t="s">
        <v>370</v>
      </c>
      <c r="G222" t="s">
        <v>1052</v>
      </c>
      <c r="H222" s="1">
        <v>46044</v>
      </c>
      <c r="I222" t="s">
        <v>23</v>
      </c>
      <c r="J222" t="s">
        <v>96</v>
      </c>
      <c r="K222" s="1">
        <v>46035</v>
      </c>
      <c r="L222" s="1">
        <v>46084</v>
      </c>
      <c r="M222" t="s">
        <v>32</v>
      </c>
      <c r="N222" s="1">
        <v>46254</v>
      </c>
      <c r="O222">
        <v>256</v>
      </c>
      <c r="P222">
        <v>0</v>
      </c>
      <c r="Q222">
        <v>0</v>
      </c>
      <c r="R222">
        <v>0</v>
      </c>
      <c r="S222">
        <v>0</v>
      </c>
      <c r="T222">
        <v>350</v>
      </c>
      <c r="U222">
        <v>13000</v>
      </c>
      <c r="V222">
        <v>13000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t="s">
        <v>38</v>
      </c>
      <c r="AI222" t="s">
        <v>27</v>
      </c>
      <c r="AJ222" s="1"/>
      <c r="AK222" t="s">
        <v>28</v>
      </c>
      <c r="AL22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</v>
      </c>
      <c r="AM222">
        <f>SUM(Rel_2026[[#This Row],[qtd_TrxContabil]:[VLR_EXP_SORTE]])</f>
        <v>26606</v>
      </c>
      <c r="AN22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</v>
      </c>
    </row>
    <row r="223" spans="1:40" x14ac:dyDescent="0.3">
      <c r="A223" t="str">
        <f>IF(Rel_2026[[#This Row],[Zero]]=0,"Zero",IF(Rel_2026[[#This Row],[Pontuação]]&gt;=10,"Sim",IF(Rel_2026[[#This Row],[Pontuação]]&gt;=5,"Próximo","Não")))</f>
        <v>Sim</v>
      </c>
      <c r="B223" t="str">
        <f>IF(Rel_2026[[#This Row],[Zero]]=0,"Zero",IF(Rel_2026[[#This Row],[Pontuação2]]&gt;=10,"Sim",IF(Rel_2026[[#This Row],[Pontuação2]]&gt;=5,"Próximo","Não")))</f>
        <v>Sim</v>
      </c>
      <c r="C223" t="str">
        <f>IFERROR(VLOOKUP(Rel_2026[[#This Row],[chave_loja]],Responsavel!A:B,2,FALSE),"EUCLIDES")</f>
        <v>JOSELITO</v>
      </c>
      <c r="D223" t="str">
        <f>LEFT(Rel_2026[[#This Row],[ag_pacb]],4)</f>
        <v>5395</v>
      </c>
      <c r="E223">
        <v>236916</v>
      </c>
      <c r="F223" t="s">
        <v>1174</v>
      </c>
      <c r="G223" t="s">
        <v>461</v>
      </c>
      <c r="H223" s="1">
        <v>44753</v>
      </c>
      <c r="I223" t="s">
        <v>23</v>
      </c>
      <c r="J223" t="s">
        <v>309</v>
      </c>
      <c r="K223" s="1">
        <v>45306</v>
      </c>
      <c r="L223" s="1">
        <v>44770</v>
      </c>
      <c r="M223" t="s">
        <v>25</v>
      </c>
      <c r="N223" s="1">
        <v>46254</v>
      </c>
      <c r="O223">
        <v>1411</v>
      </c>
      <c r="P223">
        <v>14</v>
      </c>
      <c r="Q223">
        <v>8</v>
      </c>
      <c r="R223">
        <v>0</v>
      </c>
      <c r="S223">
        <v>0</v>
      </c>
      <c r="T223">
        <v>1500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 t="s">
        <v>38</v>
      </c>
      <c r="AI223" t="s">
        <v>27</v>
      </c>
      <c r="AJ223" s="1"/>
      <c r="AK223" t="s">
        <v>28</v>
      </c>
      <c r="AL22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89</v>
      </c>
      <c r="AM223">
        <f>SUM(Rel_2026[[#This Row],[qtd_TrxContabil]:[VLR_EXP_SORTE]])</f>
        <v>2933</v>
      </c>
      <c r="AN22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89</v>
      </c>
    </row>
    <row r="224" spans="1:40" x14ac:dyDescent="0.3">
      <c r="A224" t="str">
        <f>IF(Rel_2026[[#This Row],[Zero]]=0,"Zero",IF(Rel_2026[[#This Row],[Pontuação]]&gt;=10,"Sim",IF(Rel_2026[[#This Row],[Pontuação]]&gt;=5,"Próximo","Não")))</f>
        <v>Próximo</v>
      </c>
      <c r="B224" t="str">
        <f>IF(Rel_2026[[#This Row],[Zero]]=0,"Zero",IF(Rel_2026[[#This Row],[Pontuação2]]&gt;=10,"Sim",IF(Rel_2026[[#This Row],[Pontuação2]]&gt;=5,"Próximo","Não")))</f>
        <v>Próximo</v>
      </c>
      <c r="C224" t="str">
        <f>IFERROR(VLOOKUP(Rel_2026[[#This Row],[chave_loja]],Responsavel!A:B,2,FALSE),"EUCLIDES")</f>
        <v>JUNIOR</v>
      </c>
      <c r="D224" t="str">
        <f>LEFT(Rel_2026[[#This Row],[ag_pacb]],4)</f>
        <v>5367</v>
      </c>
      <c r="E224">
        <v>409372</v>
      </c>
      <c r="F224" t="s">
        <v>1082</v>
      </c>
      <c r="G224" t="s">
        <v>329</v>
      </c>
      <c r="H224" s="1">
        <v>45688</v>
      </c>
      <c r="I224" t="s">
        <v>23</v>
      </c>
      <c r="J224" t="s">
        <v>58</v>
      </c>
      <c r="K224" s="1">
        <v>45686</v>
      </c>
      <c r="L224" s="1">
        <v>45750</v>
      </c>
      <c r="M224" t="s">
        <v>32</v>
      </c>
      <c r="N224" s="1">
        <v>46254</v>
      </c>
      <c r="O224">
        <v>534</v>
      </c>
      <c r="P224">
        <v>0</v>
      </c>
      <c r="Q224">
        <v>0</v>
      </c>
      <c r="R224">
        <v>0</v>
      </c>
      <c r="S224">
        <v>0</v>
      </c>
      <c r="T224">
        <v>520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s">
        <v>26</v>
      </c>
      <c r="AI224" t="s">
        <v>27</v>
      </c>
      <c r="AJ224" s="1"/>
      <c r="AK224" t="s">
        <v>28</v>
      </c>
      <c r="AL22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</v>
      </c>
      <c r="AM224">
        <f>SUM(Rel_2026[[#This Row],[qtd_TrxContabil]:[VLR_EXP_SORTE]])</f>
        <v>1054</v>
      </c>
      <c r="AN22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</v>
      </c>
    </row>
    <row r="225" spans="1:40" x14ac:dyDescent="0.3">
      <c r="A225" t="str">
        <f>IF(Rel_2026[[#This Row],[Zero]]=0,"Zero",IF(Rel_2026[[#This Row],[Pontuação]]&gt;=10,"Sim",IF(Rel_2026[[#This Row],[Pontuação]]&gt;=5,"Próximo","Não")))</f>
        <v>Zero</v>
      </c>
      <c r="B225" t="str">
        <f>IF(Rel_2026[[#This Row],[Zero]]=0,"Zero",IF(Rel_2026[[#This Row],[Pontuação2]]&gt;=10,"Sim",IF(Rel_2026[[#This Row],[Pontuação2]]&gt;=5,"Próximo","Não")))</f>
        <v>Zero</v>
      </c>
      <c r="C225" t="str">
        <f>IFERROR(VLOOKUP(Rel_2026[[#This Row],[chave_loja]],Responsavel!A:B,2,FALSE),"EUCLIDES")</f>
        <v>NYCOLLAS</v>
      </c>
      <c r="D225" t="str">
        <f>LEFT(Rel_2026[[#This Row],[ag_pacb]],4)</f>
        <v>0719</v>
      </c>
      <c r="E225">
        <v>410744</v>
      </c>
      <c r="F225" t="s">
        <v>1103</v>
      </c>
      <c r="G225" t="s">
        <v>1104</v>
      </c>
      <c r="H225" s="1">
        <v>45747</v>
      </c>
      <c r="I225" t="s">
        <v>23</v>
      </c>
      <c r="J225" t="s">
        <v>1215</v>
      </c>
      <c r="K225" s="1">
        <v>45741</v>
      </c>
      <c r="L225" s="1">
        <v>45755</v>
      </c>
      <c r="M225" t="s">
        <v>32</v>
      </c>
      <c r="N225" s="1">
        <v>46006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 t="s">
        <v>38</v>
      </c>
      <c r="AI225" t="s">
        <v>56</v>
      </c>
      <c r="AJ225" s="1">
        <v>46083</v>
      </c>
      <c r="AK225" t="s">
        <v>28</v>
      </c>
      <c r="AL22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25">
        <f>SUM(Rel_2026[[#This Row],[qtd_TrxContabil]:[VLR_EXP_SORTE]])</f>
        <v>0</v>
      </c>
      <c r="AN22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26" spans="1:40" x14ac:dyDescent="0.3">
      <c r="A226" t="str">
        <f>IF(Rel_2026[[#This Row],[Zero]]=0,"Zero",IF(Rel_2026[[#This Row],[Pontuação]]&gt;=10,"Sim",IF(Rel_2026[[#This Row],[Pontuação]]&gt;=5,"Próximo","Não")))</f>
        <v>Próximo</v>
      </c>
      <c r="B226" t="str">
        <f>IF(Rel_2026[[#This Row],[Zero]]=0,"Zero",IF(Rel_2026[[#This Row],[Pontuação2]]&gt;=10,"Sim",IF(Rel_2026[[#This Row],[Pontuação2]]&gt;=5,"Próximo","Não")))</f>
        <v>Sim</v>
      </c>
      <c r="C226" t="str">
        <f>IFERROR(VLOOKUP(Rel_2026[[#This Row],[chave_loja]],Responsavel!A:B,2,FALSE),"EUCLIDES")</f>
        <v>IVAN</v>
      </c>
      <c r="D226" t="str">
        <f>LEFT(Rel_2026[[#This Row],[ag_pacb]],4)</f>
        <v>5449</v>
      </c>
      <c r="E226">
        <v>424646</v>
      </c>
      <c r="F226" t="s">
        <v>1321</v>
      </c>
      <c r="G226" t="s">
        <v>1322</v>
      </c>
      <c r="H226" s="1">
        <v>46188</v>
      </c>
      <c r="I226" t="s">
        <v>23</v>
      </c>
      <c r="J226" t="s">
        <v>88</v>
      </c>
      <c r="K226" s="1">
        <v>46178</v>
      </c>
      <c r="L226" s="1"/>
      <c r="M226" t="s">
        <v>25</v>
      </c>
      <c r="N226" s="1">
        <v>46238</v>
      </c>
      <c r="O226">
        <v>0</v>
      </c>
      <c r="P226">
        <v>2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t="s">
        <v>26</v>
      </c>
      <c r="AI226" t="s">
        <v>27</v>
      </c>
      <c r="AJ226" s="1"/>
      <c r="AK226" t="s">
        <v>28</v>
      </c>
      <c r="AL22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  <c r="AM226">
        <f>SUM(Rel_2026[[#This Row],[qtd_TrxContabil]:[VLR_EXP_SORTE]])</f>
        <v>4</v>
      </c>
      <c r="AN22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</row>
    <row r="227" spans="1:40" x14ac:dyDescent="0.3">
      <c r="A227" t="str">
        <f>IF(Rel_2026[[#This Row],[Zero]]=0,"Zero",IF(Rel_2026[[#This Row],[Pontuação]]&gt;=10,"Sim",IF(Rel_2026[[#This Row],[Pontuação]]&gt;=5,"Próximo","Não")))</f>
        <v>Sim</v>
      </c>
      <c r="B227" t="str">
        <f>IF(Rel_2026[[#This Row],[Zero]]=0,"Zero",IF(Rel_2026[[#This Row],[Pontuação2]]&gt;=10,"Sim",IF(Rel_2026[[#This Row],[Pontuação2]]&gt;=5,"Próximo","Não")))</f>
        <v>Sim</v>
      </c>
      <c r="C227" t="str">
        <f>IFERROR(VLOOKUP(Rel_2026[[#This Row],[chave_loja]],Responsavel!A:B,2,FALSE),"EUCLIDES")</f>
        <v>IVAN</v>
      </c>
      <c r="D227" t="str">
        <f>LEFT(Rel_2026[[#This Row],[ag_pacb]],4)</f>
        <v>5449</v>
      </c>
      <c r="E227">
        <v>254345</v>
      </c>
      <c r="F227" t="s">
        <v>86</v>
      </c>
      <c r="G227" t="s">
        <v>87</v>
      </c>
      <c r="H227" s="1">
        <v>45253</v>
      </c>
      <c r="I227" t="s">
        <v>23</v>
      </c>
      <c r="J227" t="s">
        <v>88</v>
      </c>
      <c r="K227" s="1">
        <v>45306</v>
      </c>
      <c r="L227" s="1">
        <v>46212</v>
      </c>
      <c r="M227" t="s">
        <v>25</v>
      </c>
      <c r="N227" s="1">
        <v>46254</v>
      </c>
      <c r="O227">
        <v>988</v>
      </c>
      <c r="P227">
        <v>8</v>
      </c>
      <c r="Q227">
        <v>0</v>
      </c>
      <c r="R227">
        <v>1</v>
      </c>
      <c r="S227">
        <v>1</v>
      </c>
      <c r="T227">
        <v>1500</v>
      </c>
      <c r="U227">
        <v>93196</v>
      </c>
      <c r="V227">
        <v>91196</v>
      </c>
      <c r="W227">
        <v>0</v>
      </c>
      <c r="X227">
        <v>2000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4</v>
      </c>
      <c r="AG227">
        <v>0</v>
      </c>
      <c r="AH227" t="s">
        <v>26</v>
      </c>
      <c r="AI227" t="s">
        <v>27</v>
      </c>
      <c r="AJ227" s="1"/>
      <c r="AK227" t="s">
        <v>28</v>
      </c>
      <c r="AL22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132</v>
      </c>
      <c r="AM227">
        <f>SUM(Rel_2026[[#This Row],[qtd_TrxContabil]:[VLR_EXP_SORTE]])</f>
        <v>188895</v>
      </c>
      <c r="AN22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135</v>
      </c>
    </row>
    <row r="228" spans="1:40" x14ac:dyDescent="0.3">
      <c r="A228" t="str">
        <f>IF(Rel_2026[[#This Row],[Zero]]=0,"Zero",IF(Rel_2026[[#This Row],[Pontuação]]&gt;=10,"Sim",IF(Rel_2026[[#This Row],[Pontuação]]&gt;=5,"Próximo","Não")))</f>
        <v>Próximo</v>
      </c>
      <c r="B228" t="str">
        <f>IF(Rel_2026[[#This Row],[Zero]]=0,"Zero",IF(Rel_2026[[#This Row],[Pontuação2]]&gt;=10,"Sim",IF(Rel_2026[[#This Row],[Pontuação2]]&gt;=5,"Próximo","Não")))</f>
        <v>Próximo</v>
      </c>
      <c r="C228" t="str">
        <f>IFERROR(VLOOKUP(Rel_2026[[#This Row],[chave_loja]],Responsavel!A:B,2,FALSE),"EUCLIDES")</f>
        <v>CÉLIO</v>
      </c>
      <c r="D228" t="str">
        <f>LEFT(Rel_2026[[#This Row],[ag_pacb]],4)</f>
        <v>0624</v>
      </c>
      <c r="E228">
        <v>183899</v>
      </c>
      <c r="F228" t="s">
        <v>635</v>
      </c>
      <c r="G228" t="s">
        <v>636</v>
      </c>
      <c r="H228" s="1">
        <v>45069</v>
      </c>
      <c r="I228" t="s">
        <v>23</v>
      </c>
      <c r="J228" t="s">
        <v>24</v>
      </c>
      <c r="K228" s="1">
        <v>45306</v>
      </c>
      <c r="L228" s="1">
        <v>45758</v>
      </c>
      <c r="M228" t="s">
        <v>25</v>
      </c>
      <c r="N228" s="1">
        <v>46254</v>
      </c>
      <c r="O228">
        <v>711</v>
      </c>
      <c r="P228">
        <v>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 t="s">
        <v>26</v>
      </c>
      <c r="AI228" t="s">
        <v>27</v>
      </c>
      <c r="AJ228" s="1"/>
      <c r="AK228" t="s">
        <v>28</v>
      </c>
      <c r="AL22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  <c r="AM228">
        <f>SUM(Rel_2026[[#This Row],[qtd_TrxContabil]:[VLR_EXP_SORTE]])</f>
        <v>713</v>
      </c>
      <c r="AN22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229" spans="1:40" x14ac:dyDescent="0.3">
      <c r="A229" t="str">
        <f>IF(Rel_2026[[#This Row],[Zero]]=0,"Zero",IF(Rel_2026[[#This Row],[Pontuação]]&gt;=10,"Sim",IF(Rel_2026[[#This Row],[Pontuação]]&gt;=5,"Próximo","Não")))</f>
        <v>Sim</v>
      </c>
      <c r="B229" t="str">
        <f>IF(Rel_2026[[#This Row],[Zero]]=0,"Zero",IF(Rel_2026[[#This Row],[Pontuação2]]&gt;=10,"Sim",IF(Rel_2026[[#This Row],[Pontuação2]]&gt;=5,"Próximo","Não")))</f>
        <v>Sim</v>
      </c>
      <c r="C229" t="str">
        <f>IFERROR(VLOOKUP(Rel_2026[[#This Row],[chave_loja]],Responsavel!A:B,2,FALSE),"EUCLIDES")</f>
        <v>NYCOLLAS</v>
      </c>
      <c r="D229" t="str">
        <f>LEFT(Rel_2026[[#This Row],[ag_pacb]],4)</f>
        <v>5446</v>
      </c>
      <c r="E229">
        <v>230919</v>
      </c>
      <c r="F229" t="s">
        <v>470</v>
      </c>
      <c r="G229" t="s">
        <v>471</v>
      </c>
      <c r="H229" s="1">
        <v>44645</v>
      </c>
      <c r="I229" t="s">
        <v>23</v>
      </c>
      <c r="J229" t="s">
        <v>97</v>
      </c>
      <c r="K229" s="1">
        <v>45306</v>
      </c>
      <c r="L229" s="1">
        <v>46035</v>
      </c>
      <c r="M229" t="s">
        <v>32</v>
      </c>
      <c r="N229" s="1">
        <v>46254</v>
      </c>
      <c r="O229">
        <v>542</v>
      </c>
      <c r="P229">
        <v>2</v>
      </c>
      <c r="Q229">
        <v>2</v>
      </c>
      <c r="R229">
        <v>2</v>
      </c>
      <c r="S229">
        <v>0</v>
      </c>
      <c r="T229">
        <v>2304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</v>
      </c>
      <c r="AG229">
        <v>0</v>
      </c>
      <c r="AH229" t="s">
        <v>26</v>
      </c>
      <c r="AI229" t="s">
        <v>27</v>
      </c>
      <c r="AJ229" s="1"/>
      <c r="AK229" t="s">
        <v>28</v>
      </c>
      <c r="AL22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37</v>
      </c>
      <c r="AM229">
        <f>SUM(Rel_2026[[#This Row],[qtd_TrxContabil]:[VLR_EXP_SORTE]])</f>
        <v>2854</v>
      </c>
      <c r="AN22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43</v>
      </c>
    </row>
    <row r="230" spans="1:40" x14ac:dyDescent="0.3">
      <c r="A230" t="str">
        <f>IF(Rel_2026[[#This Row],[Zero]]=0,"Zero",IF(Rel_2026[[#This Row],[Pontuação]]&gt;=10,"Sim",IF(Rel_2026[[#This Row],[Pontuação]]&gt;=5,"Próximo","Não")))</f>
        <v>Sim</v>
      </c>
      <c r="B230" t="str">
        <f>IF(Rel_2026[[#This Row],[Zero]]=0,"Zero",IF(Rel_2026[[#This Row],[Pontuação2]]&gt;=10,"Sim",IF(Rel_2026[[#This Row],[Pontuação2]]&gt;=5,"Próximo","Não")))</f>
        <v>Sim</v>
      </c>
      <c r="C230" t="str">
        <f>IFERROR(VLOOKUP(Rel_2026[[#This Row],[chave_loja]],Responsavel!A:B,2,FALSE),"EUCLIDES")</f>
        <v>ISMAEL</v>
      </c>
      <c r="D230" t="str">
        <f>LEFT(Rel_2026[[#This Row],[ag_pacb]],4)</f>
        <v>0704</v>
      </c>
      <c r="E230">
        <v>400257</v>
      </c>
      <c r="F230" t="s">
        <v>150</v>
      </c>
      <c r="G230" t="s">
        <v>151</v>
      </c>
      <c r="H230" s="1">
        <v>45300</v>
      </c>
      <c r="I230" t="s">
        <v>23</v>
      </c>
      <c r="J230" t="s">
        <v>75</v>
      </c>
      <c r="K230" s="1">
        <v>45306</v>
      </c>
      <c r="L230" s="1">
        <v>45307</v>
      </c>
      <c r="M230" t="s">
        <v>25</v>
      </c>
      <c r="N230" s="1">
        <v>46253</v>
      </c>
      <c r="O230">
        <v>95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15000</v>
      </c>
      <c r="V230">
        <v>15000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 t="s">
        <v>26</v>
      </c>
      <c r="AI230" t="s">
        <v>27</v>
      </c>
      <c r="AJ230" s="1"/>
      <c r="AK230" t="s">
        <v>28</v>
      </c>
      <c r="AL23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15</v>
      </c>
      <c r="AM230">
        <f>SUM(Rel_2026[[#This Row],[qtd_TrxContabil]:[VLR_EXP_SORTE]])</f>
        <v>30095</v>
      </c>
      <c r="AN23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15</v>
      </c>
    </row>
    <row r="231" spans="1:40" x14ac:dyDescent="0.3">
      <c r="A231" t="str">
        <f>IF(Rel_2026[[#This Row],[Zero]]=0,"Zero",IF(Rel_2026[[#This Row],[Pontuação]]&gt;=10,"Sim",IF(Rel_2026[[#This Row],[Pontuação]]&gt;=5,"Próximo","Não")))</f>
        <v>Não</v>
      </c>
      <c r="B231" t="str">
        <f>IF(Rel_2026[[#This Row],[Zero]]=0,"Zero",IF(Rel_2026[[#This Row],[Pontuação2]]&gt;=10,"Sim",IF(Rel_2026[[#This Row],[Pontuação2]]&gt;=5,"Próximo","Não")))</f>
        <v>Não</v>
      </c>
      <c r="C231" t="str">
        <f>IFERROR(VLOOKUP(Rel_2026[[#This Row],[chave_loja]],Responsavel!A:B,2,FALSE),"EUCLIDES")</f>
        <v>NYCOLLAS</v>
      </c>
      <c r="D231" t="str">
        <f>LEFT(Rel_2026[[#This Row],[ag_pacb]],4)</f>
        <v>0719</v>
      </c>
      <c r="E231">
        <v>406115</v>
      </c>
      <c r="F231" t="s">
        <v>631</v>
      </c>
      <c r="G231" t="s">
        <v>632</v>
      </c>
      <c r="H231" s="1">
        <v>45548</v>
      </c>
      <c r="I231" t="s">
        <v>23</v>
      </c>
      <c r="J231" t="s">
        <v>1215</v>
      </c>
      <c r="K231" s="1">
        <v>45544</v>
      </c>
      <c r="L231" s="1">
        <v>45555</v>
      </c>
      <c r="M231" t="s">
        <v>32</v>
      </c>
      <c r="N231" s="1">
        <v>46254</v>
      </c>
      <c r="O231">
        <v>232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 t="s">
        <v>26</v>
      </c>
      <c r="AI231" t="s">
        <v>27</v>
      </c>
      <c r="AJ231" s="1"/>
      <c r="AK231" t="s">
        <v>28</v>
      </c>
      <c r="AL23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31">
        <f>SUM(Rel_2026[[#This Row],[qtd_TrxContabil]:[VLR_EXP_SORTE]])</f>
        <v>232</v>
      </c>
      <c r="AN23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32" spans="1:40" x14ac:dyDescent="0.3">
      <c r="A232" t="str">
        <f>IF(Rel_2026[[#This Row],[Zero]]=0,"Zero",IF(Rel_2026[[#This Row],[Pontuação]]&gt;=10,"Sim",IF(Rel_2026[[#This Row],[Pontuação]]&gt;=5,"Próximo","Não")))</f>
        <v>Sim</v>
      </c>
      <c r="B232" t="str">
        <f>IF(Rel_2026[[#This Row],[Zero]]=0,"Zero",IF(Rel_2026[[#This Row],[Pontuação2]]&gt;=10,"Sim",IF(Rel_2026[[#This Row],[Pontuação2]]&gt;=5,"Próximo","Não")))</f>
        <v>Sim</v>
      </c>
      <c r="C232" t="str">
        <f>IFERROR(VLOOKUP(Rel_2026[[#This Row],[chave_loja]],Responsavel!A:B,2,FALSE),"EUCLIDES")</f>
        <v>IVAN</v>
      </c>
      <c r="D232" t="str">
        <f>LEFT(Rel_2026[[#This Row],[ag_pacb]],4)</f>
        <v>0767</v>
      </c>
      <c r="E232">
        <v>100900</v>
      </c>
      <c r="F232" t="s">
        <v>1333</v>
      </c>
      <c r="G232" t="s">
        <v>1334</v>
      </c>
      <c r="H232" s="1">
        <v>46199</v>
      </c>
      <c r="I232" t="s">
        <v>23</v>
      </c>
      <c r="J232" t="s">
        <v>573</v>
      </c>
      <c r="K232" s="1">
        <v>42123</v>
      </c>
      <c r="L232" s="1">
        <v>46076</v>
      </c>
      <c r="M232" t="s">
        <v>25</v>
      </c>
      <c r="N232" s="1">
        <v>46253</v>
      </c>
      <c r="O232">
        <v>71</v>
      </c>
      <c r="P232">
        <v>2</v>
      </c>
      <c r="Q232">
        <v>0</v>
      </c>
      <c r="R232">
        <v>2</v>
      </c>
      <c r="S232">
        <v>1</v>
      </c>
      <c r="T232">
        <v>500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1</v>
      </c>
      <c r="AG232">
        <v>0</v>
      </c>
      <c r="AH232" t="s">
        <v>38</v>
      </c>
      <c r="AI232" t="s">
        <v>27</v>
      </c>
      <c r="AJ232" s="1"/>
      <c r="AK232" t="s">
        <v>28</v>
      </c>
      <c r="AL23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</v>
      </c>
      <c r="AM232">
        <f>SUM(Rel_2026[[#This Row],[qtd_TrxContabil]:[VLR_EXP_SORTE]])</f>
        <v>578</v>
      </c>
      <c r="AN23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</v>
      </c>
    </row>
    <row r="233" spans="1:40" x14ac:dyDescent="0.3">
      <c r="A233" t="str">
        <f>IF(Rel_2026[[#This Row],[Zero]]=0,"Zero",IF(Rel_2026[[#This Row],[Pontuação]]&gt;=10,"Sim",IF(Rel_2026[[#This Row],[Pontuação]]&gt;=5,"Próximo","Não")))</f>
        <v>Não</v>
      </c>
      <c r="B233" t="str">
        <f>IF(Rel_2026[[#This Row],[Zero]]=0,"Zero",IF(Rel_2026[[#This Row],[Pontuação2]]&gt;=10,"Sim",IF(Rel_2026[[#This Row],[Pontuação2]]&gt;=5,"Próximo","Não")))</f>
        <v>Não</v>
      </c>
      <c r="C233" t="str">
        <f>IFERROR(VLOOKUP(Rel_2026[[#This Row],[chave_loja]],Responsavel!A:B,2,FALSE),"EUCLIDES")</f>
        <v>NYCOLLAS</v>
      </c>
      <c r="D233" t="str">
        <f>LEFT(Rel_2026[[#This Row],[ag_pacb]],4)</f>
        <v>0719</v>
      </c>
      <c r="E233">
        <v>202751</v>
      </c>
      <c r="F233" t="s">
        <v>406</v>
      </c>
      <c r="G233" t="s">
        <v>407</v>
      </c>
      <c r="H233" s="1">
        <v>44585</v>
      </c>
      <c r="I233" t="s">
        <v>23</v>
      </c>
      <c r="J233" t="s">
        <v>1215</v>
      </c>
      <c r="K233" s="1">
        <v>45152</v>
      </c>
      <c r="L233" s="1">
        <v>45862</v>
      </c>
      <c r="M233" t="s">
        <v>32</v>
      </c>
      <c r="N233" s="1">
        <v>46254</v>
      </c>
      <c r="O233">
        <v>317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t="s">
        <v>26</v>
      </c>
      <c r="AI233" t="s">
        <v>27</v>
      </c>
      <c r="AJ233" s="1"/>
      <c r="AK233" t="s">
        <v>28</v>
      </c>
      <c r="AL23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33">
        <f>SUM(Rel_2026[[#This Row],[qtd_TrxContabil]:[VLR_EXP_SORTE]])</f>
        <v>317</v>
      </c>
      <c r="AN23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34" spans="1:40" x14ac:dyDescent="0.3">
      <c r="A234" t="str">
        <f>IF(Rel_2026[[#This Row],[Zero]]=0,"Zero",IF(Rel_2026[[#This Row],[Pontuação]]&gt;=10,"Sim",IF(Rel_2026[[#This Row],[Pontuação]]&gt;=5,"Próximo","Não")))</f>
        <v>Não</v>
      </c>
      <c r="B234" t="str">
        <f>IF(Rel_2026[[#This Row],[Zero]]=0,"Zero",IF(Rel_2026[[#This Row],[Pontuação2]]&gt;=10,"Sim",IF(Rel_2026[[#This Row],[Pontuação2]]&gt;=5,"Próximo","Não")))</f>
        <v>Não</v>
      </c>
      <c r="C234" t="str">
        <f>IFERROR(VLOOKUP(Rel_2026[[#This Row],[chave_loja]],Responsavel!A:B,2,FALSE),"EUCLIDES")</f>
        <v>WASTHSON</v>
      </c>
      <c r="D234" t="str">
        <f>LEFT(Rel_2026[[#This Row],[ag_pacb]],4)</f>
        <v>0702</v>
      </c>
      <c r="E234">
        <v>247750</v>
      </c>
      <c r="F234" t="s">
        <v>765</v>
      </c>
      <c r="G234" t="s">
        <v>766</v>
      </c>
      <c r="H234" s="1">
        <v>45068</v>
      </c>
      <c r="I234" t="s">
        <v>23</v>
      </c>
      <c r="J234" t="s">
        <v>226</v>
      </c>
      <c r="K234" s="1">
        <v>45306</v>
      </c>
      <c r="L234" s="1">
        <v>45090</v>
      </c>
      <c r="M234" t="s">
        <v>32</v>
      </c>
      <c r="N234" s="1">
        <v>46254</v>
      </c>
      <c r="O234">
        <v>24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t="s">
        <v>26</v>
      </c>
      <c r="AI234" t="s">
        <v>27</v>
      </c>
      <c r="AJ234" s="1"/>
      <c r="AK234" t="s">
        <v>28</v>
      </c>
      <c r="AL23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34">
        <f>SUM(Rel_2026[[#This Row],[qtd_TrxContabil]:[VLR_EXP_SORTE]])</f>
        <v>24</v>
      </c>
      <c r="AN23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35" spans="1:40" x14ac:dyDescent="0.3">
      <c r="A235" t="str">
        <f>IF(Rel_2026[[#This Row],[Zero]]=0,"Zero",IF(Rel_2026[[#This Row],[Pontuação]]&gt;=10,"Sim",IF(Rel_2026[[#This Row],[Pontuação]]&gt;=5,"Próximo","Não")))</f>
        <v>Não</v>
      </c>
      <c r="B235" t="str">
        <f>IF(Rel_2026[[#This Row],[Zero]]=0,"Zero",IF(Rel_2026[[#This Row],[Pontuação2]]&gt;=10,"Sim",IF(Rel_2026[[#This Row],[Pontuação2]]&gt;=5,"Próximo","Não")))</f>
        <v>Próximo</v>
      </c>
      <c r="C235" t="str">
        <f>IFERROR(VLOOKUP(Rel_2026[[#This Row],[chave_loja]],Responsavel!A:B,2,FALSE),"EUCLIDES")</f>
        <v>JOSELITO</v>
      </c>
      <c r="D235" t="str">
        <f>LEFT(Rel_2026[[#This Row],[ag_pacb]],4)</f>
        <v>5395</v>
      </c>
      <c r="E235">
        <v>425332</v>
      </c>
      <c r="F235" t="s">
        <v>1386</v>
      </c>
      <c r="G235" t="s">
        <v>1387</v>
      </c>
      <c r="H235" s="1">
        <v>46227</v>
      </c>
      <c r="I235" t="s">
        <v>23</v>
      </c>
      <c r="J235" t="s">
        <v>309</v>
      </c>
      <c r="K235" s="1">
        <v>46225</v>
      </c>
      <c r="L235" s="1"/>
      <c r="M235" t="s">
        <v>25</v>
      </c>
      <c r="N235" s="1">
        <v>46254</v>
      </c>
      <c r="O235">
        <v>158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 t="s">
        <v>38</v>
      </c>
      <c r="AI235" t="s">
        <v>27</v>
      </c>
      <c r="AJ235" s="1"/>
      <c r="AK235" t="s">
        <v>28</v>
      </c>
      <c r="AL23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235">
        <f>SUM(Rel_2026[[#This Row],[qtd_TrxContabil]:[VLR_EXP_SORTE]])</f>
        <v>161</v>
      </c>
      <c r="AN23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236" spans="1:40" x14ac:dyDescent="0.3">
      <c r="A236" t="str">
        <f>IF(Rel_2026[[#This Row],[Zero]]=0,"Zero",IF(Rel_2026[[#This Row],[Pontuação]]&gt;=10,"Sim",IF(Rel_2026[[#This Row],[Pontuação]]&gt;=5,"Próximo","Não")))</f>
        <v>Sim</v>
      </c>
      <c r="B236" t="str">
        <f>IF(Rel_2026[[#This Row],[Zero]]=0,"Zero",IF(Rel_2026[[#This Row],[Pontuação2]]&gt;=10,"Sim",IF(Rel_2026[[#This Row],[Pontuação2]]&gt;=5,"Próximo","Não")))</f>
        <v>Sim</v>
      </c>
      <c r="C236" t="str">
        <f>IFERROR(VLOOKUP(Rel_2026[[#This Row],[chave_loja]],Responsavel!A:B,2,FALSE),"EUCLIDES")</f>
        <v>JACK</v>
      </c>
      <c r="D236" t="str">
        <f>LEFT(Rel_2026[[#This Row],[ag_pacb]],4)</f>
        <v>0985</v>
      </c>
      <c r="E236">
        <v>51537</v>
      </c>
      <c r="F236" t="s">
        <v>1080</v>
      </c>
      <c r="G236" t="s">
        <v>822</v>
      </c>
      <c r="H236" s="1">
        <v>45120</v>
      </c>
      <c r="I236" t="s">
        <v>107</v>
      </c>
      <c r="J236" t="s">
        <v>823</v>
      </c>
      <c r="K236" s="1">
        <v>42123</v>
      </c>
      <c r="L236" s="1">
        <v>45428</v>
      </c>
      <c r="M236" t="s">
        <v>109</v>
      </c>
      <c r="N236" s="1">
        <v>46254</v>
      </c>
      <c r="O236">
        <v>2711</v>
      </c>
      <c r="P236">
        <v>36</v>
      </c>
      <c r="Q236">
        <v>17</v>
      </c>
      <c r="R236">
        <v>26</v>
      </c>
      <c r="S236">
        <v>2</v>
      </c>
      <c r="T236">
        <v>2834</v>
      </c>
      <c r="U236">
        <v>6200</v>
      </c>
      <c r="V236">
        <v>6200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0</v>
      </c>
      <c r="AE236">
        <v>2</v>
      </c>
      <c r="AF236">
        <v>24</v>
      </c>
      <c r="AG236">
        <v>0</v>
      </c>
      <c r="AH236" t="s">
        <v>26</v>
      </c>
      <c r="AI236" t="s">
        <v>27</v>
      </c>
      <c r="AJ236" s="1"/>
      <c r="AK236" t="s">
        <v>28</v>
      </c>
      <c r="AL23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213</v>
      </c>
      <c r="AM236">
        <f>SUM(Rel_2026[[#This Row],[qtd_TrxContabil]:[VLR_EXP_SORTE]])</f>
        <v>18054</v>
      </c>
      <c r="AN23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291</v>
      </c>
    </row>
    <row r="237" spans="1:40" x14ac:dyDescent="0.3">
      <c r="A237" t="str">
        <f>IF(Rel_2026[[#This Row],[Zero]]=0,"Zero",IF(Rel_2026[[#This Row],[Pontuação]]&gt;=10,"Sim",IF(Rel_2026[[#This Row],[Pontuação]]&gt;=5,"Próximo","Não")))</f>
        <v>Não</v>
      </c>
      <c r="B237" t="str">
        <f>IF(Rel_2026[[#This Row],[Zero]]=0,"Zero",IF(Rel_2026[[#This Row],[Pontuação2]]&gt;=10,"Sim",IF(Rel_2026[[#This Row],[Pontuação2]]&gt;=5,"Próximo","Não")))</f>
        <v>Não</v>
      </c>
      <c r="C237" t="str">
        <f>IFERROR(VLOOKUP(Rel_2026[[#This Row],[chave_loja]],Responsavel!A:B,2,FALSE),"EUCLIDES")</f>
        <v>JACK</v>
      </c>
      <c r="D237" t="str">
        <f>LEFT(Rel_2026[[#This Row],[ag_pacb]],4)</f>
        <v>0985</v>
      </c>
      <c r="E237">
        <v>250178</v>
      </c>
      <c r="F237" t="s">
        <v>944</v>
      </c>
      <c r="G237" t="s">
        <v>945</v>
      </c>
      <c r="H237" s="1">
        <v>45210</v>
      </c>
      <c r="I237" t="s">
        <v>107</v>
      </c>
      <c r="J237" t="s">
        <v>907</v>
      </c>
      <c r="K237" s="1">
        <v>45306</v>
      </c>
      <c r="L237" s="1">
        <v>45196</v>
      </c>
      <c r="M237" t="s">
        <v>109</v>
      </c>
      <c r="N237" s="1">
        <v>46254</v>
      </c>
      <c r="O237">
        <v>100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 t="s">
        <v>26</v>
      </c>
      <c r="AI237" t="s">
        <v>27</v>
      </c>
      <c r="AJ237" s="1"/>
      <c r="AK237" t="s">
        <v>28</v>
      </c>
      <c r="AL23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37">
        <f>SUM(Rel_2026[[#This Row],[qtd_TrxContabil]:[VLR_EXP_SORTE]])</f>
        <v>100</v>
      </c>
      <c r="AN23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38" spans="1:40" x14ac:dyDescent="0.3">
      <c r="A238" t="str">
        <f>IF(Rel_2026[[#This Row],[Zero]]=0,"Zero",IF(Rel_2026[[#This Row],[Pontuação]]&gt;=10,"Sim",IF(Rel_2026[[#This Row],[Pontuação]]&gt;=5,"Próximo","Não")))</f>
        <v>Sim</v>
      </c>
      <c r="B238" t="str">
        <f>IF(Rel_2026[[#This Row],[Zero]]=0,"Zero",IF(Rel_2026[[#This Row],[Pontuação2]]&gt;=10,"Sim",IF(Rel_2026[[#This Row],[Pontuação2]]&gt;=5,"Próximo","Não")))</f>
        <v>Sim</v>
      </c>
      <c r="C238" t="str">
        <f>IFERROR(VLOOKUP(Rel_2026[[#This Row],[chave_loja]],Responsavel!A:B,2,FALSE),"EUCLIDES")</f>
        <v>NYCOLLAS</v>
      </c>
      <c r="D238" t="str">
        <f>LEFT(Rel_2026[[#This Row],[ag_pacb]],4)</f>
        <v>0699</v>
      </c>
      <c r="E238">
        <v>70674</v>
      </c>
      <c r="F238" t="s">
        <v>143</v>
      </c>
      <c r="G238" t="s">
        <v>144</v>
      </c>
      <c r="H238" s="1">
        <v>44405</v>
      </c>
      <c r="I238" t="s">
        <v>23</v>
      </c>
      <c r="J238" t="s">
        <v>145</v>
      </c>
      <c r="K238" s="1">
        <v>42235</v>
      </c>
      <c r="L238" s="1">
        <v>45549</v>
      </c>
      <c r="M238" t="s">
        <v>32</v>
      </c>
      <c r="N238" s="1">
        <v>46254</v>
      </c>
      <c r="O238">
        <v>1544</v>
      </c>
      <c r="P238">
        <v>5</v>
      </c>
      <c r="Q238">
        <v>5</v>
      </c>
      <c r="R238">
        <v>5</v>
      </c>
      <c r="S238">
        <v>0</v>
      </c>
      <c r="T238">
        <v>0</v>
      </c>
      <c r="U238">
        <v>9017</v>
      </c>
      <c r="V238">
        <v>9017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6</v>
      </c>
      <c r="AG238">
        <v>0</v>
      </c>
      <c r="AH238" t="s">
        <v>38</v>
      </c>
      <c r="AI238" t="s">
        <v>27</v>
      </c>
      <c r="AJ238" s="1"/>
      <c r="AK238" t="s">
        <v>28</v>
      </c>
      <c r="AL23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44</v>
      </c>
      <c r="AM238">
        <f>SUM(Rel_2026[[#This Row],[qtd_TrxContabil]:[VLR_EXP_SORTE]])</f>
        <v>19599</v>
      </c>
      <c r="AN23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59</v>
      </c>
    </row>
    <row r="239" spans="1:40" x14ac:dyDescent="0.3">
      <c r="A239" t="str">
        <f>IF(Rel_2026[[#This Row],[Zero]]=0,"Zero",IF(Rel_2026[[#This Row],[Pontuação]]&gt;=10,"Sim",IF(Rel_2026[[#This Row],[Pontuação]]&gt;=5,"Próximo","Não")))</f>
        <v>Não</v>
      </c>
      <c r="B239" t="str">
        <f>IF(Rel_2026[[#This Row],[Zero]]=0,"Zero",IF(Rel_2026[[#This Row],[Pontuação2]]&gt;=10,"Sim",IF(Rel_2026[[#This Row],[Pontuação2]]&gt;=5,"Próximo","Não")))</f>
        <v>Não</v>
      </c>
      <c r="C239" t="str">
        <f>IFERROR(VLOOKUP(Rel_2026[[#This Row],[chave_loja]],Responsavel!A:B,2,FALSE),"EUCLIDES")</f>
        <v>NYCOLLAS</v>
      </c>
      <c r="D239" t="str">
        <f>LEFT(Rel_2026[[#This Row],[ag_pacb]],4)</f>
        <v>0719</v>
      </c>
      <c r="E239">
        <v>205252</v>
      </c>
      <c r="F239" t="s">
        <v>445</v>
      </c>
      <c r="G239" t="s">
        <v>446</v>
      </c>
      <c r="H239" s="1">
        <v>45182</v>
      </c>
      <c r="I239" t="s">
        <v>23</v>
      </c>
      <c r="J239" t="s">
        <v>1215</v>
      </c>
      <c r="K239" s="1">
        <v>44379</v>
      </c>
      <c r="L239" s="1">
        <v>45944</v>
      </c>
      <c r="M239" t="s">
        <v>32</v>
      </c>
      <c r="N239" s="1">
        <v>46254</v>
      </c>
      <c r="O239">
        <v>1436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t="s">
        <v>38</v>
      </c>
      <c r="AI239" t="s">
        <v>27</v>
      </c>
      <c r="AJ239" s="1"/>
      <c r="AK239" t="s">
        <v>28</v>
      </c>
      <c r="AL23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39">
        <f>SUM(Rel_2026[[#This Row],[qtd_TrxContabil]:[VLR_EXP_SORTE]])</f>
        <v>1436</v>
      </c>
      <c r="AN23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40" spans="1:40" x14ac:dyDescent="0.3">
      <c r="A240" t="str">
        <f>IF(Rel_2026[[#This Row],[Zero]]=0,"Zero",IF(Rel_2026[[#This Row],[Pontuação]]&gt;=10,"Sim",IF(Rel_2026[[#This Row],[Pontuação]]&gt;=5,"Próximo","Não")))</f>
        <v>Sim</v>
      </c>
      <c r="B240" t="str">
        <f>IF(Rel_2026[[#This Row],[Zero]]=0,"Zero",IF(Rel_2026[[#This Row],[Pontuação2]]&gt;=10,"Sim",IF(Rel_2026[[#This Row],[Pontuação2]]&gt;=5,"Próximo","Não")))</f>
        <v>Sim</v>
      </c>
      <c r="C240" t="str">
        <f>IFERROR(VLOOKUP(Rel_2026[[#This Row],[chave_loja]],Responsavel!A:B,2,FALSE),"EUCLIDES")</f>
        <v>CÉLIO</v>
      </c>
      <c r="D240" t="str">
        <f>LEFT(Rel_2026[[#This Row],[ag_pacb]],4)</f>
        <v>0682</v>
      </c>
      <c r="E240">
        <v>417907</v>
      </c>
      <c r="F240" t="s">
        <v>692</v>
      </c>
      <c r="G240" t="s">
        <v>691</v>
      </c>
      <c r="H240" s="1">
        <v>45930</v>
      </c>
      <c r="I240" t="s">
        <v>23</v>
      </c>
      <c r="J240" t="s">
        <v>24</v>
      </c>
      <c r="K240" s="1">
        <v>45919</v>
      </c>
      <c r="L240" s="1">
        <v>45947</v>
      </c>
      <c r="M240" t="s">
        <v>25</v>
      </c>
      <c r="N240" s="1">
        <v>46254</v>
      </c>
      <c r="O240">
        <v>1</v>
      </c>
      <c r="P240">
        <v>3</v>
      </c>
      <c r="Q240">
        <v>1</v>
      </c>
      <c r="R240">
        <v>3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2</v>
      </c>
      <c r="AG240">
        <v>0</v>
      </c>
      <c r="AH240" t="s">
        <v>26</v>
      </c>
      <c r="AI240" t="s">
        <v>27</v>
      </c>
      <c r="AJ240" s="1"/>
      <c r="AK240" t="s">
        <v>28</v>
      </c>
      <c r="AL24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</v>
      </c>
      <c r="AM240">
        <f>SUM(Rel_2026[[#This Row],[qtd_TrxContabil]:[VLR_EXP_SORTE]])</f>
        <v>10</v>
      </c>
      <c r="AN24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22</v>
      </c>
    </row>
    <row r="241" spans="1:40" x14ac:dyDescent="0.3">
      <c r="A241" t="str">
        <f>IF(Rel_2026[[#This Row],[Zero]]=0,"Zero",IF(Rel_2026[[#This Row],[Pontuação]]&gt;=10,"Sim",IF(Rel_2026[[#This Row],[Pontuação]]&gt;=5,"Próximo","Não")))</f>
        <v>Não</v>
      </c>
      <c r="B241" t="str">
        <f>IF(Rel_2026[[#This Row],[Zero]]=0,"Zero",IF(Rel_2026[[#This Row],[Pontuação2]]&gt;=10,"Sim",IF(Rel_2026[[#This Row],[Pontuação2]]&gt;=5,"Próximo","Não")))</f>
        <v>Não</v>
      </c>
      <c r="C241" t="str">
        <f>IFERROR(VLOOKUP(Rel_2026[[#This Row],[chave_loja]],Responsavel!A:B,2,FALSE),"EUCLIDES")</f>
        <v>JOSELITO</v>
      </c>
      <c r="D241" t="str">
        <f>LEFT(Rel_2026[[#This Row],[ag_pacb]],4)</f>
        <v>0685</v>
      </c>
      <c r="E241">
        <v>424555</v>
      </c>
      <c r="F241" t="s">
        <v>1303</v>
      </c>
      <c r="G241" t="s">
        <v>1304</v>
      </c>
      <c r="H241" s="1">
        <v>46182</v>
      </c>
      <c r="I241" t="s">
        <v>23</v>
      </c>
      <c r="J241" t="s">
        <v>374</v>
      </c>
      <c r="K241" s="1">
        <v>46174</v>
      </c>
      <c r="L241" s="1"/>
      <c r="M241" t="s">
        <v>25</v>
      </c>
      <c r="N241" s="1">
        <v>46254</v>
      </c>
      <c r="O241">
        <v>79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 t="s">
        <v>38</v>
      </c>
      <c r="AI241" t="s">
        <v>27</v>
      </c>
      <c r="AJ241" s="1"/>
      <c r="AK241" t="s">
        <v>28</v>
      </c>
      <c r="AL24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41">
        <f>SUM(Rel_2026[[#This Row],[qtd_TrxContabil]:[VLR_EXP_SORTE]])</f>
        <v>79</v>
      </c>
      <c r="AN24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42" spans="1:40" x14ac:dyDescent="0.3">
      <c r="A242" t="str">
        <f>IF(Rel_2026[[#This Row],[Zero]]=0,"Zero",IF(Rel_2026[[#This Row],[Pontuação]]&gt;=10,"Sim",IF(Rel_2026[[#This Row],[Pontuação]]&gt;=5,"Próximo","Não")))</f>
        <v>Sim</v>
      </c>
      <c r="B242" t="str">
        <f>IF(Rel_2026[[#This Row],[Zero]]=0,"Zero",IF(Rel_2026[[#This Row],[Pontuação2]]&gt;=10,"Sim",IF(Rel_2026[[#This Row],[Pontuação2]]&gt;=5,"Próximo","Não")))</f>
        <v>Sim</v>
      </c>
      <c r="C242" t="str">
        <f>IFERROR(VLOOKUP(Rel_2026[[#This Row],[chave_loja]],Responsavel!A:B,2,FALSE),"EUCLIDES")</f>
        <v>WASTHSON</v>
      </c>
      <c r="D242" t="str">
        <f>LEFT(Rel_2026[[#This Row],[ag_pacb]],4)</f>
        <v>0702</v>
      </c>
      <c r="E242">
        <v>52069</v>
      </c>
      <c r="F242" t="s">
        <v>236</v>
      </c>
      <c r="G242" t="s">
        <v>237</v>
      </c>
      <c r="H242" s="1">
        <v>44444</v>
      </c>
      <c r="I242" t="s">
        <v>23</v>
      </c>
      <c r="J242" t="s">
        <v>226</v>
      </c>
      <c r="K242" s="1">
        <v>42138</v>
      </c>
      <c r="L242" s="1">
        <v>46219</v>
      </c>
      <c r="M242" t="s">
        <v>32</v>
      </c>
      <c r="N242" s="1">
        <v>46254</v>
      </c>
      <c r="O242">
        <v>2614</v>
      </c>
      <c r="P242">
        <v>0</v>
      </c>
      <c r="Q242">
        <v>0</v>
      </c>
      <c r="R242">
        <v>0</v>
      </c>
      <c r="S242">
        <v>0</v>
      </c>
      <c r="T242">
        <v>1400</v>
      </c>
      <c r="U242">
        <v>3093</v>
      </c>
      <c r="V242">
        <v>3093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 t="s">
        <v>26</v>
      </c>
      <c r="AI242" t="s">
        <v>27</v>
      </c>
      <c r="AJ242" s="1"/>
      <c r="AK242" t="s">
        <v>28</v>
      </c>
      <c r="AL24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</v>
      </c>
      <c r="AM242">
        <f>SUM(Rel_2026[[#This Row],[qtd_TrxContabil]:[VLR_EXP_SORTE]])</f>
        <v>10200</v>
      </c>
      <c r="AN24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</v>
      </c>
    </row>
    <row r="243" spans="1:40" x14ac:dyDescent="0.3">
      <c r="A243" t="str">
        <f>IF(Rel_2026[[#This Row],[Zero]]=0,"Zero",IF(Rel_2026[[#This Row],[Pontuação]]&gt;=10,"Sim",IF(Rel_2026[[#This Row],[Pontuação]]&gt;=5,"Próximo","Não")))</f>
        <v>Não</v>
      </c>
      <c r="B243" t="str">
        <f>IF(Rel_2026[[#This Row],[Zero]]=0,"Zero",IF(Rel_2026[[#This Row],[Pontuação2]]&gt;=10,"Sim",IF(Rel_2026[[#This Row],[Pontuação2]]&gt;=5,"Próximo","Não")))</f>
        <v>Não</v>
      </c>
      <c r="C243" t="str">
        <f>IFERROR(VLOOKUP(Rel_2026[[#This Row],[chave_loja]],Responsavel!A:B,2,FALSE),"EUCLIDES")</f>
        <v>ALEX SIQUEIRA</v>
      </c>
      <c r="D243" t="str">
        <f>LEFT(Rel_2026[[#This Row],[ag_pacb]],4)</f>
        <v>0726</v>
      </c>
      <c r="E243">
        <v>75109</v>
      </c>
      <c r="F243" t="s">
        <v>717</v>
      </c>
      <c r="G243" t="s">
        <v>1197</v>
      </c>
      <c r="H243" s="1">
        <v>45637</v>
      </c>
      <c r="I243" t="s">
        <v>23</v>
      </c>
      <c r="J243" t="s">
        <v>217</v>
      </c>
      <c r="K243" s="1">
        <v>45610</v>
      </c>
      <c r="L243" s="1">
        <v>45665</v>
      </c>
      <c r="M243" t="s">
        <v>109</v>
      </c>
      <c r="N243" s="1">
        <v>46253</v>
      </c>
      <c r="O243">
        <v>218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 t="s">
        <v>38</v>
      </c>
      <c r="AI243" t="s">
        <v>27</v>
      </c>
      <c r="AJ243" s="1"/>
      <c r="AK243" t="s">
        <v>28</v>
      </c>
      <c r="AL24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43">
        <f>SUM(Rel_2026[[#This Row],[qtd_TrxContabil]:[VLR_EXP_SORTE]])</f>
        <v>218</v>
      </c>
      <c r="AN24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44" spans="1:40" x14ac:dyDescent="0.3">
      <c r="A244" t="str">
        <f>IF(Rel_2026[[#This Row],[Zero]]=0,"Zero",IF(Rel_2026[[#This Row],[Pontuação]]&gt;=10,"Sim",IF(Rel_2026[[#This Row],[Pontuação]]&gt;=5,"Próximo","Não")))</f>
        <v>Não</v>
      </c>
      <c r="B244" t="str">
        <f>IF(Rel_2026[[#This Row],[Zero]]=0,"Zero",IF(Rel_2026[[#This Row],[Pontuação2]]&gt;=10,"Sim",IF(Rel_2026[[#This Row],[Pontuação2]]&gt;=5,"Próximo","Não")))</f>
        <v>Não</v>
      </c>
      <c r="C244" t="str">
        <f>IFERROR(VLOOKUP(Rel_2026[[#This Row],[chave_loja]],Responsavel!A:B,2,FALSE),"EUCLIDES")</f>
        <v>CÉLIO</v>
      </c>
      <c r="D244" t="str">
        <f>LEFT(Rel_2026[[#This Row],[ag_pacb]],4)</f>
        <v>0607</v>
      </c>
      <c r="E244">
        <v>130684</v>
      </c>
      <c r="F244" t="s">
        <v>747</v>
      </c>
      <c r="G244" t="s">
        <v>748</v>
      </c>
      <c r="H244" s="1">
        <v>45364</v>
      </c>
      <c r="I244" t="s">
        <v>23</v>
      </c>
      <c r="J244" t="s">
        <v>24</v>
      </c>
      <c r="K244" s="1">
        <v>42237</v>
      </c>
      <c r="L244" s="1">
        <v>45099</v>
      </c>
      <c r="M244" t="s">
        <v>25</v>
      </c>
      <c r="N244" s="1">
        <v>46254</v>
      </c>
      <c r="O244">
        <v>114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 t="s">
        <v>26</v>
      </c>
      <c r="AI244" t="s">
        <v>27</v>
      </c>
      <c r="AJ244" s="1"/>
      <c r="AK244" t="s">
        <v>28</v>
      </c>
      <c r="AL24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44">
        <f>SUM(Rel_2026[[#This Row],[qtd_TrxContabil]:[VLR_EXP_SORTE]])</f>
        <v>114</v>
      </c>
      <c r="AN24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45" spans="1:40" x14ac:dyDescent="0.3">
      <c r="A245" t="str">
        <f>IF(Rel_2026[[#This Row],[Zero]]=0,"Zero",IF(Rel_2026[[#This Row],[Pontuação]]&gt;=10,"Sim",IF(Rel_2026[[#This Row],[Pontuação]]&gt;=5,"Próximo","Não")))</f>
        <v>Não</v>
      </c>
      <c r="B245" t="str">
        <f>IF(Rel_2026[[#This Row],[Zero]]=0,"Zero",IF(Rel_2026[[#This Row],[Pontuação2]]&gt;=10,"Sim",IF(Rel_2026[[#This Row],[Pontuação2]]&gt;=5,"Próximo","Não")))</f>
        <v>Não</v>
      </c>
      <c r="C245" t="str">
        <f>IFERROR(VLOOKUP(Rel_2026[[#This Row],[chave_loja]],Responsavel!A:B,2,FALSE),"EUCLIDES")</f>
        <v>GIL</v>
      </c>
      <c r="D245" t="str">
        <f>LEFT(Rel_2026[[#This Row],[ag_pacb]],4)</f>
        <v>5387</v>
      </c>
      <c r="E245">
        <v>217448</v>
      </c>
      <c r="F245" t="s">
        <v>72</v>
      </c>
      <c r="G245" t="s">
        <v>73</v>
      </c>
      <c r="H245" s="1">
        <v>46142</v>
      </c>
      <c r="I245" t="s">
        <v>23</v>
      </c>
      <c r="J245" t="s">
        <v>74</v>
      </c>
      <c r="K245" s="1">
        <v>44327</v>
      </c>
      <c r="L245" s="1">
        <v>46182</v>
      </c>
      <c r="M245" t="s">
        <v>32</v>
      </c>
      <c r="N245" s="1">
        <v>46253</v>
      </c>
      <c r="O245">
        <v>905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 t="s">
        <v>38</v>
      </c>
      <c r="AI245" t="s">
        <v>27</v>
      </c>
      <c r="AJ245" s="1"/>
      <c r="AK245" t="s">
        <v>28</v>
      </c>
      <c r="AL24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45">
        <f>SUM(Rel_2026[[#This Row],[qtd_TrxContabil]:[VLR_EXP_SORTE]])</f>
        <v>905</v>
      </c>
      <c r="AN24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46" spans="1:40" x14ac:dyDescent="0.3">
      <c r="A246" t="str">
        <f>IF(Rel_2026[[#This Row],[Zero]]=0,"Zero",IF(Rel_2026[[#This Row],[Pontuação]]&gt;=10,"Sim",IF(Rel_2026[[#This Row],[Pontuação]]&gt;=5,"Próximo","Não")))</f>
        <v>Próximo</v>
      </c>
      <c r="B246" t="str">
        <f>IF(Rel_2026[[#This Row],[Zero]]=0,"Zero",IF(Rel_2026[[#This Row],[Pontuação2]]&gt;=10,"Sim",IF(Rel_2026[[#This Row],[Pontuação2]]&gt;=5,"Próximo","Não")))</f>
        <v>Sim</v>
      </c>
      <c r="C246" t="str">
        <f>IFERROR(VLOOKUP(Rel_2026[[#This Row],[chave_loja]],Responsavel!A:B,2,FALSE),"EUCLIDES")</f>
        <v>IVAN</v>
      </c>
      <c r="D246" t="str">
        <f>LEFT(Rel_2026[[#This Row],[ag_pacb]],4)</f>
        <v>0767</v>
      </c>
      <c r="E246">
        <v>416436</v>
      </c>
      <c r="F246" t="s">
        <v>680</v>
      </c>
      <c r="G246" t="s">
        <v>679</v>
      </c>
      <c r="H246" s="1">
        <v>45919</v>
      </c>
      <c r="I246" t="s">
        <v>23</v>
      </c>
      <c r="J246" t="s">
        <v>93</v>
      </c>
      <c r="K246" s="1">
        <v>45896</v>
      </c>
      <c r="L246" s="1">
        <v>45947</v>
      </c>
      <c r="M246" t="s">
        <v>25</v>
      </c>
      <c r="N246" s="1">
        <v>46254</v>
      </c>
      <c r="O246">
        <v>41</v>
      </c>
      <c r="P246">
        <v>1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 t="s">
        <v>26</v>
      </c>
      <c r="AI246" t="s">
        <v>27</v>
      </c>
      <c r="AJ246" s="1"/>
      <c r="AK246" t="s">
        <v>28</v>
      </c>
      <c r="AL24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246">
        <f>SUM(Rel_2026[[#This Row],[qtd_TrxContabil]:[VLR_EXP_SORTE]])</f>
        <v>45</v>
      </c>
      <c r="AN24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247" spans="1:40" x14ac:dyDescent="0.3">
      <c r="A247" t="str">
        <f>IF(Rel_2026[[#This Row],[Zero]]=0,"Zero",IF(Rel_2026[[#This Row],[Pontuação]]&gt;=10,"Sim",IF(Rel_2026[[#This Row],[Pontuação]]&gt;=5,"Próximo","Não")))</f>
        <v>Não</v>
      </c>
      <c r="B247" t="str">
        <f>IF(Rel_2026[[#This Row],[Zero]]=0,"Zero",IF(Rel_2026[[#This Row],[Pontuação2]]&gt;=10,"Sim",IF(Rel_2026[[#This Row],[Pontuação2]]&gt;=5,"Próximo","Não")))</f>
        <v>Não</v>
      </c>
      <c r="C247" t="str">
        <f>IFERROR(VLOOKUP(Rel_2026[[#This Row],[chave_loja]],Responsavel!A:B,2,FALSE),"EUCLIDES")</f>
        <v>NYCOLLAS</v>
      </c>
      <c r="D247" t="str">
        <f>LEFT(Rel_2026[[#This Row],[ag_pacb]],4)</f>
        <v>0699</v>
      </c>
      <c r="E247">
        <v>414194</v>
      </c>
      <c r="F247" t="s">
        <v>749</v>
      </c>
      <c r="G247" t="s">
        <v>750</v>
      </c>
      <c r="H247" s="1">
        <v>45875</v>
      </c>
      <c r="I247" t="s">
        <v>23</v>
      </c>
      <c r="J247" t="s">
        <v>145</v>
      </c>
      <c r="K247" s="1">
        <v>45827</v>
      </c>
      <c r="L247" s="1">
        <v>45881</v>
      </c>
      <c r="M247" t="s">
        <v>32</v>
      </c>
      <c r="N247" s="1">
        <v>46254</v>
      </c>
      <c r="O247">
        <v>94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 t="s">
        <v>26</v>
      </c>
      <c r="AI247" t="s">
        <v>27</v>
      </c>
      <c r="AJ247" s="1"/>
      <c r="AK247" t="s">
        <v>28</v>
      </c>
      <c r="AL24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47">
        <f>SUM(Rel_2026[[#This Row],[qtd_TrxContabil]:[VLR_EXP_SORTE]])</f>
        <v>94</v>
      </c>
      <c r="AN24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48" spans="1:40" x14ac:dyDescent="0.3">
      <c r="A248" t="str">
        <f>IF(Rel_2026[[#This Row],[Zero]]=0,"Zero",IF(Rel_2026[[#This Row],[Pontuação]]&gt;=10,"Sim",IF(Rel_2026[[#This Row],[Pontuação]]&gt;=5,"Próximo","Não")))</f>
        <v>Não</v>
      </c>
      <c r="B248" t="str">
        <f>IF(Rel_2026[[#This Row],[Zero]]=0,"Zero",IF(Rel_2026[[#This Row],[Pontuação2]]&gt;=10,"Sim",IF(Rel_2026[[#This Row],[Pontuação2]]&gt;=5,"Próximo","Não")))</f>
        <v>Não</v>
      </c>
      <c r="C248" t="str">
        <f>IFERROR(VLOOKUP(Rel_2026[[#This Row],[chave_loja]],Responsavel!A:B,2,FALSE),"EUCLIDES")</f>
        <v>JUNIOR</v>
      </c>
      <c r="D248" t="str">
        <f>LEFT(Rel_2026[[#This Row],[ag_pacb]],4)</f>
        <v>0684</v>
      </c>
      <c r="E248">
        <v>409158</v>
      </c>
      <c r="F248" t="s">
        <v>1248</v>
      </c>
      <c r="G248" t="s">
        <v>1249</v>
      </c>
      <c r="H248" s="1">
        <v>45680</v>
      </c>
      <c r="I248" t="s">
        <v>23</v>
      </c>
      <c r="J248" t="s">
        <v>37</v>
      </c>
      <c r="K248" s="1">
        <v>45675</v>
      </c>
      <c r="L248" s="1">
        <v>45764</v>
      </c>
      <c r="M248" t="s">
        <v>32</v>
      </c>
      <c r="N248" s="1">
        <v>46254</v>
      </c>
      <c r="O248">
        <v>359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 t="s">
        <v>26</v>
      </c>
      <c r="AI248" t="s">
        <v>27</v>
      </c>
      <c r="AJ248" s="1"/>
      <c r="AK248" t="s">
        <v>28</v>
      </c>
      <c r="AL24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48">
        <f>SUM(Rel_2026[[#This Row],[qtd_TrxContabil]:[VLR_EXP_SORTE]])</f>
        <v>359</v>
      </c>
      <c r="AN24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49" spans="1:40" x14ac:dyDescent="0.3">
      <c r="A249" t="str">
        <f>IF(Rel_2026[[#This Row],[Zero]]=0,"Zero",IF(Rel_2026[[#This Row],[Pontuação]]&gt;=10,"Sim",IF(Rel_2026[[#This Row],[Pontuação]]&gt;=5,"Próximo","Não")))</f>
        <v>Zero</v>
      </c>
      <c r="B249" t="str">
        <f>IF(Rel_2026[[#This Row],[Zero]]=0,"Zero",IF(Rel_2026[[#This Row],[Pontuação2]]&gt;=10,"Sim",IF(Rel_2026[[#This Row],[Pontuação2]]&gt;=5,"Próximo","Não")))</f>
        <v>Zero</v>
      </c>
      <c r="C249" t="str">
        <f>IFERROR(VLOOKUP(Rel_2026[[#This Row],[chave_loja]],Responsavel!A:B,2,FALSE),"EUCLIDES")</f>
        <v>NYCOLLAS</v>
      </c>
      <c r="D249" t="str">
        <f>LEFT(Rel_2026[[#This Row],[ag_pacb]],4)</f>
        <v>0719</v>
      </c>
      <c r="E249">
        <v>410723</v>
      </c>
      <c r="F249" t="s">
        <v>1421</v>
      </c>
      <c r="G249" t="s">
        <v>1422</v>
      </c>
      <c r="H249" s="1">
        <v>45744</v>
      </c>
      <c r="I249" t="s">
        <v>23</v>
      </c>
      <c r="J249" t="s">
        <v>127</v>
      </c>
      <c r="K249" s="1">
        <v>45738</v>
      </c>
      <c r="L249" s="1">
        <v>45757</v>
      </c>
      <c r="M249" t="s">
        <v>32</v>
      </c>
      <c r="N249" s="1">
        <v>46203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 t="s">
        <v>26</v>
      </c>
      <c r="AI249" t="s">
        <v>27</v>
      </c>
      <c r="AJ249" s="1"/>
      <c r="AK249" t="s">
        <v>28</v>
      </c>
      <c r="AL24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49">
        <f>SUM(Rel_2026[[#This Row],[qtd_TrxContabil]:[VLR_EXP_SORTE]])</f>
        <v>0</v>
      </c>
      <c r="AN24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50" spans="1:40" x14ac:dyDescent="0.3">
      <c r="A250" t="str">
        <f>IF(Rel_2026[[#This Row],[Zero]]=0,"Zero",IF(Rel_2026[[#This Row],[Pontuação]]&gt;=10,"Sim",IF(Rel_2026[[#This Row],[Pontuação]]&gt;=5,"Próximo","Não")))</f>
        <v>Sim</v>
      </c>
      <c r="B250" t="str">
        <f>IF(Rel_2026[[#This Row],[Zero]]=0,"Zero",IF(Rel_2026[[#This Row],[Pontuação2]]&gt;=10,"Sim",IF(Rel_2026[[#This Row],[Pontuação2]]&gt;=5,"Próximo","Não")))</f>
        <v>Sim</v>
      </c>
      <c r="C250" t="str">
        <f>IFERROR(VLOOKUP(Rel_2026[[#This Row],[chave_loja]],Responsavel!A:B,2,FALSE),"EUCLIDES")</f>
        <v>JUNIOR</v>
      </c>
      <c r="D250" t="str">
        <f>LEFT(Rel_2026[[#This Row],[ag_pacb]],4)</f>
        <v>5367</v>
      </c>
      <c r="E250">
        <v>153288</v>
      </c>
      <c r="F250" t="s">
        <v>285</v>
      </c>
      <c r="G250" t="s">
        <v>286</v>
      </c>
      <c r="H250" s="1">
        <v>45105</v>
      </c>
      <c r="I250" t="s">
        <v>23</v>
      </c>
      <c r="J250" t="s">
        <v>58</v>
      </c>
      <c r="K250" s="1">
        <v>43145</v>
      </c>
      <c r="L250" s="1">
        <v>44865</v>
      </c>
      <c r="M250" t="s">
        <v>32</v>
      </c>
      <c r="N250" s="1">
        <v>46254</v>
      </c>
      <c r="O250">
        <v>1768</v>
      </c>
      <c r="P250">
        <v>2</v>
      </c>
      <c r="Q250">
        <v>2</v>
      </c>
      <c r="R250">
        <v>1</v>
      </c>
      <c r="S250">
        <v>0</v>
      </c>
      <c r="T250">
        <v>500</v>
      </c>
      <c r="U250">
        <v>4962</v>
      </c>
      <c r="V250">
        <v>4962</v>
      </c>
      <c r="W250">
        <v>0</v>
      </c>
      <c r="X250">
        <v>0</v>
      </c>
      <c r="Y250">
        <v>2000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 t="s">
        <v>38</v>
      </c>
      <c r="AI250" t="s">
        <v>27</v>
      </c>
      <c r="AJ250" s="1"/>
      <c r="AK250" t="s">
        <v>28</v>
      </c>
      <c r="AL25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29</v>
      </c>
      <c r="AM250">
        <f>SUM(Rel_2026[[#This Row],[qtd_TrxContabil]:[VLR_EXP_SORTE]])</f>
        <v>14198</v>
      </c>
      <c r="AN25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32</v>
      </c>
    </row>
    <row r="251" spans="1:40" x14ac:dyDescent="0.3">
      <c r="A251" t="str">
        <f>IF(Rel_2026[[#This Row],[Zero]]=0,"Zero",IF(Rel_2026[[#This Row],[Pontuação]]&gt;=10,"Sim",IF(Rel_2026[[#This Row],[Pontuação]]&gt;=5,"Próximo","Não")))</f>
        <v>Zero</v>
      </c>
      <c r="B251" t="str">
        <f>IF(Rel_2026[[#This Row],[Zero]]=0,"Zero",IF(Rel_2026[[#This Row],[Pontuação2]]&gt;=10,"Sim",IF(Rel_2026[[#This Row],[Pontuação2]]&gt;=5,"Próximo","Não")))</f>
        <v>Zero</v>
      </c>
      <c r="C251" t="str">
        <f>IFERROR(VLOOKUP(Rel_2026[[#This Row],[chave_loja]],Responsavel!A:B,2,FALSE),"EUCLIDES")</f>
        <v>GIL</v>
      </c>
      <c r="D251" t="str">
        <f>LEFT(Rel_2026[[#This Row],[ag_pacb]],4)</f>
        <v>5387</v>
      </c>
      <c r="E251">
        <v>166719</v>
      </c>
      <c r="F251" t="s">
        <v>1112</v>
      </c>
      <c r="G251" t="s">
        <v>1113</v>
      </c>
      <c r="H251" s="1">
        <v>45938</v>
      </c>
      <c r="I251" t="s">
        <v>23</v>
      </c>
      <c r="J251" t="s">
        <v>74</v>
      </c>
      <c r="K251" s="1">
        <v>43335</v>
      </c>
      <c r="L251" s="1">
        <v>43229</v>
      </c>
      <c r="M251" t="s">
        <v>32</v>
      </c>
      <c r="N251" s="1">
        <v>46079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 t="s">
        <v>38</v>
      </c>
      <c r="AI251" t="s">
        <v>56</v>
      </c>
      <c r="AJ251" s="1">
        <v>46139</v>
      </c>
      <c r="AK251" t="s">
        <v>28</v>
      </c>
      <c r="AL25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51">
        <f>SUM(Rel_2026[[#This Row],[qtd_TrxContabil]:[VLR_EXP_SORTE]])</f>
        <v>0</v>
      </c>
      <c r="AN25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52" spans="1:40" x14ac:dyDescent="0.3">
      <c r="A252" t="str">
        <f>IF(Rel_2026[[#This Row],[Zero]]=0,"Zero",IF(Rel_2026[[#This Row],[Pontuação]]&gt;=10,"Sim",IF(Rel_2026[[#This Row],[Pontuação]]&gt;=5,"Próximo","Não")))</f>
        <v>Não</v>
      </c>
      <c r="B252" t="str">
        <f>IF(Rel_2026[[#This Row],[Zero]]=0,"Zero",IF(Rel_2026[[#This Row],[Pontuação2]]&gt;=10,"Sim",IF(Rel_2026[[#This Row],[Pontuação2]]&gt;=5,"Próximo","Não")))</f>
        <v>Não</v>
      </c>
      <c r="C252" t="str">
        <f>IFERROR(VLOOKUP(Rel_2026[[#This Row],[chave_loja]],Responsavel!A:B,2,FALSE),"EUCLIDES")</f>
        <v>GIL</v>
      </c>
      <c r="D252" t="str">
        <f>LEFT(Rel_2026[[#This Row],[ag_pacb]],4)</f>
        <v>5387</v>
      </c>
      <c r="E252">
        <v>170825</v>
      </c>
      <c r="F252" t="s">
        <v>645</v>
      </c>
      <c r="G252" t="s">
        <v>646</v>
      </c>
      <c r="H252" s="1">
        <v>45196</v>
      </c>
      <c r="I252" t="s">
        <v>23</v>
      </c>
      <c r="J252" t="s">
        <v>74</v>
      </c>
      <c r="K252" s="1">
        <v>45152</v>
      </c>
      <c r="L252" s="1">
        <v>45372</v>
      </c>
      <c r="M252" t="s">
        <v>32</v>
      </c>
      <c r="N252" s="1">
        <v>46254</v>
      </c>
      <c r="O252">
        <v>482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 t="s">
        <v>38</v>
      </c>
      <c r="AI252" t="s">
        <v>27</v>
      </c>
      <c r="AJ252" s="1"/>
      <c r="AK252" t="s">
        <v>28</v>
      </c>
      <c r="AL25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52">
        <f>SUM(Rel_2026[[#This Row],[qtd_TrxContabil]:[VLR_EXP_SORTE]])</f>
        <v>482</v>
      </c>
      <c r="AN25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53" spans="1:40" x14ac:dyDescent="0.3">
      <c r="A253" t="str">
        <f>IF(Rel_2026[[#This Row],[Zero]]=0,"Zero",IF(Rel_2026[[#This Row],[Pontuação]]&gt;=10,"Sim",IF(Rel_2026[[#This Row],[Pontuação]]&gt;=5,"Próximo","Não")))</f>
        <v>Sim</v>
      </c>
      <c r="B253" t="str">
        <f>IF(Rel_2026[[#This Row],[Zero]]=0,"Zero",IF(Rel_2026[[#This Row],[Pontuação2]]&gt;=10,"Sim",IF(Rel_2026[[#This Row],[Pontuação2]]&gt;=5,"Próximo","Não")))</f>
        <v>Sim</v>
      </c>
      <c r="C253" t="str">
        <f>IFERROR(VLOOKUP(Rel_2026[[#This Row],[chave_loja]],Responsavel!A:B,2,FALSE),"EUCLIDES")</f>
        <v>JUNIOR</v>
      </c>
      <c r="D253" t="str">
        <f>LEFT(Rel_2026[[#This Row],[ag_pacb]],4)</f>
        <v>2245</v>
      </c>
      <c r="E253">
        <v>225366</v>
      </c>
      <c r="F253" t="s">
        <v>1315</v>
      </c>
      <c r="G253" t="s">
        <v>1316</v>
      </c>
      <c r="H253" s="1">
        <v>44456</v>
      </c>
      <c r="I253" t="s">
        <v>23</v>
      </c>
      <c r="J253" t="s">
        <v>162</v>
      </c>
      <c r="K253" s="1">
        <v>44830</v>
      </c>
      <c r="L253" s="1">
        <v>46227</v>
      </c>
      <c r="M253" t="s">
        <v>32</v>
      </c>
      <c r="N253" s="1">
        <v>46254</v>
      </c>
      <c r="O253">
        <v>1925</v>
      </c>
      <c r="P253">
        <v>1</v>
      </c>
      <c r="Q253">
        <v>1</v>
      </c>
      <c r="R253">
        <v>0</v>
      </c>
      <c r="S253">
        <v>0</v>
      </c>
      <c r="T253">
        <v>1249</v>
      </c>
      <c r="U253">
        <v>8070</v>
      </c>
      <c r="V253">
        <v>8070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 t="s">
        <v>38</v>
      </c>
      <c r="AI253" t="s">
        <v>27</v>
      </c>
      <c r="AJ253" s="1"/>
      <c r="AK253" t="s">
        <v>28</v>
      </c>
      <c r="AL25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27</v>
      </c>
      <c r="AM253">
        <f>SUM(Rel_2026[[#This Row],[qtd_TrxContabil]:[VLR_EXP_SORTE]])</f>
        <v>19316</v>
      </c>
      <c r="AN25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27</v>
      </c>
    </row>
    <row r="254" spans="1:40" x14ac:dyDescent="0.3">
      <c r="A254" t="str">
        <f>IF(Rel_2026[[#This Row],[Zero]]=0,"Zero",IF(Rel_2026[[#This Row],[Pontuação]]&gt;=10,"Sim",IF(Rel_2026[[#This Row],[Pontuação]]&gt;=5,"Próximo","Não")))</f>
        <v>Sim</v>
      </c>
      <c r="B254" t="str">
        <f>IF(Rel_2026[[#This Row],[Zero]]=0,"Zero",IF(Rel_2026[[#This Row],[Pontuação2]]&gt;=10,"Sim",IF(Rel_2026[[#This Row],[Pontuação2]]&gt;=5,"Próximo","Não")))</f>
        <v>Sim</v>
      </c>
      <c r="C254" t="str">
        <f>IFERROR(VLOOKUP(Rel_2026[[#This Row],[chave_loja]],Responsavel!A:B,2,FALSE),"EUCLIDES")</f>
        <v>ISMAEL</v>
      </c>
      <c r="D254" t="str">
        <f>LEFT(Rel_2026[[#This Row],[ag_pacb]],4)</f>
        <v>0704</v>
      </c>
      <c r="E254">
        <v>139942</v>
      </c>
      <c r="F254" t="s">
        <v>76</v>
      </c>
      <c r="G254" t="s">
        <v>77</v>
      </c>
      <c r="H254" s="1">
        <v>45131</v>
      </c>
      <c r="I254" t="s">
        <v>23</v>
      </c>
      <c r="J254" t="s">
        <v>78</v>
      </c>
      <c r="K254" s="1">
        <v>42142</v>
      </c>
      <c r="L254" s="1">
        <v>46183</v>
      </c>
      <c r="M254" t="s">
        <v>25</v>
      </c>
      <c r="N254" s="1">
        <v>46254</v>
      </c>
      <c r="O254">
        <v>495</v>
      </c>
      <c r="P254">
        <v>2</v>
      </c>
      <c r="Q254">
        <v>2</v>
      </c>
      <c r="R254">
        <v>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t="s">
        <v>38</v>
      </c>
      <c r="AI254" t="s">
        <v>27</v>
      </c>
      <c r="AJ254" s="1"/>
      <c r="AK254" t="s">
        <v>28</v>
      </c>
      <c r="AL25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254">
        <f>SUM(Rel_2026[[#This Row],[qtd_TrxContabil]:[VLR_EXP_SORTE]])</f>
        <v>501</v>
      </c>
      <c r="AN25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255" spans="1:40" x14ac:dyDescent="0.3">
      <c r="A255" t="str">
        <f>IF(Rel_2026[[#This Row],[Zero]]=0,"Zero",IF(Rel_2026[[#This Row],[Pontuação]]&gt;=10,"Sim",IF(Rel_2026[[#This Row],[Pontuação]]&gt;=5,"Próximo","Não")))</f>
        <v>Sim</v>
      </c>
      <c r="B255" t="str">
        <f>IF(Rel_2026[[#This Row],[Zero]]=0,"Zero",IF(Rel_2026[[#This Row],[Pontuação2]]&gt;=10,"Sim",IF(Rel_2026[[#This Row],[Pontuação2]]&gt;=5,"Próximo","Não")))</f>
        <v>Sim</v>
      </c>
      <c r="C255" t="str">
        <f>IFERROR(VLOOKUP(Rel_2026[[#This Row],[chave_loja]],Responsavel!A:B,2,FALSE),"EUCLIDES")</f>
        <v>JUNIOR</v>
      </c>
      <c r="D255" t="str">
        <f>LEFT(Rel_2026[[#This Row],[ag_pacb]],4)</f>
        <v>1351</v>
      </c>
      <c r="E255">
        <v>255275</v>
      </c>
      <c r="F255" t="s">
        <v>1034</v>
      </c>
      <c r="G255" t="s">
        <v>1035</v>
      </c>
      <c r="H255" s="1">
        <v>45273</v>
      </c>
      <c r="I255" t="s">
        <v>23</v>
      </c>
      <c r="J255" t="s">
        <v>988</v>
      </c>
      <c r="K255" s="1">
        <v>45306</v>
      </c>
      <c r="L255" s="1">
        <v>45278</v>
      </c>
      <c r="M255" t="s">
        <v>32</v>
      </c>
      <c r="N255" s="1">
        <v>46254</v>
      </c>
      <c r="O255">
        <v>1522</v>
      </c>
      <c r="P255">
        <v>3</v>
      </c>
      <c r="Q255">
        <v>3</v>
      </c>
      <c r="R255">
        <v>3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2</v>
      </c>
      <c r="AB255">
        <v>1</v>
      </c>
      <c r="AC255">
        <v>0</v>
      </c>
      <c r="AD255">
        <v>0</v>
      </c>
      <c r="AE255">
        <v>0</v>
      </c>
      <c r="AF255">
        <v>3</v>
      </c>
      <c r="AG255">
        <v>0</v>
      </c>
      <c r="AH255" t="s">
        <v>26</v>
      </c>
      <c r="AI255" t="s">
        <v>27</v>
      </c>
      <c r="AJ255" s="1"/>
      <c r="AK255" t="s">
        <v>28</v>
      </c>
      <c r="AL25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23</v>
      </c>
      <c r="AM255">
        <f>SUM(Rel_2026[[#This Row],[qtd_TrxContabil]:[VLR_EXP_SORTE]])</f>
        <v>1538</v>
      </c>
      <c r="AN25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32</v>
      </c>
    </row>
    <row r="256" spans="1:40" x14ac:dyDescent="0.3">
      <c r="A256" t="str">
        <f>IF(Rel_2026[[#This Row],[Zero]]=0,"Zero",IF(Rel_2026[[#This Row],[Pontuação]]&gt;=10,"Sim",IF(Rel_2026[[#This Row],[Pontuação]]&gt;=5,"Próximo","Não")))</f>
        <v>Não</v>
      </c>
      <c r="B256" t="str">
        <f>IF(Rel_2026[[#This Row],[Zero]]=0,"Zero",IF(Rel_2026[[#This Row],[Pontuação2]]&gt;=10,"Sim",IF(Rel_2026[[#This Row],[Pontuação2]]&gt;=5,"Próximo","Não")))</f>
        <v>Não</v>
      </c>
      <c r="C256" t="str">
        <f>IFERROR(VLOOKUP(Rel_2026[[#This Row],[chave_loja]],Responsavel!A:B,2,FALSE),"EUCLIDES")</f>
        <v>CÉLIO</v>
      </c>
      <c r="D256" t="str">
        <f>LEFT(Rel_2026[[#This Row],[ag_pacb]],4)</f>
        <v>1579</v>
      </c>
      <c r="E256">
        <v>422809</v>
      </c>
      <c r="F256" t="s">
        <v>1156</v>
      </c>
      <c r="G256" t="s">
        <v>1157</v>
      </c>
      <c r="H256" s="1">
        <v>46094</v>
      </c>
      <c r="I256" t="s">
        <v>23</v>
      </c>
      <c r="J256" t="s">
        <v>292</v>
      </c>
      <c r="K256" s="1">
        <v>46087</v>
      </c>
      <c r="L256" s="1">
        <v>46132</v>
      </c>
      <c r="M256" t="s">
        <v>32</v>
      </c>
      <c r="N256" s="1">
        <v>46249</v>
      </c>
      <c r="O256">
        <v>19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 t="s">
        <v>26</v>
      </c>
      <c r="AI256" t="s">
        <v>27</v>
      </c>
      <c r="AJ256" s="1"/>
      <c r="AK256" t="s">
        <v>28</v>
      </c>
      <c r="AL25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56">
        <f>SUM(Rel_2026[[#This Row],[qtd_TrxContabil]:[VLR_EXP_SORTE]])</f>
        <v>19</v>
      </c>
      <c r="AN25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57" spans="1:40" x14ac:dyDescent="0.3">
      <c r="A257" t="str">
        <f>IF(Rel_2026[[#This Row],[Zero]]=0,"Zero",IF(Rel_2026[[#This Row],[Pontuação]]&gt;=10,"Sim",IF(Rel_2026[[#This Row],[Pontuação]]&gt;=5,"Próximo","Não")))</f>
        <v>Sim</v>
      </c>
      <c r="B257" t="str">
        <f>IF(Rel_2026[[#This Row],[Zero]]=0,"Zero",IF(Rel_2026[[#This Row],[Pontuação2]]&gt;=10,"Sim",IF(Rel_2026[[#This Row],[Pontuação2]]&gt;=5,"Próximo","Não")))</f>
        <v>Sim</v>
      </c>
      <c r="C257" t="str">
        <f>IFERROR(VLOOKUP(Rel_2026[[#This Row],[chave_loja]],Responsavel!A:B,2,FALSE),"EUCLIDES")</f>
        <v>ROSSY</v>
      </c>
      <c r="D257" t="str">
        <f>LEFT(Rel_2026[[#This Row],[ag_pacb]],4)</f>
        <v>0405</v>
      </c>
      <c r="E257">
        <v>99742</v>
      </c>
      <c r="F257" t="s">
        <v>859</v>
      </c>
      <c r="G257" t="s">
        <v>860</v>
      </c>
      <c r="H257" s="1">
        <v>44365</v>
      </c>
      <c r="I257" t="s">
        <v>107</v>
      </c>
      <c r="J257" t="s">
        <v>861</v>
      </c>
      <c r="K257" s="1">
        <v>42356</v>
      </c>
      <c r="L257" s="1">
        <v>46162</v>
      </c>
      <c r="M257" t="s">
        <v>109</v>
      </c>
      <c r="N257" s="1">
        <v>46254</v>
      </c>
      <c r="O257">
        <v>2150</v>
      </c>
      <c r="P257">
        <v>0</v>
      </c>
      <c r="Q257">
        <v>0</v>
      </c>
      <c r="R257">
        <v>0</v>
      </c>
      <c r="S257">
        <v>0</v>
      </c>
      <c r="T257">
        <v>1270</v>
      </c>
      <c r="U257">
        <v>1400</v>
      </c>
      <c r="V257">
        <v>1400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 t="s">
        <v>38</v>
      </c>
      <c r="AI257" t="s">
        <v>27</v>
      </c>
      <c r="AJ257" s="1"/>
      <c r="AK257" t="s">
        <v>28</v>
      </c>
      <c r="AL25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257">
        <f>SUM(Rel_2026[[#This Row],[qtd_TrxContabil]:[VLR_EXP_SORTE]])</f>
        <v>6220</v>
      </c>
      <c r="AN25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</row>
    <row r="258" spans="1:40" x14ac:dyDescent="0.3">
      <c r="A258" t="str">
        <f>IF(Rel_2026[[#This Row],[Zero]]=0,"Zero",IF(Rel_2026[[#This Row],[Pontuação]]&gt;=10,"Sim",IF(Rel_2026[[#This Row],[Pontuação]]&gt;=5,"Próximo","Não")))</f>
        <v>Não</v>
      </c>
      <c r="B258" t="str">
        <f>IF(Rel_2026[[#This Row],[Zero]]=0,"Zero",IF(Rel_2026[[#This Row],[Pontuação2]]&gt;=10,"Sim",IF(Rel_2026[[#This Row],[Pontuação2]]&gt;=5,"Próximo","Não")))</f>
        <v>Não</v>
      </c>
      <c r="C258" t="str">
        <f>IFERROR(VLOOKUP(Rel_2026[[#This Row],[chave_loja]],Responsavel!A:B,2,FALSE),"EUCLIDES")</f>
        <v>IVAN</v>
      </c>
      <c r="D258" t="str">
        <f>LEFT(Rel_2026[[#This Row],[ag_pacb]],4)</f>
        <v>0765</v>
      </c>
      <c r="E258">
        <v>201213</v>
      </c>
      <c r="F258" t="s">
        <v>1007</v>
      </c>
      <c r="G258" t="s">
        <v>1008</v>
      </c>
      <c r="H258" s="1">
        <v>45966</v>
      </c>
      <c r="I258" t="s">
        <v>23</v>
      </c>
      <c r="J258" t="s">
        <v>1002</v>
      </c>
      <c r="K258" s="1">
        <v>44033</v>
      </c>
      <c r="L258" s="1">
        <v>46000</v>
      </c>
      <c r="M258" t="s">
        <v>25</v>
      </c>
      <c r="N258" s="1">
        <v>46253</v>
      </c>
      <c r="O258">
        <v>269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 t="s">
        <v>26</v>
      </c>
      <c r="AI258" t="s">
        <v>27</v>
      </c>
      <c r="AJ258" s="1"/>
      <c r="AK258" t="s">
        <v>28</v>
      </c>
      <c r="AL25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58">
        <f>SUM(Rel_2026[[#This Row],[qtd_TrxContabil]:[VLR_EXP_SORTE]])</f>
        <v>269</v>
      </c>
      <c r="AN25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59" spans="1:40" x14ac:dyDescent="0.3">
      <c r="A259" t="str">
        <f>IF(Rel_2026[[#This Row],[Zero]]=0,"Zero",IF(Rel_2026[[#This Row],[Pontuação]]&gt;=10,"Sim",IF(Rel_2026[[#This Row],[Pontuação]]&gt;=5,"Próximo","Não")))</f>
        <v>Próximo</v>
      </c>
      <c r="B259" t="str">
        <f>IF(Rel_2026[[#This Row],[Zero]]=0,"Zero",IF(Rel_2026[[#This Row],[Pontuação2]]&gt;=10,"Sim",IF(Rel_2026[[#This Row],[Pontuação2]]&gt;=5,"Próximo","Não")))</f>
        <v>Próximo</v>
      </c>
      <c r="C259" t="str">
        <f>IFERROR(VLOOKUP(Rel_2026[[#This Row],[chave_loja]],Responsavel!A:B,2,FALSE),"EUCLIDES")</f>
        <v>NYCOLLAS</v>
      </c>
      <c r="D259" t="str">
        <f>LEFT(Rel_2026[[#This Row],[ag_pacb]],4)</f>
        <v>0699</v>
      </c>
      <c r="E259">
        <v>217132</v>
      </c>
      <c r="F259" t="s">
        <v>256</v>
      </c>
      <c r="G259" t="s">
        <v>257</v>
      </c>
      <c r="H259" s="1">
        <v>44207</v>
      </c>
      <c r="I259" t="s">
        <v>23</v>
      </c>
      <c r="J259" t="s">
        <v>125</v>
      </c>
      <c r="K259" s="1">
        <v>44327</v>
      </c>
      <c r="L259" s="1">
        <v>46065</v>
      </c>
      <c r="M259" t="s">
        <v>32</v>
      </c>
      <c r="N259" s="1">
        <v>46254</v>
      </c>
      <c r="O259">
        <v>709</v>
      </c>
      <c r="P259">
        <v>0</v>
      </c>
      <c r="Q259">
        <v>0</v>
      </c>
      <c r="R259">
        <v>0</v>
      </c>
      <c r="S259">
        <v>0</v>
      </c>
      <c r="T259">
        <v>800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 t="s">
        <v>26</v>
      </c>
      <c r="AI259" t="s">
        <v>27</v>
      </c>
      <c r="AJ259" s="1"/>
      <c r="AK259" t="s">
        <v>28</v>
      </c>
      <c r="AL25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</v>
      </c>
      <c r="AM259">
        <f>SUM(Rel_2026[[#This Row],[qtd_TrxContabil]:[VLR_EXP_SORTE]])</f>
        <v>1509</v>
      </c>
      <c r="AN25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</v>
      </c>
    </row>
    <row r="260" spans="1:40" x14ac:dyDescent="0.3">
      <c r="A260" t="str">
        <f>IF(Rel_2026[[#This Row],[Zero]]=0,"Zero",IF(Rel_2026[[#This Row],[Pontuação]]&gt;=10,"Sim",IF(Rel_2026[[#This Row],[Pontuação]]&gt;=5,"Próximo","Não")))</f>
        <v>Não</v>
      </c>
      <c r="B260" t="str">
        <f>IF(Rel_2026[[#This Row],[Zero]]=0,"Zero",IF(Rel_2026[[#This Row],[Pontuação2]]&gt;=10,"Sim",IF(Rel_2026[[#This Row],[Pontuação2]]&gt;=5,"Próximo","Não")))</f>
        <v>Não</v>
      </c>
      <c r="C260" t="str">
        <f>IFERROR(VLOOKUP(Rel_2026[[#This Row],[chave_loja]],Responsavel!A:B,2,FALSE),"EUCLIDES")</f>
        <v>DARIO</v>
      </c>
      <c r="D260" t="str">
        <f>LEFT(Rel_2026[[#This Row],[ag_pacb]],4)</f>
        <v>1781</v>
      </c>
      <c r="E260">
        <v>236607</v>
      </c>
      <c r="F260" t="s">
        <v>593</v>
      </c>
      <c r="G260" t="s">
        <v>594</v>
      </c>
      <c r="H260" s="1">
        <v>45194</v>
      </c>
      <c r="I260" t="s">
        <v>23</v>
      </c>
      <c r="J260" t="s">
        <v>124</v>
      </c>
      <c r="K260" s="1">
        <v>45306</v>
      </c>
      <c r="L260" s="1">
        <v>46246</v>
      </c>
      <c r="M260" t="s">
        <v>25</v>
      </c>
      <c r="N260" s="1">
        <v>46253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 t="s">
        <v>26</v>
      </c>
      <c r="AI260" t="s">
        <v>27</v>
      </c>
      <c r="AJ260" s="1"/>
      <c r="AK260" t="s">
        <v>28</v>
      </c>
      <c r="AL26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60">
        <f>SUM(Rel_2026[[#This Row],[qtd_TrxContabil]:[VLR_EXP_SORTE]])</f>
        <v>1</v>
      </c>
      <c r="AN26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61" spans="1:40" x14ac:dyDescent="0.3">
      <c r="A261" t="str">
        <f>IF(Rel_2026[[#This Row],[Zero]]=0,"Zero",IF(Rel_2026[[#This Row],[Pontuação]]&gt;=10,"Sim",IF(Rel_2026[[#This Row],[Pontuação]]&gt;=5,"Próximo","Não")))</f>
        <v>Não</v>
      </c>
      <c r="B261" t="str">
        <f>IF(Rel_2026[[#This Row],[Zero]]=0,"Zero",IF(Rel_2026[[#This Row],[Pontuação2]]&gt;=10,"Sim",IF(Rel_2026[[#This Row],[Pontuação2]]&gt;=5,"Próximo","Não")))</f>
        <v>Não</v>
      </c>
      <c r="C261" t="str">
        <f>IFERROR(VLOOKUP(Rel_2026[[#This Row],[chave_loja]],Responsavel!A:B,2,FALSE),"EUCLIDES")</f>
        <v>CÉLIO</v>
      </c>
      <c r="D261" t="str">
        <f>LEFT(Rel_2026[[#This Row],[ag_pacb]],4)</f>
        <v>0649</v>
      </c>
      <c r="E261">
        <v>255051</v>
      </c>
      <c r="F261" t="s">
        <v>496</v>
      </c>
      <c r="G261" t="s">
        <v>497</v>
      </c>
      <c r="H261" s="1">
        <v>45273</v>
      </c>
      <c r="I261" t="s">
        <v>23</v>
      </c>
      <c r="J261" t="s">
        <v>118</v>
      </c>
      <c r="K261" s="1">
        <v>45306</v>
      </c>
      <c r="L261" s="1">
        <v>45313</v>
      </c>
      <c r="M261" t="s">
        <v>32</v>
      </c>
      <c r="N261" s="1">
        <v>46254</v>
      </c>
      <c r="O261">
        <v>1163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 t="s">
        <v>26</v>
      </c>
      <c r="AI261" t="s">
        <v>27</v>
      </c>
      <c r="AJ261" s="1"/>
      <c r="AK261" t="s">
        <v>28</v>
      </c>
      <c r="AL26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61">
        <f>SUM(Rel_2026[[#This Row],[qtd_TrxContabil]:[VLR_EXP_SORTE]])</f>
        <v>1163</v>
      </c>
      <c r="AN26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62" spans="1:40" x14ac:dyDescent="0.3">
      <c r="A262" t="str">
        <f>IF(Rel_2026[[#This Row],[Zero]]=0,"Zero",IF(Rel_2026[[#This Row],[Pontuação]]&gt;=10,"Sim",IF(Rel_2026[[#This Row],[Pontuação]]&gt;=5,"Próximo","Não")))</f>
        <v>Não</v>
      </c>
      <c r="B262" t="str">
        <f>IF(Rel_2026[[#This Row],[Zero]]=0,"Zero",IF(Rel_2026[[#This Row],[Pontuação2]]&gt;=10,"Sim",IF(Rel_2026[[#This Row],[Pontuação2]]&gt;=5,"Próximo","Não")))</f>
        <v>Não</v>
      </c>
      <c r="C262" t="str">
        <f>IFERROR(VLOOKUP(Rel_2026[[#This Row],[chave_loja]],Responsavel!A:B,2,FALSE),"EUCLIDES")</f>
        <v>GIL</v>
      </c>
      <c r="D262" t="str">
        <f>LEFT(Rel_2026[[#This Row],[ag_pacb]],4)</f>
        <v>0715</v>
      </c>
      <c r="E262">
        <v>411580</v>
      </c>
      <c r="F262" t="s">
        <v>305</v>
      </c>
      <c r="G262" t="s">
        <v>306</v>
      </c>
      <c r="H262" s="1">
        <v>45776</v>
      </c>
      <c r="I262" t="s">
        <v>23</v>
      </c>
      <c r="J262" t="s">
        <v>141</v>
      </c>
      <c r="K262" s="1">
        <v>45765</v>
      </c>
      <c r="L262" s="1">
        <v>45783</v>
      </c>
      <c r="M262" t="s">
        <v>32</v>
      </c>
      <c r="N262" s="1">
        <v>46254</v>
      </c>
      <c r="O262">
        <v>375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 t="s">
        <v>26</v>
      </c>
      <c r="AI262" t="s">
        <v>27</v>
      </c>
      <c r="AJ262" s="1"/>
      <c r="AK262" t="s">
        <v>28</v>
      </c>
      <c r="AL26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62">
        <f>SUM(Rel_2026[[#This Row],[qtd_TrxContabil]:[VLR_EXP_SORTE]])</f>
        <v>375</v>
      </c>
      <c r="AN26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63" spans="1:40" x14ac:dyDescent="0.3">
      <c r="A263" t="str">
        <f>IF(Rel_2026[[#This Row],[Zero]]=0,"Zero",IF(Rel_2026[[#This Row],[Pontuação]]&gt;=10,"Sim",IF(Rel_2026[[#This Row],[Pontuação]]&gt;=5,"Próximo","Não")))</f>
        <v>Sim</v>
      </c>
      <c r="B263" t="str">
        <f>IF(Rel_2026[[#This Row],[Zero]]=0,"Zero",IF(Rel_2026[[#This Row],[Pontuação2]]&gt;=10,"Sim",IF(Rel_2026[[#This Row],[Pontuação2]]&gt;=5,"Próximo","Não")))</f>
        <v>Sim</v>
      </c>
      <c r="C263" t="str">
        <f>IFERROR(VLOOKUP(Rel_2026[[#This Row],[chave_loja]],Responsavel!A:B,2,FALSE),"EUCLIDES")</f>
        <v>NYCOLLAS</v>
      </c>
      <c r="D263" t="str">
        <f>LEFT(Rel_2026[[#This Row],[ag_pacb]],4)</f>
        <v>5457</v>
      </c>
      <c r="E263">
        <v>141199</v>
      </c>
      <c r="F263" t="s">
        <v>432</v>
      </c>
      <c r="G263" t="s">
        <v>433</v>
      </c>
      <c r="H263" s="1">
        <v>45162</v>
      </c>
      <c r="I263" t="s">
        <v>23</v>
      </c>
      <c r="J263" t="s">
        <v>238</v>
      </c>
      <c r="K263" s="1">
        <v>42195</v>
      </c>
      <c r="L263" s="1">
        <v>46153</v>
      </c>
      <c r="M263" t="s">
        <v>32</v>
      </c>
      <c r="N263" s="1">
        <v>46254</v>
      </c>
      <c r="O263">
        <v>1285</v>
      </c>
      <c r="P263">
        <v>4</v>
      </c>
      <c r="Q263">
        <v>0</v>
      </c>
      <c r="R263">
        <v>4</v>
      </c>
      <c r="S263">
        <v>0</v>
      </c>
      <c r="T263">
        <v>2600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3</v>
      </c>
      <c r="AE263">
        <v>0</v>
      </c>
      <c r="AF263">
        <v>4</v>
      </c>
      <c r="AG263">
        <v>0</v>
      </c>
      <c r="AH263" t="s">
        <v>38</v>
      </c>
      <c r="AI263" t="s">
        <v>27</v>
      </c>
      <c r="AJ263" s="1"/>
      <c r="AK263" t="s">
        <v>28</v>
      </c>
      <c r="AL26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41</v>
      </c>
      <c r="AM263">
        <f>SUM(Rel_2026[[#This Row],[qtd_TrxContabil]:[VLR_EXP_SORTE]])</f>
        <v>3900</v>
      </c>
      <c r="AN26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53</v>
      </c>
    </row>
    <row r="264" spans="1:40" x14ac:dyDescent="0.3">
      <c r="A264" t="str">
        <f>IF(Rel_2026[[#This Row],[Zero]]=0,"Zero",IF(Rel_2026[[#This Row],[Pontuação]]&gt;=10,"Sim",IF(Rel_2026[[#This Row],[Pontuação]]&gt;=5,"Próximo","Não")))</f>
        <v>Não</v>
      </c>
      <c r="B264" t="str">
        <f>IF(Rel_2026[[#This Row],[Zero]]=0,"Zero",IF(Rel_2026[[#This Row],[Pontuação2]]&gt;=10,"Sim",IF(Rel_2026[[#This Row],[Pontuação2]]&gt;=5,"Próximo","Não")))</f>
        <v>Próximo</v>
      </c>
      <c r="C264" t="str">
        <f>IFERROR(VLOOKUP(Rel_2026[[#This Row],[chave_loja]],Responsavel!A:B,2,FALSE),"EUCLIDES")</f>
        <v>JACK</v>
      </c>
      <c r="D264" t="str">
        <f>LEFT(Rel_2026[[#This Row],[ag_pacb]],4)</f>
        <v>0985</v>
      </c>
      <c r="E264">
        <v>155268</v>
      </c>
      <c r="F264" t="s">
        <v>891</v>
      </c>
      <c r="G264" t="s">
        <v>892</v>
      </c>
      <c r="H264" s="1">
        <v>44694</v>
      </c>
      <c r="I264" t="s">
        <v>107</v>
      </c>
      <c r="J264" t="s">
        <v>893</v>
      </c>
      <c r="K264" s="1">
        <v>43915</v>
      </c>
      <c r="L264" s="1">
        <v>44582</v>
      </c>
      <c r="M264" t="s">
        <v>109</v>
      </c>
      <c r="N264" s="1">
        <v>46254</v>
      </c>
      <c r="O264">
        <v>791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 t="s">
        <v>38</v>
      </c>
      <c r="AI264" t="s">
        <v>27</v>
      </c>
      <c r="AJ264" s="1"/>
      <c r="AK264" t="s">
        <v>28</v>
      </c>
      <c r="AL26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264">
        <f>SUM(Rel_2026[[#This Row],[qtd_TrxContabil]:[VLR_EXP_SORTE]])</f>
        <v>793</v>
      </c>
      <c r="AN26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265" spans="1:40" x14ac:dyDescent="0.3">
      <c r="A265" t="str">
        <f>IF(Rel_2026[[#This Row],[Zero]]=0,"Zero",IF(Rel_2026[[#This Row],[Pontuação]]&gt;=10,"Sim",IF(Rel_2026[[#This Row],[Pontuação]]&gt;=5,"Próximo","Não")))</f>
        <v>Sim</v>
      </c>
      <c r="B265" t="str">
        <f>IF(Rel_2026[[#This Row],[Zero]]=0,"Zero",IF(Rel_2026[[#This Row],[Pontuação2]]&gt;=10,"Sim",IF(Rel_2026[[#This Row],[Pontuação2]]&gt;=5,"Próximo","Não")))</f>
        <v>Sim</v>
      </c>
      <c r="C265" t="str">
        <f>IFERROR(VLOOKUP(Rel_2026[[#This Row],[chave_loja]],Responsavel!A:B,2,FALSE),"EUCLIDES")</f>
        <v>JUNIOR</v>
      </c>
      <c r="D265" t="str">
        <f>LEFT(Rel_2026[[#This Row],[ag_pacb]],4)</f>
        <v>5367</v>
      </c>
      <c r="E265">
        <v>415841</v>
      </c>
      <c r="F265" t="s">
        <v>103</v>
      </c>
      <c r="G265" t="s">
        <v>104</v>
      </c>
      <c r="H265" s="1">
        <v>45889</v>
      </c>
      <c r="I265" t="s">
        <v>23</v>
      </c>
      <c r="J265" t="s">
        <v>96</v>
      </c>
      <c r="K265" s="1">
        <v>45883</v>
      </c>
      <c r="L265" s="1">
        <v>45911</v>
      </c>
      <c r="M265" t="s">
        <v>32</v>
      </c>
      <c r="N265" s="1">
        <v>46254</v>
      </c>
      <c r="O265">
        <v>73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2</v>
      </c>
      <c r="AH265" t="s">
        <v>26</v>
      </c>
      <c r="AI265" t="s">
        <v>27</v>
      </c>
      <c r="AJ265" s="1"/>
      <c r="AK265" t="s">
        <v>28</v>
      </c>
      <c r="AL26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265">
        <f>SUM(Rel_2026[[#This Row],[qtd_TrxContabil]:[VLR_EXP_SORTE]])</f>
        <v>85</v>
      </c>
      <c r="AN26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266" spans="1:40" x14ac:dyDescent="0.3">
      <c r="A266" t="str">
        <f>IF(Rel_2026[[#This Row],[Zero]]=0,"Zero",IF(Rel_2026[[#This Row],[Pontuação]]&gt;=10,"Sim",IF(Rel_2026[[#This Row],[Pontuação]]&gt;=5,"Próximo","Não")))</f>
        <v>Sim</v>
      </c>
      <c r="B266" t="str">
        <f>IF(Rel_2026[[#This Row],[Zero]]=0,"Zero",IF(Rel_2026[[#This Row],[Pontuação2]]&gt;=10,"Sim",IF(Rel_2026[[#This Row],[Pontuação2]]&gt;=5,"Próximo","Não")))</f>
        <v>Sim</v>
      </c>
      <c r="C266" t="str">
        <f>IFERROR(VLOOKUP(Rel_2026[[#This Row],[chave_loja]],Responsavel!A:B,2,FALSE),"EUCLIDES")</f>
        <v>JACK</v>
      </c>
      <c r="D266" t="str">
        <f>LEFT(Rel_2026[[#This Row],[ag_pacb]],4)</f>
        <v>1522</v>
      </c>
      <c r="E266">
        <v>221915</v>
      </c>
      <c r="F266" t="s">
        <v>980</v>
      </c>
      <c r="G266" t="s">
        <v>981</v>
      </c>
      <c r="H266" s="1">
        <v>45894</v>
      </c>
      <c r="I266" t="s">
        <v>107</v>
      </c>
      <c r="J266" t="s">
        <v>858</v>
      </c>
      <c r="K266" s="1">
        <v>45306</v>
      </c>
      <c r="L266" s="1">
        <v>45071</v>
      </c>
      <c r="M266" t="s">
        <v>109</v>
      </c>
      <c r="N266" s="1">
        <v>46254</v>
      </c>
      <c r="O266">
        <v>57</v>
      </c>
      <c r="P266">
        <v>2</v>
      </c>
      <c r="Q266">
        <v>1</v>
      </c>
      <c r="R266">
        <v>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 t="s">
        <v>26</v>
      </c>
      <c r="AI266" t="s">
        <v>27</v>
      </c>
      <c r="AJ266" s="1"/>
      <c r="AK266" t="s">
        <v>28</v>
      </c>
      <c r="AL26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266">
        <f>SUM(Rel_2026[[#This Row],[qtd_TrxContabil]:[VLR_EXP_SORTE]])</f>
        <v>62</v>
      </c>
      <c r="AN26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16</v>
      </c>
    </row>
    <row r="267" spans="1:40" x14ac:dyDescent="0.3">
      <c r="A267" t="str">
        <f>IF(Rel_2026[[#This Row],[Zero]]=0,"Zero",IF(Rel_2026[[#This Row],[Pontuação]]&gt;=10,"Sim",IF(Rel_2026[[#This Row],[Pontuação]]&gt;=5,"Próximo","Não")))</f>
        <v>Sim</v>
      </c>
      <c r="B267" t="str">
        <f>IF(Rel_2026[[#This Row],[Zero]]=0,"Zero",IF(Rel_2026[[#This Row],[Pontuação2]]&gt;=10,"Sim",IF(Rel_2026[[#This Row],[Pontuação2]]&gt;=5,"Próximo","Não")))</f>
        <v>Sim</v>
      </c>
      <c r="C267" t="str">
        <f>IFERROR(VLOOKUP(Rel_2026[[#This Row],[chave_loja]],Responsavel!A:B,2,FALSE),"EUCLIDES")</f>
        <v>JUNIOR</v>
      </c>
      <c r="D267" t="str">
        <f>LEFT(Rel_2026[[#This Row],[ag_pacb]],4)</f>
        <v>1351</v>
      </c>
      <c r="E267">
        <v>221489</v>
      </c>
      <c r="F267" t="s">
        <v>1014</v>
      </c>
      <c r="G267" t="s">
        <v>1015</v>
      </c>
      <c r="H267" s="1">
        <v>44589</v>
      </c>
      <c r="I267" t="s">
        <v>23</v>
      </c>
      <c r="J267" t="s">
        <v>485</v>
      </c>
      <c r="K267" s="1">
        <v>44522</v>
      </c>
      <c r="L267" s="1">
        <v>44474</v>
      </c>
      <c r="M267" t="s">
        <v>32</v>
      </c>
      <c r="N267" s="1">
        <v>46254</v>
      </c>
      <c r="O267">
        <v>699</v>
      </c>
      <c r="P267">
        <v>1</v>
      </c>
      <c r="Q267">
        <v>1</v>
      </c>
      <c r="R267">
        <v>1</v>
      </c>
      <c r="S267">
        <v>0</v>
      </c>
      <c r="T267">
        <v>1320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 t="s">
        <v>38</v>
      </c>
      <c r="AI267" t="s">
        <v>27</v>
      </c>
      <c r="AJ267" s="1"/>
      <c r="AK267" t="s">
        <v>28</v>
      </c>
      <c r="AL26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  <c r="AM267">
        <f>SUM(Rel_2026[[#This Row],[qtd_TrxContabil]:[VLR_EXP_SORTE]])</f>
        <v>2023</v>
      </c>
      <c r="AN26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23</v>
      </c>
    </row>
    <row r="268" spans="1:40" x14ac:dyDescent="0.3">
      <c r="A268" t="str">
        <f>IF(Rel_2026[[#This Row],[Zero]]=0,"Zero",IF(Rel_2026[[#This Row],[Pontuação]]&gt;=10,"Sim",IF(Rel_2026[[#This Row],[Pontuação]]&gt;=5,"Próximo","Não")))</f>
        <v>Sim</v>
      </c>
      <c r="B268" t="str">
        <f>IF(Rel_2026[[#This Row],[Zero]]=0,"Zero",IF(Rel_2026[[#This Row],[Pontuação2]]&gt;=10,"Sim",IF(Rel_2026[[#This Row],[Pontuação2]]&gt;=5,"Próximo","Não")))</f>
        <v>Sim</v>
      </c>
      <c r="C268" t="str">
        <f>IFERROR(VLOOKUP(Rel_2026[[#This Row],[chave_loja]],Responsavel!A:B,2,FALSE),"EUCLIDES")</f>
        <v>NYCOLLAS</v>
      </c>
      <c r="D268" t="str">
        <f>LEFT(Rel_2026[[#This Row],[ag_pacb]],4)</f>
        <v>0719</v>
      </c>
      <c r="E268">
        <v>403190</v>
      </c>
      <c r="F268" t="s">
        <v>262</v>
      </c>
      <c r="G268" t="s">
        <v>263</v>
      </c>
      <c r="H268" s="1">
        <v>45439</v>
      </c>
      <c r="I268" t="s">
        <v>23</v>
      </c>
      <c r="J268" t="s">
        <v>1215</v>
      </c>
      <c r="K268" s="1">
        <v>45429</v>
      </c>
      <c r="L268" s="1">
        <v>45456</v>
      </c>
      <c r="M268" t="s">
        <v>32</v>
      </c>
      <c r="N268" s="1">
        <v>46254</v>
      </c>
      <c r="O268">
        <v>1886</v>
      </c>
      <c r="P268">
        <v>2</v>
      </c>
      <c r="Q268">
        <v>2</v>
      </c>
      <c r="R268">
        <v>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 t="s">
        <v>26</v>
      </c>
      <c r="AI268" t="s">
        <v>27</v>
      </c>
      <c r="AJ268" s="1"/>
      <c r="AK268" t="s">
        <v>28</v>
      </c>
      <c r="AL26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268">
        <f>SUM(Rel_2026[[#This Row],[qtd_TrxContabil]:[VLR_EXP_SORTE]])</f>
        <v>1892</v>
      </c>
      <c r="AN26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269" spans="1:40" x14ac:dyDescent="0.3">
      <c r="A269" t="str">
        <f>IF(Rel_2026[[#This Row],[Zero]]=0,"Zero",IF(Rel_2026[[#This Row],[Pontuação]]&gt;=10,"Sim",IF(Rel_2026[[#This Row],[Pontuação]]&gt;=5,"Próximo","Não")))</f>
        <v>Não</v>
      </c>
      <c r="B269" t="str">
        <f>IF(Rel_2026[[#This Row],[Zero]]=0,"Zero",IF(Rel_2026[[#This Row],[Pontuação2]]&gt;=10,"Sim",IF(Rel_2026[[#This Row],[Pontuação2]]&gt;=5,"Próximo","Não")))</f>
        <v>Não</v>
      </c>
      <c r="C269" t="str">
        <f>IFERROR(VLOOKUP(Rel_2026[[#This Row],[chave_loja]],Responsavel!A:B,2,FALSE),"EUCLIDES")</f>
        <v>JUNIOR</v>
      </c>
      <c r="D269" t="str">
        <f>LEFT(Rel_2026[[#This Row],[ag_pacb]],4)</f>
        <v>1351</v>
      </c>
      <c r="E269">
        <v>422633</v>
      </c>
      <c r="F269" t="s">
        <v>1406</v>
      </c>
      <c r="G269" t="s">
        <v>1407</v>
      </c>
      <c r="H269" s="1">
        <v>46087</v>
      </c>
      <c r="I269" t="s">
        <v>23</v>
      </c>
      <c r="J269" t="s">
        <v>485</v>
      </c>
      <c r="K269" s="1">
        <v>46078</v>
      </c>
      <c r="L269" s="1">
        <v>46136</v>
      </c>
      <c r="M269" t="s">
        <v>32</v>
      </c>
      <c r="N269" s="1">
        <v>46241</v>
      </c>
      <c r="O269">
        <v>14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 t="s">
        <v>26</v>
      </c>
      <c r="AI269" t="s">
        <v>27</v>
      </c>
      <c r="AJ269" s="1"/>
      <c r="AK269" t="s">
        <v>28</v>
      </c>
      <c r="AL26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69">
        <f>SUM(Rel_2026[[#This Row],[qtd_TrxContabil]:[VLR_EXP_SORTE]])</f>
        <v>14</v>
      </c>
      <c r="AN26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70" spans="1:40" x14ac:dyDescent="0.3">
      <c r="A270" t="str">
        <f>IF(Rel_2026[[#This Row],[Zero]]=0,"Zero",IF(Rel_2026[[#This Row],[Pontuação]]&gt;=10,"Sim",IF(Rel_2026[[#This Row],[Pontuação]]&gt;=5,"Próximo","Não")))</f>
        <v>Sim</v>
      </c>
      <c r="B270" t="str">
        <f>IF(Rel_2026[[#This Row],[Zero]]=0,"Zero",IF(Rel_2026[[#This Row],[Pontuação2]]&gt;=10,"Sim",IF(Rel_2026[[#This Row],[Pontuação2]]&gt;=5,"Próximo","Não")))</f>
        <v>Sim</v>
      </c>
      <c r="C270" t="str">
        <f>IFERROR(VLOOKUP(Rel_2026[[#This Row],[chave_loja]],Responsavel!A:B,2,FALSE),"EUCLIDES")</f>
        <v>ISMAEL</v>
      </c>
      <c r="D270" t="str">
        <f>LEFT(Rel_2026[[#This Row],[ag_pacb]],4)</f>
        <v>5365</v>
      </c>
      <c r="E270">
        <v>173144</v>
      </c>
      <c r="F270" t="s">
        <v>164</v>
      </c>
      <c r="G270" t="s">
        <v>165</v>
      </c>
      <c r="H270" s="1">
        <v>44158</v>
      </c>
      <c r="I270" t="s">
        <v>23</v>
      </c>
      <c r="J270" t="s">
        <v>166</v>
      </c>
      <c r="K270" s="1">
        <v>43510</v>
      </c>
      <c r="L270" s="1">
        <v>46035</v>
      </c>
      <c r="M270" t="s">
        <v>25</v>
      </c>
      <c r="N270" s="1">
        <v>46254</v>
      </c>
      <c r="O270">
        <v>1077</v>
      </c>
      <c r="P270">
        <v>7</v>
      </c>
      <c r="Q270">
        <v>0</v>
      </c>
      <c r="R270">
        <v>5</v>
      </c>
      <c r="S270">
        <v>0</v>
      </c>
      <c r="T270">
        <v>3160</v>
      </c>
      <c r="U270">
        <v>3095</v>
      </c>
      <c r="V270">
        <v>3095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 t="s">
        <v>38</v>
      </c>
      <c r="AI270" t="s">
        <v>27</v>
      </c>
      <c r="AJ270" s="1"/>
      <c r="AK270" t="s">
        <v>28</v>
      </c>
      <c r="AL27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56</v>
      </c>
      <c r="AM270">
        <f>SUM(Rel_2026[[#This Row],[qtd_TrxContabil]:[VLR_EXP_SORTE]])</f>
        <v>10439</v>
      </c>
      <c r="AN27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71</v>
      </c>
    </row>
    <row r="271" spans="1:40" x14ac:dyDescent="0.3">
      <c r="A271" t="str">
        <f>IF(Rel_2026[[#This Row],[Zero]]=0,"Zero",IF(Rel_2026[[#This Row],[Pontuação]]&gt;=10,"Sim",IF(Rel_2026[[#This Row],[Pontuação]]&gt;=5,"Próximo","Não")))</f>
        <v>Sim</v>
      </c>
      <c r="B271" t="str">
        <f>IF(Rel_2026[[#This Row],[Zero]]=0,"Zero",IF(Rel_2026[[#This Row],[Pontuação2]]&gt;=10,"Sim",IF(Rel_2026[[#This Row],[Pontuação2]]&gt;=5,"Próximo","Não")))</f>
        <v>Sim</v>
      </c>
      <c r="C271" t="str">
        <f>IFERROR(VLOOKUP(Rel_2026[[#This Row],[chave_loja]],Responsavel!A:B,2,FALSE),"EUCLIDES")</f>
        <v>ISMAEL</v>
      </c>
      <c r="D271" t="str">
        <f>LEFT(Rel_2026[[#This Row],[ag_pacb]],4)</f>
        <v>0704</v>
      </c>
      <c r="E271">
        <v>217349</v>
      </c>
      <c r="F271" t="s">
        <v>423</v>
      </c>
      <c r="G271" t="s">
        <v>424</v>
      </c>
      <c r="H271" s="1">
        <v>44476</v>
      </c>
      <c r="I271" t="s">
        <v>23</v>
      </c>
      <c r="J271" t="s">
        <v>75</v>
      </c>
      <c r="K271" s="1">
        <v>44314</v>
      </c>
      <c r="L271" s="1">
        <v>46028</v>
      </c>
      <c r="M271" t="s">
        <v>25</v>
      </c>
      <c r="N271" s="1">
        <v>46254</v>
      </c>
      <c r="O271">
        <v>208</v>
      </c>
      <c r="P271">
        <v>8</v>
      </c>
      <c r="Q271">
        <v>6</v>
      </c>
      <c r="R271">
        <v>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2698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2</v>
      </c>
      <c r="AG271">
        <v>0</v>
      </c>
      <c r="AH271" t="s">
        <v>26</v>
      </c>
      <c r="AI271" t="s">
        <v>27</v>
      </c>
      <c r="AJ271" s="1"/>
      <c r="AK271" t="s">
        <v>28</v>
      </c>
      <c r="AL27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53</v>
      </c>
      <c r="AM271">
        <f>SUM(Rel_2026[[#This Row],[qtd_TrxContabil]:[VLR_EXP_SORTE]])</f>
        <v>2930</v>
      </c>
      <c r="AN27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77</v>
      </c>
    </row>
    <row r="272" spans="1:40" x14ac:dyDescent="0.3">
      <c r="A272" t="str">
        <f>IF(Rel_2026[[#This Row],[Zero]]=0,"Zero",IF(Rel_2026[[#This Row],[Pontuação]]&gt;=10,"Sim",IF(Rel_2026[[#This Row],[Pontuação]]&gt;=5,"Próximo","Não")))</f>
        <v>Não</v>
      </c>
      <c r="B272" t="str">
        <f>IF(Rel_2026[[#This Row],[Zero]]=0,"Zero",IF(Rel_2026[[#This Row],[Pontuação2]]&gt;=10,"Sim",IF(Rel_2026[[#This Row],[Pontuação2]]&gt;=5,"Próximo","Não")))</f>
        <v>Não</v>
      </c>
      <c r="C272" t="str">
        <f>IFERROR(VLOOKUP(Rel_2026[[#This Row],[chave_loja]],Responsavel!A:B,2,FALSE),"EUCLIDES")</f>
        <v>ISMAEL</v>
      </c>
      <c r="D272" t="str">
        <f>LEFT(Rel_2026[[#This Row],[ag_pacb]],4)</f>
        <v>1302</v>
      </c>
      <c r="E272">
        <v>408227</v>
      </c>
      <c r="F272" t="s">
        <v>49</v>
      </c>
      <c r="G272" t="s">
        <v>50</v>
      </c>
      <c r="H272" s="1">
        <v>45639</v>
      </c>
      <c r="I272" t="s">
        <v>23</v>
      </c>
      <c r="J272" t="s">
        <v>51</v>
      </c>
      <c r="K272" s="1">
        <v>45626</v>
      </c>
      <c r="L272" s="1">
        <v>45664</v>
      </c>
      <c r="M272" t="s">
        <v>32</v>
      </c>
      <c r="N272" s="1">
        <v>46254</v>
      </c>
      <c r="O272">
        <v>181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 t="s">
        <v>26</v>
      </c>
      <c r="AI272" t="s">
        <v>27</v>
      </c>
      <c r="AJ272" s="1"/>
      <c r="AK272" t="s">
        <v>28</v>
      </c>
      <c r="AL27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72">
        <f>SUM(Rel_2026[[#This Row],[qtd_TrxContabil]:[VLR_EXP_SORTE]])</f>
        <v>181</v>
      </c>
      <c r="AN27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73" spans="1:40" x14ac:dyDescent="0.3">
      <c r="A273" t="str">
        <f>IF(Rel_2026[[#This Row],[Zero]]=0,"Zero",IF(Rel_2026[[#This Row],[Pontuação]]&gt;=10,"Sim",IF(Rel_2026[[#This Row],[Pontuação]]&gt;=5,"Próximo","Não")))</f>
        <v>Não</v>
      </c>
      <c r="B273" t="str">
        <f>IF(Rel_2026[[#This Row],[Zero]]=0,"Zero",IF(Rel_2026[[#This Row],[Pontuação2]]&gt;=10,"Sim",IF(Rel_2026[[#This Row],[Pontuação2]]&gt;=5,"Próximo","Não")))</f>
        <v>Não</v>
      </c>
      <c r="C273" t="str">
        <f>IFERROR(VLOOKUP(Rel_2026[[#This Row],[chave_loja]],Responsavel!A:B,2,FALSE),"EUCLIDES")</f>
        <v>IVAN</v>
      </c>
      <c r="D273" t="str">
        <f>LEFT(Rel_2026[[#This Row],[ag_pacb]],4)</f>
        <v>0765</v>
      </c>
      <c r="E273">
        <v>410741</v>
      </c>
      <c r="F273" t="s">
        <v>1165</v>
      </c>
      <c r="G273" t="s">
        <v>1166</v>
      </c>
      <c r="H273" s="1">
        <v>45755</v>
      </c>
      <c r="I273" t="s">
        <v>23</v>
      </c>
      <c r="J273" t="s">
        <v>1002</v>
      </c>
      <c r="K273" s="1">
        <v>45741</v>
      </c>
      <c r="L273" s="1">
        <v>45762</v>
      </c>
      <c r="M273" t="s">
        <v>25</v>
      </c>
      <c r="N273" s="1">
        <v>46254</v>
      </c>
      <c r="O273">
        <v>392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 t="s">
        <v>26</v>
      </c>
      <c r="AI273" t="s">
        <v>27</v>
      </c>
      <c r="AJ273" s="1"/>
      <c r="AK273" t="s">
        <v>28</v>
      </c>
      <c r="AL27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73">
        <f>SUM(Rel_2026[[#This Row],[qtd_TrxContabil]:[VLR_EXP_SORTE]])</f>
        <v>392</v>
      </c>
      <c r="AN27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74" spans="1:40" x14ac:dyDescent="0.3">
      <c r="A274" t="str">
        <f>IF(Rel_2026[[#This Row],[Zero]]=0,"Zero",IF(Rel_2026[[#This Row],[Pontuação]]&gt;=10,"Sim",IF(Rel_2026[[#This Row],[Pontuação]]&gt;=5,"Próximo","Não")))</f>
        <v>Sim</v>
      </c>
      <c r="B274" t="str">
        <f>IF(Rel_2026[[#This Row],[Zero]]=0,"Zero",IF(Rel_2026[[#This Row],[Pontuação2]]&gt;=10,"Sim",IF(Rel_2026[[#This Row],[Pontuação2]]&gt;=5,"Próximo","Não")))</f>
        <v>Sim</v>
      </c>
      <c r="C274" t="str">
        <f>IFERROR(VLOOKUP(Rel_2026[[#This Row],[chave_loja]],Responsavel!A:B,2,FALSE),"EUCLIDES")</f>
        <v>WASTHSON</v>
      </c>
      <c r="D274" t="str">
        <f>LEFT(Rel_2026[[#This Row],[ag_pacb]],4)</f>
        <v>5415</v>
      </c>
      <c r="E274">
        <v>414920</v>
      </c>
      <c r="F274" t="s">
        <v>287</v>
      </c>
      <c r="G274" t="s">
        <v>288</v>
      </c>
      <c r="H274" s="1">
        <v>45863</v>
      </c>
      <c r="I274" t="s">
        <v>23</v>
      </c>
      <c r="J274" t="s">
        <v>289</v>
      </c>
      <c r="K274" s="1">
        <v>45857</v>
      </c>
      <c r="L274" s="1">
        <v>45882</v>
      </c>
      <c r="M274" t="s">
        <v>32</v>
      </c>
      <c r="N274" s="1">
        <v>46254</v>
      </c>
      <c r="O274">
        <v>220</v>
      </c>
      <c r="P274">
        <v>5</v>
      </c>
      <c r="Q274">
        <v>3</v>
      </c>
      <c r="R274">
        <v>5</v>
      </c>
      <c r="S274">
        <v>0</v>
      </c>
      <c r="T274">
        <v>500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5</v>
      </c>
      <c r="AG274">
        <v>0</v>
      </c>
      <c r="AH274" t="s">
        <v>26</v>
      </c>
      <c r="AI274" t="s">
        <v>27</v>
      </c>
      <c r="AJ274" s="1"/>
      <c r="AK274" t="s">
        <v>28</v>
      </c>
      <c r="AL27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32</v>
      </c>
      <c r="AM274">
        <f>SUM(Rel_2026[[#This Row],[qtd_TrxContabil]:[VLR_EXP_SORTE]])</f>
        <v>738</v>
      </c>
      <c r="AN27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47</v>
      </c>
    </row>
    <row r="275" spans="1:40" x14ac:dyDescent="0.3">
      <c r="A275" t="str">
        <f>IF(Rel_2026[[#This Row],[Zero]]=0,"Zero",IF(Rel_2026[[#This Row],[Pontuação]]&gt;=10,"Sim",IF(Rel_2026[[#This Row],[Pontuação]]&gt;=5,"Próximo","Não")))</f>
        <v>Não</v>
      </c>
      <c r="B275" t="str">
        <f>IF(Rel_2026[[#This Row],[Zero]]=0,"Zero",IF(Rel_2026[[#This Row],[Pontuação2]]&gt;=10,"Sim",IF(Rel_2026[[#This Row],[Pontuação2]]&gt;=5,"Próximo","Não")))</f>
        <v>Não</v>
      </c>
      <c r="C275" t="str">
        <f>IFERROR(VLOOKUP(Rel_2026[[#This Row],[chave_loja]],Responsavel!A:B,2,FALSE),"EUCLIDES")</f>
        <v>ROSSY</v>
      </c>
      <c r="D275" t="str">
        <f>LEFT(Rel_2026[[#This Row],[ag_pacb]],4)</f>
        <v>0405</v>
      </c>
      <c r="E275">
        <v>422522</v>
      </c>
      <c r="F275" t="s">
        <v>1090</v>
      </c>
      <c r="G275" t="s">
        <v>1091</v>
      </c>
      <c r="H275" s="1">
        <v>46077</v>
      </c>
      <c r="I275" t="s">
        <v>107</v>
      </c>
      <c r="J275" t="s">
        <v>939</v>
      </c>
      <c r="K275" s="1">
        <v>46071</v>
      </c>
      <c r="L275" s="1"/>
      <c r="M275" t="s">
        <v>109</v>
      </c>
      <c r="N275" s="1">
        <v>46254</v>
      </c>
      <c r="O275">
        <v>544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 t="s">
        <v>26</v>
      </c>
      <c r="AI275" t="s">
        <v>27</v>
      </c>
      <c r="AJ275" s="1"/>
      <c r="AK275" t="s">
        <v>28</v>
      </c>
      <c r="AL27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75">
        <f>SUM(Rel_2026[[#This Row],[qtd_TrxContabil]:[VLR_EXP_SORTE]])</f>
        <v>544</v>
      </c>
      <c r="AN27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76" spans="1:40" x14ac:dyDescent="0.3">
      <c r="A276" t="str">
        <f>IF(Rel_2026[[#This Row],[Zero]]=0,"Zero",IF(Rel_2026[[#This Row],[Pontuação]]&gt;=10,"Sim",IF(Rel_2026[[#This Row],[Pontuação]]&gt;=5,"Próximo","Não")))</f>
        <v>Sim</v>
      </c>
      <c r="B276" t="str">
        <f>IF(Rel_2026[[#This Row],[Zero]]=0,"Zero",IF(Rel_2026[[#This Row],[Pontuação2]]&gt;=10,"Sim",IF(Rel_2026[[#This Row],[Pontuação2]]&gt;=5,"Próximo","Não")))</f>
        <v>Sim</v>
      </c>
      <c r="C276" t="str">
        <f>IFERROR(VLOOKUP(Rel_2026[[#This Row],[chave_loja]],Responsavel!A:B,2,FALSE),"EUCLIDES")</f>
        <v>JUNIOR</v>
      </c>
      <c r="D276" t="str">
        <f>LEFT(Rel_2026[[#This Row],[ag_pacb]],4)</f>
        <v>1351</v>
      </c>
      <c r="E276">
        <v>206290</v>
      </c>
      <c r="F276" t="s">
        <v>1237</v>
      </c>
      <c r="G276" t="s">
        <v>1238</v>
      </c>
      <c r="H276" s="1">
        <v>44453</v>
      </c>
      <c r="I276" t="s">
        <v>23</v>
      </c>
      <c r="J276" t="s">
        <v>142</v>
      </c>
      <c r="K276" s="1">
        <v>44809</v>
      </c>
      <c r="L276" s="1">
        <v>45911</v>
      </c>
      <c r="M276" t="s">
        <v>32</v>
      </c>
      <c r="N276" s="1">
        <v>46254</v>
      </c>
      <c r="O276">
        <v>684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12000</v>
      </c>
      <c r="V276">
        <v>12000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 t="s">
        <v>38</v>
      </c>
      <c r="AI276" t="s">
        <v>27</v>
      </c>
      <c r="AJ276" s="1"/>
      <c r="AK276" t="s">
        <v>28</v>
      </c>
      <c r="AL27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  <c r="AM276">
        <f>SUM(Rel_2026[[#This Row],[qtd_TrxContabil]:[VLR_EXP_SORTE]])</f>
        <v>24684</v>
      </c>
      <c r="AN27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</row>
    <row r="277" spans="1:40" x14ac:dyDescent="0.3">
      <c r="A277" t="str">
        <f>IF(Rel_2026[[#This Row],[Zero]]=0,"Zero",IF(Rel_2026[[#This Row],[Pontuação]]&gt;=10,"Sim",IF(Rel_2026[[#This Row],[Pontuação]]&gt;=5,"Próximo","Não")))</f>
        <v>Sim</v>
      </c>
      <c r="B277" t="str">
        <f>IF(Rel_2026[[#This Row],[Zero]]=0,"Zero",IF(Rel_2026[[#This Row],[Pontuação2]]&gt;=10,"Sim",IF(Rel_2026[[#This Row],[Pontuação2]]&gt;=5,"Próximo","Não")))</f>
        <v>Sim</v>
      </c>
      <c r="C277" t="str">
        <f>IFERROR(VLOOKUP(Rel_2026[[#This Row],[chave_loja]],Responsavel!A:B,2,FALSE),"EUCLIDES")</f>
        <v>JACK</v>
      </c>
      <c r="D277" t="str">
        <f>LEFT(Rel_2026[[#This Row],[ag_pacb]],4)</f>
        <v>0985</v>
      </c>
      <c r="E277">
        <v>236028</v>
      </c>
      <c r="F277" t="s">
        <v>1220</v>
      </c>
      <c r="G277" t="s">
        <v>1221</v>
      </c>
      <c r="H277" s="1">
        <v>44756</v>
      </c>
      <c r="I277" t="s">
        <v>107</v>
      </c>
      <c r="J277" t="s">
        <v>938</v>
      </c>
      <c r="K277" s="1">
        <v>45306</v>
      </c>
      <c r="L277" s="1">
        <v>44784</v>
      </c>
      <c r="M277" t="s">
        <v>109</v>
      </c>
      <c r="N277" s="1">
        <v>46254</v>
      </c>
      <c r="O277">
        <v>212</v>
      </c>
      <c r="P277">
        <v>2</v>
      </c>
      <c r="Q277">
        <v>2</v>
      </c>
      <c r="R277">
        <v>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 t="s">
        <v>26</v>
      </c>
      <c r="AI277" t="s">
        <v>27</v>
      </c>
      <c r="AJ277" s="1"/>
      <c r="AK277" t="s">
        <v>28</v>
      </c>
      <c r="AL27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277">
        <f>SUM(Rel_2026[[#This Row],[qtd_TrxContabil]:[VLR_EXP_SORTE]])</f>
        <v>218</v>
      </c>
      <c r="AN27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278" spans="1:40" x14ac:dyDescent="0.3">
      <c r="A278" t="str">
        <f>IF(Rel_2026[[#This Row],[Zero]]=0,"Zero",IF(Rel_2026[[#This Row],[Pontuação]]&gt;=10,"Sim",IF(Rel_2026[[#This Row],[Pontuação]]&gt;=5,"Próximo","Não")))</f>
        <v>Sim</v>
      </c>
      <c r="B278" t="str">
        <f>IF(Rel_2026[[#This Row],[Zero]]=0,"Zero",IF(Rel_2026[[#This Row],[Pontuação2]]&gt;=10,"Sim",IF(Rel_2026[[#This Row],[Pontuação2]]&gt;=5,"Próximo","Não")))</f>
        <v>Sim</v>
      </c>
      <c r="C278" t="str">
        <f>IFERROR(VLOOKUP(Rel_2026[[#This Row],[chave_loja]],Responsavel!A:B,2,FALSE),"EUCLIDES")</f>
        <v>GIL</v>
      </c>
      <c r="D278" t="str">
        <f>LEFT(Rel_2026[[#This Row],[ag_pacb]],4)</f>
        <v>0715</v>
      </c>
      <c r="E278">
        <v>401784</v>
      </c>
      <c r="F278" t="s">
        <v>668</v>
      </c>
      <c r="G278" t="s">
        <v>669</v>
      </c>
      <c r="H278" s="1">
        <v>45810</v>
      </c>
      <c r="I278" t="s">
        <v>23</v>
      </c>
      <c r="J278" t="s">
        <v>141</v>
      </c>
      <c r="K278" s="1">
        <v>45360</v>
      </c>
      <c r="L278" s="1">
        <v>45371</v>
      </c>
      <c r="M278" t="s">
        <v>32</v>
      </c>
      <c r="N278" s="1">
        <v>46254</v>
      </c>
      <c r="O278">
        <v>95</v>
      </c>
      <c r="P278">
        <v>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 t="s">
        <v>38</v>
      </c>
      <c r="AI278" t="s">
        <v>27</v>
      </c>
      <c r="AJ278" s="1"/>
      <c r="AK278" t="s">
        <v>28</v>
      </c>
      <c r="AL27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27</v>
      </c>
      <c r="AM278">
        <f>SUM(Rel_2026[[#This Row],[qtd_TrxContabil]:[VLR_EXP_SORTE]])</f>
        <v>104</v>
      </c>
      <c r="AN27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27</v>
      </c>
    </row>
    <row r="279" spans="1:40" x14ac:dyDescent="0.3">
      <c r="A279" t="str">
        <f>IF(Rel_2026[[#This Row],[Zero]]=0,"Zero",IF(Rel_2026[[#This Row],[Pontuação]]&gt;=10,"Sim",IF(Rel_2026[[#This Row],[Pontuação]]&gt;=5,"Próximo","Não")))</f>
        <v>Não</v>
      </c>
      <c r="B279" t="str">
        <f>IF(Rel_2026[[#This Row],[Zero]]=0,"Zero",IF(Rel_2026[[#This Row],[Pontuação2]]&gt;=10,"Sim",IF(Rel_2026[[#This Row],[Pontuação2]]&gt;=5,"Próximo","Não")))</f>
        <v>Não</v>
      </c>
      <c r="C279" t="str">
        <f>IFERROR(VLOOKUP(Rel_2026[[#This Row],[chave_loja]],Responsavel!A:B,2,FALSE),"EUCLIDES")</f>
        <v>JACK</v>
      </c>
      <c r="D279" t="str">
        <f>LEFT(Rel_2026[[#This Row],[ag_pacb]],4)</f>
        <v>0985</v>
      </c>
      <c r="E279">
        <v>60722</v>
      </c>
      <c r="F279" t="s">
        <v>828</v>
      </c>
      <c r="G279" t="s">
        <v>829</v>
      </c>
      <c r="H279" s="1">
        <v>45120</v>
      </c>
      <c r="I279" t="s">
        <v>107</v>
      </c>
      <c r="J279" t="s">
        <v>827</v>
      </c>
      <c r="K279" s="1">
        <v>42226</v>
      </c>
      <c r="L279" s="1">
        <v>45511</v>
      </c>
      <c r="M279" t="s">
        <v>109</v>
      </c>
      <c r="N279" s="1">
        <v>46254</v>
      </c>
      <c r="O279">
        <v>1047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 t="s">
        <v>38</v>
      </c>
      <c r="AI279" t="s">
        <v>27</v>
      </c>
      <c r="AJ279" s="1"/>
      <c r="AK279" t="s">
        <v>28</v>
      </c>
      <c r="AL27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79">
        <f>SUM(Rel_2026[[#This Row],[qtd_TrxContabil]:[VLR_EXP_SORTE]])</f>
        <v>1047</v>
      </c>
      <c r="AN27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80" spans="1:40" x14ac:dyDescent="0.3">
      <c r="A280" t="str">
        <f>IF(Rel_2026[[#This Row],[Zero]]=0,"Zero",IF(Rel_2026[[#This Row],[Pontuação]]&gt;=10,"Sim",IF(Rel_2026[[#This Row],[Pontuação]]&gt;=5,"Próximo","Não")))</f>
        <v>Sim</v>
      </c>
      <c r="B280" t="str">
        <f>IF(Rel_2026[[#This Row],[Zero]]=0,"Zero",IF(Rel_2026[[#This Row],[Pontuação2]]&gt;=10,"Sim",IF(Rel_2026[[#This Row],[Pontuação2]]&gt;=5,"Próximo","Não")))</f>
        <v>Sim</v>
      </c>
      <c r="C280" t="str">
        <f>IFERROR(VLOOKUP(Rel_2026[[#This Row],[chave_loja]],Responsavel!A:B,2,FALSE),"EUCLIDES")</f>
        <v>ROSSY</v>
      </c>
      <c r="D280" t="str">
        <f>LEFT(Rel_2026[[#This Row],[ag_pacb]],4)</f>
        <v>5792</v>
      </c>
      <c r="E280">
        <v>82525</v>
      </c>
      <c r="F280" t="s">
        <v>839</v>
      </c>
      <c r="G280" t="s">
        <v>840</v>
      </c>
      <c r="H280" s="1">
        <v>44365</v>
      </c>
      <c r="I280" t="s">
        <v>107</v>
      </c>
      <c r="J280" t="s">
        <v>841</v>
      </c>
      <c r="K280" s="1">
        <v>42137</v>
      </c>
      <c r="L280" s="1">
        <v>45575</v>
      </c>
      <c r="M280" t="s">
        <v>109</v>
      </c>
      <c r="N280" s="1">
        <v>46254</v>
      </c>
      <c r="O280">
        <v>949</v>
      </c>
      <c r="P280">
        <v>2</v>
      </c>
      <c r="Q280">
        <v>1</v>
      </c>
      <c r="R280">
        <v>2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 t="s">
        <v>26</v>
      </c>
      <c r="AI280" t="s">
        <v>27</v>
      </c>
      <c r="AJ280" s="1"/>
      <c r="AK280" t="s">
        <v>28</v>
      </c>
      <c r="AL28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280">
        <f>SUM(Rel_2026[[#This Row],[qtd_TrxContabil]:[VLR_EXP_SORTE]])</f>
        <v>954</v>
      </c>
      <c r="AN28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16</v>
      </c>
    </row>
    <row r="281" spans="1:40" x14ac:dyDescent="0.3">
      <c r="A281" t="str">
        <f>IF(Rel_2026[[#This Row],[Zero]]=0,"Zero",IF(Rel_2026[[#This Row],[Pontuação]]&gt;=10,"Sim",IF(Rel_2026[[#This Row],[Pontuação]]&gt;=5,"Próximo","Não")))</f>
        <v>Sim</v>
      </c>
      <c r="B281" t="str">
        <f>IF(Rel_2026[[#This Row],[Zero]]=0,"Zero",IF(Rel_2026[[#This Row],[Pontuação2]]&gt;=10,"Sim",IF(Rel_2026[[#This Row],[Pontuação2]]&gt;=5,"Próximo","Não")))</f>
        <v>Sim</v>
      </c>
      <c r="C281" t="str">
        <f>IFERROR(VLOOKUP(Rel_2026[[#This Row],[chave_loja]],Responsavel!A:B,2,FALSE),"EUCLIDES")</f>
        <v>DARIO</v>
      </c>
      <c r="D281" t="str">
        <f>LEFT(Rel_2026[[#This Row],[ag_pacb]],4)</f>
        <v>0703</v>
      </c>
      <c r="E281">
        <v>155835</v>
      </c>
      <c r="F281" t="s">
        <v>115</v>
      </c>
      <c r="G281" t="s">
        <v>453</v>
      </c>
      <c r="H281" s="1">
        <v>44444</v>
      </c>
      <c r="I281" t="s">
        <v>23</v>
      </c>
      <c r="J281" t="s">
        <v>247</v>
      </c>
      <c r="K281" s="1">
        <v>42761</v>
      </c>
      <c r="L281" s="1">
        <v>44560</v>
      </c>
      <c r="M281" t="s">
        <v>25</v>
      </c>
      <c r="N281" s="1">
        <v>46254</v>
      </c>
      <c r="O281">
        <v>5506</v>
      </c>
      <c r="P281">
        <v>2</v>
      </c>
      <c r="Q281">
        <v>2</v>
      </c>
      <c r="R281">
        <v>1</v>
      </c>
      <c r="S281">
        <v>0</v>
      </c>
      <c r="T281">
        <v>10424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 t="s">
        <v>38</v>
      </c>
      <c r="AI281" t="s">
        <v>27</v>
      </c>
      <c r="AJ281" s="1"/>
      <c r="AK281" t="s">
        <v>28</v>
      </c>
      <c r="AL28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118</v>
      </c>
      <c r="AM281">
        <f>SUM(Rel_2026[[#This Row],[qtd_TrxContabil]:[VLR_EXP_SORTE]])</f>
        <v>15936</v>
      </c>
      <c r="AN28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121</v>
      </c>
    </row>
    <row r="282" spans="1:40" x14ac:dyDescent="0.3">
      <c r="A282" t="str">
        <f>IF(Rel_2026[[#This Row],[Zero]]=0,"Zero",IF(Rel_2026[[#This Row],[Pontuação]]&gt;=10,"Sim",IF(Rel_2026[[#This Row],[Pontuação]]&gt;=5,"Próximo","Não")))</f>
        <v>Sim</v>
      </c>
      <c r="B282" t="str">
        <f>IF(Rel_2026[[#This Row],[Zero]]=0,"Zero",IF(Rel_2026[[#This Row],[Pontuação2]]&gt;=10,"Sim",IF(Rel_2026[[#This Row],[Pontuação2]]&gt;=5,"Próximo","Não")))</f>
        <v>Sim</v>
      </c>
      <c r="C282" t="str">
        <f>IFERROR(VLOOKUP(Rel_2026[[#This Row],[chave_loja]],Responsavel!A:B,2,FALSE),"EUCLIDES")</f>
        <v>IVAN</v>
      </c>
      <c r="D282" t="str">
        <f>LEFT(Rel_2026[[#This Row],[ag_pacb]],4)</f>
        <v>0767</v>
      </c>
      <c r="E282">
        <v>161553</v>
      </c>
      <c r="F282" t="s">
        <v>428</v>
      </c>
      <c r="G282" t="s">
        <v>429</v>
      </c>
      <c r="H282" s="1">
        <v>45155</v>
      </c>
      <c r="I282" t="s">
        <v>23</v>
      </c>
      <c r="J282" t="s">
        <v>93</v>
      </c>
      <c r="K282" s="1">
        <v>43587</v>
      </c>
      <c r="L282" s="1">
        <v>46164</v>
      </c>
      <c r="M282" t="s">
        <v>25</v>
      </c>
      <c r="N282" s="1">
        <v>46254</v>
      </c>
      <c r="O282">
        <v>1292</v>
      </c>
      <c r="P282">
        <v>9</v>
      </c>
      <c r="Q282">
        <v>8</v>
      </c>
      <c r="R282">
        <v>8</v>
      </c>
      <c r="S282">
        <v>0</v>
      </c>
      <c r="T282">
        <v>4200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4</v>
      </c>
      <c r="AG282">
        <v>0</v>
      </c>
      <c r="AH282" t="s">
        <v>38</v>
      </c>
      <c r="AI282" t="s">
        <v>27</v>
      </c>
      <c r="AJ282" s="1"/>
      <c r="AK282" t="s">
        <v>28</v>
      </c>
      <c r="AL28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101</v>
      </c>
      <c r="AM282">
        <f>SUM(Rel_2026[[#This Row],[qtd_TrxContabil]:[VLR_EXP_SORTE]])</f>
        <v>5521</v>
      </c>
      <c r="AN28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125</v>
      </c>
    </row>
    <row r="283" spans="1:40" x14ac:dyDescent="0.3">
      <c r="A283" t="str">
        <f>IF(Rel_2026[[#This Row],[Zero]]=0,"Zero",IF(Rel_2026[[#This Row],[Pontuação]]&gt;=10,"Sim",IF(Rel_2026[[#This Row],[Pontuação]]&gt;=5,"Próximo","Não")))</f>
        <v>Sim</v>
      </c>
      <c r="B283" t="str">
        <f>IF(Rel_2026[[#This Row],[Zero]]=0,"Zero",IF(Rel_2026[[#This Row],[Pontuação2]]&gt;=10,"Sim",IF(Rel_2026[[#This Row],[Pontuação2]]&gt;=5,"Próximo","Não")))</f>
        <v>Sim</v>
      </c>
      <c r="C283" t="str">
        <f>IFERROR(VLOOKUP(Rel_2026[[#This Row],[chave_loja]],Responsavel!A:B,2,FALSE),"EUCLIDES")</f>
        <v>ALEX SIQUEIRA</v>
      </c>
      <c r="D283" t="str">
        <f>LEFT(Rel_2026[[#This Row],[ag_pacb]],4)</f>
        <v>0752</v>
      </c>
      <c r="E283">
        <v>100754</v>
      </c>
      <c r="F283" t="s">
        <v>283</v>
      </c>
      <c r="G283" t="s">
        <v>284</v>
      </c>
      <c r="H283" s="1">
        <v>44462</v>
      </c>
      <c r="I283" t="s">
        <v>23</v>
      </c>
      <c r="J283" t="s">
        <v>117</v>
      </c>
      <c r="K283" s="1">
        <v>42220</v>
      </c>
      <c r="L283" s="1">
        <v>45525</v>
      </c>
      <c r="M283" t="s">
        <v>109</v>
      </c>
      <c r="N283" s="1">
        <v>46254</v>
      </c>
      <c r="O283">
        <v>2854</v>
      </c>
      <c r="P283">
        <v>3</v>
      </c>
      <c r="Q283">
        <v>3</v>
      </c>
      <c r="R283">
        <v>3</v>
      </c>
      <c r="S283">
        <v>0</v>
      </c>
      <c r="T283">
        <v>0</v>
      </c>
      <c r="U283">
        <v>1000</v>
      </c>
      <c r="V283">
        <v>1000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3</v>
      </c>
      <c r="AG283">
        <v>0</v>
      </c>
      <c r="AH283" t="s">
        <v>26</v>
      </c>
      <c r="AI283" t="s">
        <v>27</v>
      </c>
      <c r="AJ283" s="1"/>
      <c r="AK283" t="s">
        <v>28</v>
      </c>
      <c r="AL28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22</v>
      </c>
      <c r="AM283">
        <f>SUM(Rel_2026[[#This Row],[qtd_TrxContabil]:[VLR_EXP_SORTE]])</f>
        <v>4866</v>
      </c>
      <c r="AN28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31</v>
      </c>
    </row>
    <row r="284" spans="1:40" x14ac:dyDescent="0.3">
      <c r="A284" t="str">
        <f>IF(Rel_2026[[#This Row],[Zero]]=0,"Zero",IF(Rel_2026[[#This Row],[Pontuação]]&gt;=10,"Sim",IF(Rel_2026[[#This Row],[Pontuação]]&gt;=5,"Próximo","Não")))</f>
        <v>Sim</v>
      </c>
      <c r="B284" t="str">
        <f>IF(Rel_2026[[#This Row],[Zero]]=0,"Zero",IF(Rel_2026[[#This Row],[Pontuação2]]&gt;=10,"Sim",IF(Rel_2026[[#This Row],[Pontuação2]]&gt;=5,"Próximo","Não")))</f>
        <v>Sim</v>
      </c>
      <c r="C284" t="str">
        <f>IFERROR(VLOOKUP(Rel_2026[[#This Row],[chave_loja]],Responsavel!A:B,2,FALSE),"EUCLIDES")</f>
        <v>NYCOLLAS</v>
      </c>
      <c r="D284" t="str">
        <f>LEFT(Rel_2026[[#This Row],[ag_pacb]],4)</f>
        <v>5447</v>
      </c>
      <c r="E284">
        <v>165833</v>
      </c>
      <c r="F284" t="s">
        <v>179</v>
      </c>
      <c r="G284" t="s">
        <v>180</v>
      </c>
      <c r="H284" s="1">
        <v>45092</v>
      </c>
      <c r="I284" t="s">
        <v>23</v>
      </c>
      <c r="J284" t="s">
        <v>42</v>
      </c>
      <c r="K284" s="1">
        <v>43214</v>
      </c>
      <c r="L284" s="1">
        <v>46058</v>
      </c>
      <c r="M284" t="s">
        <v>32</v>
      </c>
      <c r="N284" s="1">
        <v>46254</v>
      </c>
      <c r="O284">
        <v>2356</v>
      </c>
      <c r="P284">
        <v>3</v>
      </c>
      <c r="Q284">
        <v>2</v>
      </c>
      <c r="R284">
        <v>2</v>
      </c>
      <c r="S284">
        <v>0</v>
      </c>
      <c r="T284">
        <v>0</v>
      </c>
      <c r="U284">
        <v>5939</v>
      </c>
      <c r="V284">
        <v>5939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2</v>
      </c>
      <c r="AG284">
        <v>0</v>
      </c>
      <c r="AH284" t="s">
        <v>38</v>
      </c>
      <c r="AI284" t="s">
        <v>27</v>
      </c>
      <c r="AJ284" s="1"/>
      <c r="AK284" t="s">
        <v>28</v>
      </c>
      <c r="AL28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23</v>
      </c>
      <c r="AM284">
        <f>SUM(Rel_2026[[#This Row],[qtd_TrxContabil]:[VLR_EXP_SORTE]])</f>
        <v>14244</v>
      </c>
      <c r="AN28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29</v>
      </c>
    </row>
    <row r="285" spans="1:40" x14ac:dyDescent="0.3">
      <c r="A285" t="str">
        <f>IF(Rel_2026[[#This Row],[Zero]]=0,"Zero",IF(Rel_2026[[#This Row],[Pontuação]]&gt;=10,"Sim",IF(Rel_2026[[#This Row],[Pontuação]]&gt;=5,"Próximo","Não")))</f>
        <v>Não</v>
      </c>
      <c r="B285" t="str">
        <f>IF(Rel_2026[[#This Row],[Zero]]=0,"Zero",IF(Rel_2026[[#This Row],[Pontuação2]]&gt;=10,"Sim",IF(Rel_2026[[#This Row],[Pontuação2]]&gt;=5,"Próximo","Não")))</f>
        <v>Não</v>
      </c>
      <c r="C285" t="str">
        <f>IFERROR(VLOOKUP(Rel_2026[[#This Row],[chave_loja]],Responsavel!A:B,2,FALSE),"EUCLIDES")</f>
        <v>WASTHSON</v>
      </c>
      <c r="D285" t="str">
        <f>LEFT(Rel_2026[[#This Row],[ag_pacb]],4)</f>
        <v>5415</v>
      </c>
      <c r="E285">
        <v>404731</v>
      </c>
      <c r="F285" t="s">
        <v>700</v>
      </c>
      <c r="G285" t="s">
        <v>701</v>
      </c>
      <c r="H285" s="1">
        <v>45743</v>
      </c>
      <c r="I285" t="s">
        <v>23</v>
      </c>
      <c r="J285" t="s">
        <v>158</v>
      </c>
      <c r="K285" s="1">
        <v>45490</v>
      </c>
      <c r="L285" s="1">
        <v>45762</v>
      </c>
      <c r="M285" t="s">
        <v>32</v>
      </c>
      <c r="N285" s="1">
        <v>46254</v>
      </c>
      <c r="O285">
        <v>126</v>
      </c>
      <c r="P285">
        <v>0</v>
      </c>
      <c r="Q285">
        <v>0</v>
      </c>
      <c r="R285">
        <v>0</v>
      </c>
      <c r="S285">
        <v>0</v>
      </c>
      <c r="T285">
        <v>400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t="s">
        <v>26</v>
      </c>
      <c r="AI285" t="s">
        <v>27</v>
      </c>
      <c r="AJ285" s="1"/>
      <c r="AK285" t="s">
        <v>28</v>
      </c>
      <c r="AL28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</v>
      </c>
      <c r="AM285">
        <f>SUM(Rel_2026[[#This Row],[qtd_TrxContabil]:[VLR_EXP_SORTE]])</f>
        <v>526</v>
      </c>
      <c r="AN28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</v>
      </c>
    </row>
    <row r="286" spans="1:40" x14ac:dyDescent="0.3">
      <c r="A286" t="str">
        <f>IF(Rel_2026[[#This Row],[Zero]]=0,"Zero",IF(Rel_2026[[#This Row],[Pontuação]]&gt;=10,"Sim",IF(Rel_2026[[#This Row],[Pontuação]]&gt;=5,"Próximo","Não")))</f>
        <v>Zero</v>
      </c>
      <c r="B286" t="str">
        <f>IF(Rel_2026[[#This Row],[Zero]]=0,"Zero",IF(Rel_2026[[#This Row],[Pontuação2]]&gt;=10,"Sim",IF(Rel_2026[[#This Row],[Pontuação2]]&gt;=5,"Próximo","Não")))</f>
        <v>Zero</v>
      </c>
      <c r="C286" t="str">
        <f>IFERROR(VLOOKUP(Rel_2026[[#This Row],[chave_loja]],Responsavel!A:B,2,FALSE),"EUCLIDES")</f>
        <v>WASTHSON</v>
      </c>
      <c r="D286" t="str">
        <f>LEFT(Rel_2026[[#This Row],[ag_pacb]],4)</f>
        <v>0702</v>
      </c>
      <c r="E286">
        <v>409857</v>
      </c>
      <c r="F286" t="s">
        <v>1181</v>
      </c>
      <c r="G286" t="s">
        <v>1349</v>
      </c>
      <c r="H286" s="1">
        <v>45728</v>
      </c>
      <c r="I286" t="s">
        <v>23</v>
      </c>
      <c r="J286" t="s">
        <v>226</v>
      </c>
      <c r="K286" s="1">
        <v>45705</v>
      </c>
      <c r="L286" s="1">
        <v>45755</v>
      </c>
      <c r="M286" t="s">
        <v>32</v>
      </c>
      <c r="N286" s="1">
        <v>46139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 t="s">
        <v>38</v>
      </c>
      <c r="AI286" t="s">
        <v>56</v>
      </c>
      <c r="AJ286" s="1">
        <v>46199</v>
      </c>
      <c r="AK286" t="s">
        <v>28</v>
      </c>
      <c r="AL28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86">
        <f>SUM(Rel_2026[[#This Row],[qtd_TrxContabil]:[VLR_EXP_SORTE]])</f>
        <v>0</v>
      </c>
      <c r="AN28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87" spans="1:40" x14ac:dyDescent="0.3">
      <c r="A287" t="str">
        <f>IF(Rel_2026[[#This Row],[Zero]]=0,"Zero",IF(Rel_2026[[#This Row],[Pontuação]]&gt;=10,"Sim",IF(Rel_2026[[#This Row],[Pontuação]]&gt;=5,"Próximo","Não")))</f>
        <v>Não</v>
      </c>
      <c r="B287" t="str">
        <f>IF(Rel_2026[[#This Row],[Zero]]=0,"Zero",IF(Rel_2026[[#This Row],[Pontuação2]]&gt;=10,"Sim",IF(Rel_2026[[#This Row],[Pontuação2]]&gt;=5,"Próximo","Não")))</f>
        <v>Próximo</v>
      </c>
      <c r="C287" t="str">
        <f>IFERROR(VLOOKUP(Rel_2026[[#This Row],[chave_loja]],Responsavel!A:B,2,FALSE),"EUCLIDES")</f>
        <v>ALEX SIQUEIRA</v>
      </c>
      <c r="D287" t="str">
        <f>LEFT(Rel_2026[[#This Row],[ag_pacb]],4)</f>
        <v>0726</v>
      </c>
      <c r="E287">
        <v>419816</v>
      </c>
      <c r="F287" t="s">
        <v>780</v>
      </c>
      <c r="G287" t="s">
        <v>781</v>
      </c>
      <c r="H287" s="1">
        <v>46006</v>
      </c>
      <c r="I287" t="s">
        <v>23</v>
      </c>
      <c r="J287" t="s">
        <v>192</v>
      </c>
      <c r="K287" s="1">
        <v>45985</v>
      </c>
      <c r="L287" s="1">
        <v>46049</v>
      </c>
      <c r="M287" t="s">
        <v>109</v>
      </c>
      <c r="N287" s="1">
        <v>46240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 t="s">
        <v>26</v>
      </c>
      <c r="AI287" t="s">
        <v>27</v>
      </c>
      <c r="AJ287" s="1"/>
      <c r="AK287" t="s">
        <v>28</v>
      </c>
      <c r="AL28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287">
        <f>SUM(Rel_2026[[#This Row],[qtd_TrxContabil]:[VLR_EXP_SORTE]])</f>
        <v>3</v>
      </c>
      <c r="AN28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288" spans="1:40" x14ac:dyDescent="0.3">
      <c r="A288" t="str">
        <f>IF(Rel_2026[[#This Row],[Zero]]=0,"Zero",IF(Rel_2026[[#This Row],[Pontuação]]&gt;=10,"Sim",IF(Rel_2026[[#This Row],[Pontuação]]&gt;=5,"Próximo","Não")))</f>
        <v>Não</v>
      </c>
      <c r="B288" t="str">
        <f>IF(Rel_2026[[#This Row],[Zero]]=0,"Zero",IF(Rel_2026[[#This Row],[Pontuação2]]&gt;=10,"Sim",IF(Rel_2026[[#This Row],[Pontuação2]]&gt;=5,"Próximo","Não")))</f>
        <v>Não</v>
      </c>
      <c r="C288" t="str">
        <f>IFERROR(VLOOKUP(Rel_2026[[#This Row],[chave_loja]],Responsavel!A:B,2,FALSE),"EUCLIDES")</f>
        <v>JUNIOR</v>
      </c>
      <c r="D288" t="str">
        <f>LEFT(Rel_2026[[#This Row],[ag_pacb]],4)</f>
        <v>0684</v>
      </c>
      <c r="E288">
        <v>424206</v>
      </c>
      <c r="F288" t="s">
        <v>1282</v>
      </c>
      <c r="G288" t="s">
        <v>1283</v>
      </c>
      <c r="H288" s="1">
        <v>46168</v>
      </c>
      <c r="I288" t="s">
        <v>23</v>
      </c>
      <c r="J288" t="s">
        <v>37</v>
      </c>
      <c r="K288" s="1">
        <v>46160</v>
      </c>
      <c r="L288" s="1">
        <v>46182</v>
      </c>
      <c r="M288" t="s">
        <v>32</v>
      </c>
      <c r="N288" s="1">
        <v>46254</v>
      </c>
      <c r="O288">
        <v>455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s">
        <v>26</v>
      </c>
      <c r="AI288" t="s">
        <v>27</v>
      </c>
      <c r="AJ288" s="1"/>
      <c r="AK288" t="s">
        <v>28</v>
      </c>
      <c r="AL28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88">
        <f>SUM(Rel_2026[[#This Row],[qtd_TrxContabil]:[VLR_EXP_SORTE]])</f>
        <v>455</v>
      </c>
      <c r="AN28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89" spans="1:40" x14ac:dyDescent="0.3">
      <c r="A289" t="str">
        <f>IF(Rel_2026[[#This Row],[Zero]]=0,"Zero",IF(Rel_2026[[#This Row],[Pontuação]]&gt;=10,"Sim",IF(Rel_2026[[#This Row],[Pontuação]]&gt;=5,"Próximo","Não")))</f>
        <v>Sim</v>
      </c>
      <c r="B289" t="str">
        <f>IF(Rel_2026[[#This Row],[Zero]]=0,"Zero",IF(Rel_2026[[#This Row],[Pontuação2]]&gt;=10,"Sim",IF(Rel_2026[[#This Row],[Pontuação2]]&gt;=5,"Próximo","Não")))</f>
        <v>Sim</v>
      </c>
      <c r="C289" t="str">
        <f>IFERROR(VLOOKUP(Rel_2026[[#This Row],[chave_loja]],Responsavel!A:B,2,FALSE),"EUCLIDES")</f>
        <v>GIL</v>
      </c>
      <c r="D289" t="str">
        <f>LEFT(Rel_2026[[#This Row],[ag_pacb]],4)</f>
        <v>5387</v>
      </c>
      <c r="E289">
        <v>217443</v>
      </c>
      <c r="F289" t="s">
        <v>356</v>
      </c>
      <c r="G289" t="s">
        <v>357</v>
      </c>
      <c r="H289" s="1">
        <v>44655</v>
      </c>
      <c r="I289" t="s">
        <v>23</v>
      </c>
      <c r="J289" t="s">
        <v>74</v>
      </c>
      <c r="K289" s="1">
        <v>44327</v>
      </c>
      <c r="L289" s="1">
        <v>46189</v>
      </c>
      <c r="M289" t="s">
        <v>32</v>
      </c>
      <c r="N289" s="1">
        <v>46254</v>
      </c>
      <c r="O289">
        <v>932</v>
      </c>
      <c r="P289">
        <v>1</v>
      </c>
      <c r="Q289">
        <v>1</v>
      </c>
      <c r="R289">
        <v>1</v>
      </c>
      <c r="S289">
        <v>0</v>
      </c>
      <c r="T289">
        <v>400</v>
      </c>
      <c r="U289">
        <v>37679</v>
      </c>
      <c r="V289">
        <v>37679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</v>
      </c>
      <c r="AE289">
        <v>0</v>
      </c>
      <c r="AF289">
        <v>1</v>
      </c>
      <c r="AG289">
        <v>50</v>
      </c>
      <c r="AH289" t="s">
        <v>38</v>
      </c>
      <c r="AI289" t="s">
        <v>27</v>
      </c>
      <c r="AJ289" s="1"/>
      <c r="AK289" t="s">
        <v>28</v>
      </c>
      <c r="AL28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52</v>
      </c>
      <c r="AM289">
        <f>SUM(Rel_2026[[#This Row],[qtd_TrxContabil]:[VLR_EXP_SORTE]])</f>
        <v>76746</v>
      </c>
      <c r="AN28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55</v>
      </c>
    </row>
    <row r="290" spans="1:40" x14ac:dyDescent="0.3">
      <c r="A290" t="str">
        <f>IF(Rel_2026[[#This Row],[Zero]]=0,"Zero",IF(Rel_2026[[#This Row],[Pontuação]]&gt;=10,"Sim",IF(Rel_2026[[#This Row],[Pontuação]]&gt;=5,"Próximo","Não")))</f>
        <v>Não</v>
      </c>
      <c r="B290" t="str">
        <f>IF(Rel_2026[[#This Row],[Zero]]=0,"Zero",IF(Rel_2026[[#This Row],[Pontuação2]]&gt;=10,"Sim",IF(Rel_2026[[#This Row],[Pontuação2]]&gt;=5,"Próximo","Não")))</f>
        <v>Não</v>
      </c>
      <c r="C290" t="str">
        <f>IFERROR(VLOOKUP(Rel_2026[[#This Row],[chave_loja]],Responsavel!A:B,2,FALSE),"EUCLIDES")</f>
        <v>CÉLIO</v>
      </c>
      <c r="D290" t="str">
        <f>LEFT(Rel_2026[[#This Row],[ag_pacb]],4)</f>
        <v>1234</v>
      </c>
      <c r="E290">
        <v>243781</v>
      </c>
      <c r="F290" t="s">
        <v>360</v>
      </c>
      <c r="G290" t="s">
        <v>361</v>
      </c>
      <c r="H290" s="1">
        <v>44908</v>
      </c>
      <c r="I290" t="s">
        <v>23</v>
      </c>
      <c r="J290" t="s">
        <v>24</v>
      </c>
      <c r="K290" s="1">
        <v>45306</v>
      </c>
      <c r="L290" s="1">
        <v>44915</v>
      </c>
      <c r="M290" t="s">
        <v>32</v>
      </c>
      <c r="N290" s="1">
        <v>46254</v>
      </c>
      <c r="O290">
        <v>81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 t="s">
        <v>26</v>
      </c>
      <c r="AI290" t="s">
        <v>27</v>
      </c>
      <c r="AJ290" s="1"/>
      <c r="AK290" t="s">
        <v>28</v>
      </c>
      <c r="AL29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90">
        <f>SUM(Rel_2026[[#This Row],[qtd_TrxContabil]:[VLR_EXP_SORTE]])</f>
        <v>81</v>
      </c>
      <c r="AN29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91" spans="1:40" x14ac:dyDescent="0.3">
      <c r="A291" t="str">
        <f>IF(Rel_2026[[#This Row],[Zero]]=0,"Zero",IF(Rel_2026[[#This Row],[Pontuação]]&gt;=10,"Sim",IF(Rel_2026[[#This Row],[Pontuação]]&gt;=5,"Próximo","Não")))</f>
        <v>Sim</v>
      </c>
      <c r="B291" t="str">
        <f>IF(Rel_2026[[#This Row],[Zero]]=0,"Zero",IF(Rel_2026[[#This Row],[Pontuação2]]&gt;=10,"Sim",IF(Rel_2026[[#This Row],[Pontuação2]]&gt;=5,"Próximo","Não")))</f>
        <v>Sim</v>
      </c>
      <c r="C291" t="str">
        <f>IFERROR(VLOOKUP(Rel_2026[[#This Row],[chave_loja]],Responsavel!A:B,2,FALSE),"EUCLIDES")</f>
        <v>PAULO</v>
      </c>
      <c r="D291" t="str">
        <f>LEFT(Rel_2026[[#This Row],[ag_pacb]],4)</f>
        <v>0937</v>
      </c>
      <c r="E291">
        <v>187482</v>
      </c>
      <c r="F291" t="s">
        <v>1149</v>
      </c>
      <c r="G291" t="s">
        <v>1150</v>
      </c>
      <c r="H291" s="1">
        <v>44691</v>
      </c>
      <c r="I291" t="s">
        <v>107</v>
      </c>
      <c r="J291" t="s">
        <v>1151</v>
      </c>
      <c r="K291" s="1">
        <v>45306</v>
      </c>
      <c r="L291" s="1">
        <v>45791</v>
      </c>
      <c r="M291" t="s">
        <v>109</v>
      </c>
      <c r="N291" s="1">
        <v>46254</v>
      </c>
      <c r="O291">
        <v>619</v>
      </c>
      <c r="P291">
        <v>2</v>
      </c>
      <c r="Q291">
        <v>1</v>
      </c>
      <c r="R291">
        <v>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 t="s">
        <v>38</v>
      </c>
      <c r="AI291" t="s">
        <v>27</v>
      </c>
      <c r="AJ291" s="1"/>
      <c r="AK291" t="s">
        <v>28</v>
      </c>
      <c r="AL29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291">
        <f>SUM(Rel_2026[[#This Row],[qtd_TrxContabil]:[VLR_EXP_SORTE]])</f>
        <v>624</v>
      </c>
      <c r="AN29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16</v>
      </c>
    </row>
    <row r="292" spans="1:40" x14ac:dyDescent="0.3">
      <c r="A292" t="str">
        <f>IF(Rel_2026[[#This Row],[Zero]]=0,"Zero",IF(Rel_2026[[#This Row],[Pontuação]]&gt;=10,"Sim",IF(Rel_2026[[#This Row],[Pontuação]]&gt;=5,"Próximo","Não")))</f>
        <v>Não</v>
      </c>
      <c r="B292" t="str">
        <f>IF(Rel_2026[[#This Row],[Zero]]=0,"Zero",IF(Rel_2026[[#This Row],[Pontuação2]]&gt;=10,"Sim",IF(Rel_2026[[#This Row],[Pontuação2]]&gt;=5,"Próximo","Não")))</f>
        <v>Não</v>
      </c>
      <c r="C292" t="str">
        <f>IFERROR(VLOOKUP(Rel_2026[[#This Row],[chave_loja]],Responsavel!A:B,2,FALSE),"EUCLIDES")</f>
        <v>ALEX SIQUEIRA</v>
      </c>
      <c r="D292" t="str">
        <f>LEFT(Rel_2026[[#This Row],[ag_pacb]],4)</f>
        <v>0726</v>
      </c>
      <c r="E292">
        <v>249697</v>
      </c>
      <c r="F292" t="s">
        <v>261</v>
      </c>
      <c r="G292" t="s">
        <v>1169</v>
      </c>
      <c r="H292" s="1">
        <v>45132</v>
      </c>
      <c r="I292" t="s">
        <v>23</v>
      </c>
      <c r="J292" t="s">
        <v>217</v>
      </c>
      <c r="K292" s="1">
        <v>45306</v>
      </c>
      <c r="L292" s="1">
        <v>45145</v>
      </c>
      <c r="M292" t="s">
        <v>109</v>
      </c>
      <c r="N292" s="1">
        <v>46254</v>
      </c>
      <c r="O292">
        <v>448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 t="s">
        <v>38</v>
      </c>
      <c r="AI292" t="s">
        <v>27</v>
      </c>
      <c r="AJ292" s="1"/>
      <c r="AK292" t="s">
        <v>28</v>
      </c>
      <c r="AL29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92">
        <f>SUM(Rel_2026[[#This Row],[qtd_TrxContabil]:[VLR_EXP_SORTE]])</f>
        <v>448</v>
      </c>
      <c r="AN29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93" spans="1:40" x14ac:dyDescent="0.3">
      <c r="A293" t="str">
        <f>IF(Rel_2026[[#This Row],[Zero]]=0,"Zero",IF(Rel_2026[[#This Row],[Pontuação]]&gt;=10,"Sim",IF(Rel_2026[[#This Row],[Pontuação]]&gt;=5,"Próximo","Não")))</f>
        <v>Próximo</v>
      </c>
      <c r="B293" t="str">
        <f>IF(Rel_2026[[#This Row],[Zero]]=0,"Zero",IF(Rel_2026[[#This Row],[Pontuação2]]&gt;=10,"Sim",IF(Rel_2026[[#This Row],[Pontuação2]]&gt;=5,"Próximo","Não")))</f>
        <v>Sim</v>
      </c>
      <c r="C293" t="str">
        <f>IFERROR(VLOOKUP(Rel_2026[[#This Row],[chave_loja]],Responsavel!A:B,2,FALSE),"EUCLIDES")</f>
        <v>ISMAEL</v>
      </c>
      <c r="D293" t="str">
        <f>LEFT(Rel_2026[[#This Row],[ag_pacb]],4)</f>
        <v>5365</v>
      </c>
      <c r="E293">
        <v>402538</v>
      </c>
      <c r="F293" t="s">
        <v>185</v>
      </c>
      <c r="G293" t="s">
        <v>458</v>
      </c>
      <c r="H293" s="1">
        <v>45406</v>
      </c>
      <c r="I293" t="s">
        <v>23</v>
      </c>
      <c r="J293" t="s">
        <v>175</v>
      </c>
      <c r="K293" s="1">
        <v>45398</v>
      </c>
      <c r="L293" s="1">
        <v>46044</v>
      </c>
      <c r="M293" t="s">
        <v>25</v>
      </c>
      <c r="N293" s="1">
        <v>46254</v>
      </c>
      <c r="O293">
        <v>750</v>
      </c>
      <c r="P293">
        <v>1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 t="s">
        <v>26</v>
      </c>
      <c r="AI293" t="s">
        <v>27</v>
      </c>
      <c r="AJ293" s="1"/>
      <c r="AK293" t="s">
        <v>28</v>
      </c>
      <c r="AL29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293">
        <f>SUM(Rel_2026[[#This Row],[qtd_TrxContabil]:[VLR_EXP_SORTE]])</f>
        <v>753</v>
      </c>
      <c r="AN29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294" spans="1:40" x14ac:dyDescent="0.3">
      <c r="A294" t="str">
        <f>IF(Rel_2026[[#This Row],[Zero]]=0,"Zero",IF(Rel_2026[[#This Row],[Pontuação]]&gt;=10,"Sim",IF(Rel_2026[[#This Row],[Pontuação]]&gt;=5,"Próximo","Não")))</f>
        <v>Zero</v>
      </c>
      <c r="B294" t="str">
        <f>IF(Rel_2026[[#This Row],[Zero]]=0,"Zero",IF(Rel_2026[[#This Row],[Pontuação2]]&gt;=10,"Sim",IF(Rel_2026[[#This Row],[Pontuação2]]&gt;=5,"Próximo","Não")))</f>
        <v>Zero</v>
      </c>
      <c r="C294" t="str">
        <f>IFERROR(VLOOKUP(Rel_2026[[#This Row],[chave_loja]],Responsavel!A:B,2,FALSE),"EUCLIDES")</f>
        <v>ISMAEL</v>
      </c>
      <c r="D294" t="str">
        <f>LEFT(Rel_2026[[#This Row],[ag_pacb]],4)</f>
        <v>1302</v>
      </c>
      <c r="E294">
        <v>419800</v>
      </c>
      <c r="F294" t="s">
        <v>774</v>
      </c>
      <c r="G294" t="s">
        <v>775</v>
      </c>
      <c r="H294" s="1">
        <v>45995</v>
      </c>
      <c r="I294" t="s">
        <v>23</v>
      </c>
      <c r="J294" t="s">
        <v>45</v>
      </c>
      <c r="K294" s="1">
        <v>45983</v>
      </c>
      <c r="L294" s="1">
        <v>46008</v>
      </c>
      <c r="M294" t="s">
        <v>32</v>
      </c>
      <c r="N294" s="1">
        <v>46148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 t="s">
        <v>26</v>
      </c>
      <c r="AI294" t="s">
        <v>27</v>
      </c>
      <c r="AJ294" s="1"/>
      <c r="AK294" t="s">
        <v>28</v>
      </c>
      <c r="AL29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94">
        <f>SUM(Rel_2026[[#This Row],[qtd_TrxContabil]:[VLR_EXP_SORTE]])</f>
        <v>0</v>
      </c>
      <c r="AN29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95" spans="1:40" x14ac:dyDescent="0.3">
      <c r="A295" t="str">
        <f>IF(Rel_2026[[#This Row],[Zero]]=0,"Zero",IF(Rel_2026[[#This Row],[Pontuação]]&gt;=10,"Sim",IF(Rel_2026[[#This Row],[Pontuação]]&gt;=5,"Próximo","Não")))</f>
        <v>Sim</v>
      </c>
      <c r="B295" t="str">
        <f>IF(Rel_2026[[#This Row],[Zero]]=0,"Zero",IF(Rel_2026[[#This Row],[Pontuação2]]&gt;=10,"Sim",IF(Rel_2026[[#This Row],[Pontuação2]]&gt;=5,"Próximo","Não")))</f>
        <v>Sim</v>
      </c>
      <c r="C295" t="str">
        <f>IFERROR(VLOOKUP(Rel_2026[[#This Row],[chave_loja]],Responsavel!A:B,2,FALSE),"EUCLIDES")</f>
        <v>ROSSY</v>
      </c>
      <c r="D295" t="str">
        <f>LEFT(Rel_2026[[#This Row],[ag_pacb]],4)</f>
        <v>0405</v>
      </c>
      <c r="E295">
        <v>40431</v>
      </c>
      <c r="F295" t="s">
        <v>809</v>
      </c>
      <c r="G295" t="s">
        <v>810</v>
      </c>
      <c r="H295" s="1">
        <v>44652</v>
      </c>
      <c r="I295" t="s">
        <v>107</v>
      </c>
      <c r="J295" t="s">
        <v>811</v>
      </c>
      <c r="K295" s="1">
        <v>45306</v>
      </c>
      <c r="L295" s="1">
        <v>46142</v>
      </c>
      <c r="M295" t="s">
        <v>109</v>
      </c>
      <c r="N295" s="1">
        <v>46254</v>
      </c>
      <c r="O295">
        <v>576</v>
      </c>
      <c r="P295">
        <v>5</v>
      </c>
      <c r="Q295">
        <v>0</v>
      </c>
      <c r="R295">
        <v>5</v>
      </c>
      <c r="S295">
        <v>0</v>
      </c>
      <c r="T295">
        <v>0</v>
      </c>
      <c r="U295">
        <v>8000</v>
      </c>
      <c r="V295">
        <v>8000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3</v>
      </c>
      <c r="AG295">
        <v>0</v>
      </c>
      <c r="AH295" t="s">
        <v>26</v>
      </c>
      <c r="AI295" t="s">
        <v>27</v>
      </c>
      <c r="AJ295" s="1"/>
      <c r="AK295" t="s">
        <v>28</v>
      </c>
      <c r="AL29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23</v>
      </c>
      <c r="AM295">
        <f>SUM(Rel_2026[[#This Row],[qtd_TrxContabil]:[VLR_EXP_SORTE]])</f>
        <v>16589</v>
      </c>
      <c r="AN29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38</v>
      </c>
    </row>
    <row r="296" spans="1:40" x14ac:dyDescent="0.3">
      <c r="A296" t="str">
        <f>IF(Rel_2026[[#This Row],[Zero]]=0,"Zero",IF(Rel_2026[[#This Row],[Pontuação]]&gt;=10,"Sim",IF(Rel_2026[[#This Row],[Pontuação]]&gt;=5,"Próximo","Não")))</f>
        <v>Sim</v>
      </c>
      <c r="B296" t="str">
        <f>IF(Rel_2026[[#This Row],[Zero]]=0,"Zero",IF(Rel_2026[[#This Row],[Pontuação2]]&gt;=10,"Sim",IF(Rel_2026[[#This Row],[Pontuação2]]&gt;=5,"Próximo","Não")))</f>
        <v>Sim</v>
      </c>
      <c r="C296" t="str">
        <f>IFERROR(VLOOKUP(Rel_2026[[#This Row],[chave_loja]],Responsavel!A:B,2,FALSE),"EUCLIDES")</f>
        <v>ROSSY</v>
      </c>
      <c r="D296" t="str">
        <f>LEFT(Rel_2026[[#This Row],[ag_pacb]],4)</f>
        <v>5792</v>
      </c>
      <c r="E296">
        <v>86446</v>
      </c>
      <c r="F296" t="s">
        <v>846</v>
      </c>
      <c r="G296" t="s">
        <v>847</v>
      </c>
      <c r="H296" s="1">
        <v>44141</v>
      </c>
      <c r="I296" t="s">
        <v>107</v>
      </c>
      <c r="J296" t="s">
        <v>848</v>
      </c>
      <c r="K296" s="1">
        <v>43927</v>
      </c>
      <c r="L296" s="1">
        <v>45492</v>
      </c>
      <c r="M296" t="s">
        <v>109</v>
      </c>
      <c r="N296" s="1">
        <v>46254</v>
      </c>
      <c r="O296">
        <v>904</v>
      </c>
      <c r="P296">
        <v>1</v>
      </c>
      <c r="Q296">
        <v>1</v>
      </c>
      <c r="R296">
        <v>1</v>
      </c>
      <c r="S296">
        <v>0</v>
      </c>
      <c r="T296">
        <v>1300</v>
      </c>
      <c r="U296">
        <v>12663</v>
      </c>
      <c r="V296">
        <v>12663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 t="s">
        <v>38</v>
      </c>
      <c r="AI296" t="s">
        <v>27</v>
      </c>
      <c r="AJ296" s="1"/>
      <c r="AK296" t="s">
        <v>28</v>
      </c>
      <c r="AL29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33</v>
      </c>
      <c r="AM296">
        <f>SUM(Rel_2026[[#This Row],[qtd_TrxContabil]:[VLR_EXP_SORTE]])</f>
        <v>27534</v>
      </c>
      <c r="AN29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36</v>
      </c>
    </row>
    <row r="297" spans="1:40" x14ac:dyDescent="0.3">
      <c r="A297" t="str">
        <f>IF(Rel_2026[[#This Row],[Zero]]=0,"Zero",IF(Rel_2026[[#This Row],[Pontuação]]&gt;=10,"Sim",IF(Rel_2026[[#This Row],[Pontuação]]&gt;=5,"Próximo","Não")))</f>
        <v>Sim</v>
      </c>
      <c r="B297" t="str">
        <f>IF(Rel_2026[[#This Row],[Zero]]=0,"Zero",IF(Rel_2026[[#This Row],[Pontuação2]]&gt;=10,"Sim",IF(Rel_2026[[#This Row],[Pontuação2]]&gt;=5,"Próximo","Não")))</f>
        <v>Sim</v>
      </c>
      <c r="C297" t="str">
        <f>IFERROR(VLOOKUP(Rel_2026[[#This Row],[chave_loja]],Responsavel!A:B,2,FALSE),"EUCLIDES")</f>
        <v>IVAN</v>
      </c>
      <c r="D297" t="str">
        <f>LEFT(Rel_2026[[#This Row],[ag_pacb]],4)</f>
        <v>0767</v>
      </c>
      <c r="E297">
        <v>172157</v>
      </c>
      <c r="F297" t="s">
        <v>1425</v>
      </c>
      <c r="G297" t="s">
        <v>1426</v>
      </c>
      <c r="H297" s="1">
        <v>45895</v>
      </c>
      <c r="I297" t="s">
        <v>23</v>
      </c>
      <c r="J297" t="s">
        <v>61</v>
      </c>
      <c r="K297" s="1">
        <v>45306</v>
      </c>
      <c r="L297" s="1">
        <v>46230</v>
      </c>
      <c r="M297" t="s">
        <v>25</v>
      </c>
      <c r="N297" s="1">
        <v>46254</v>
      </c>
      <c r="O297">
        <v>598</v>
      </c>
      <c r="P297">
        <v>9</v>
      </c>
      <c r="Q297">
        <v>0</v>
      </c>
      <c r="R297">
        <v>8</v>
      </c>
      <c r="S297">
        <v>2</v>
      </c>
      <c r="T297">
        <v>1920</v>
      </c>
      <c r="U297">
        <v>0</v>
      </c>
      <c r="V297">
        <v>0</v>
      </c>
      <c r="W297">
        <v>0</v>
      </c>
      <c r="X297">
        <v>0</v>
      </c>
      <c r="Y297">
        <v>3750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1</v>
      </c>
      <c r="AG297">
        <v>0</v>
      </c>
      <c r="AH297" t="s">
        <v>26</v>
      </c>
      <c r="AI297" t="s">
        <v>27</v>
      </c>
      <c r="AJ297" s="1"/>
      <c r="AK297" t="s">
        <v>28</v>
      </c>
      <c r="AL29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54</v>
      </c>
      <c r="AM297">
        <f>SUM(Rel_2026[[#This Row],[qtd_TrxContabil]:[VLR_EXP_SORTE]])</f>
        <v>6289</v>
      </c>
      <c r="AN29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78</v>
      </c>
    </row>
    <row r="298" spans="1:40" x14ac:dyDescent="0.3">
      <c r="A298" t="str">
        <f>IF(Rel_2026[[#This Row],[Zero]]=0,"Zero",IF(Rel_2026[[#This Row],[Pontuação]]&gt;=10,"Sim",IF(Rel_2026[[#This Row],[Pontuação]]&gt;=5,"Próximo","Não")))</f>
        <v>Não</v>
      </c>
      <c r="B298" t="str">
        <f>IF(Rel_2026[[#This Row],[Zero]]=0,"Zero",IF(Rel_2026[[#This Row],[Pontuação2]]&gt;=10,"Sim",IF(Rel_2026[[#This Row],[Pontuação2]]&gt;=5,"Próximo","Não")))</f>
        <v>Não</v>
      </c>
      <c r="C298" t="str">
        <f>IFERROR(VLOOKUP(Rel_2026[[#This Row],[chave_loja]],Responsavel!A:B,2,FALSE),"EUCLIDES")</f>
        <v>IVAN</v>
      </c>
      <c r="D298" t="str">
        <f>LEFT(Rel_2026[[#This Row],[ag_pacb]],4)</f>
        <v>0295</v>
      </c>
      <c r="E298">
        <v>167940</v>
      </c>
      <c r="F298" t="s">
        <v>989</v>
      </c>
      <c r="G298" t="s">
        <v>990</v>
      </c>
      <c r="H298" s="1">
        <v>45994</v>
      </c>
      <c r="I298" t="s">
        <v>23</v>
      </c>
      <c r="J298" t="s">
        <v>802</v>
      </c>
      <c r="K298" s="1">
        <v>45979</v>
      </c>
      <c r="L298" s="1">
        <v>46163</v>
      </c>
      <c r="M298" t="s">
        <v>32</v>
      </c>
      <c r="N298" s="1">
        <v>46254</v>
      </c>
      <c r="O298">
        <v>1214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 t="s">
        <v>38</v>
      </c>
      <c r="AI298" t="s">
        <v>27</v>
      </c>
      <c r="AJ298" s="1"/>
      <c r="AK298" t="s">
        <v>28</v>
      </c>
      <c r="AL29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298">
        <f>SUM(Rel_2026[[#This Row],[qtd_TrxContabil]:[VLR_EXP_SORTE]])</f>
        <v>1214</v>
      </c>
      <c r="AN29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299" spans="1:40" x14ac:dyDescent="0.3">
      <c r="A299" t="str">
        <f>IF(Rel_2026[[#This Row],[Zero]]=0,"Zero",IF(Rel_2026[[#This Row],[Pontuação]]&gt;=10,"Sim",IF(Rel_2026[[#This Row],[Pontuação]]&gt;=5,"Próximo","Não")))</f>
        <v>Sim</v>
      </c>
      <c r="B299" t="str">
        <f>IF(Rel_2026[[#This Row],[Zero]]=0,"Zero",IF(Rel_2026[[#This Row],[Pontuação2]]&gt;=10,"Sim",IF(Rel_2026[[#This Row],[Pontuação2]]&gt;=5,"Próximo","Não")))</f>
        <v>Sim</v>
      </c>
      <c r="C299" t="str">
        <f>IFERROR(VLOOKUP(Rel_2026[[#This Row],[chave_loja]],Responsavel!A:B,2,FALSE),"EUCLIDES")</f>
        <v>PAULO</v>
      </c>
      <c r="D299" t="str">
        <f>LEFT(Rel_2026[[#This Row],[ag_pacb]],4)</f>
        <v>0937</v>
      </c>
      <c r="E299">
        <v>217474</v>
      </c>
      <c r="F299" t="s">
        <v>1144</v>
      </c>
      <c r="G299" t="s">
        <v>1145</v>
      </c>
      <c r="H299" s="1">
        <v>44599</v>
      </c>
      <c r="I299" t="s">
        <v>107</v>
      </c>
      <c r="J299" t="s">
        <v>1138</v>
      </c>
      <c r="K299" s="1">
        <v>44837</v>
      </c>
      <c r="L299" s="1">
        <v>44803</v>
      </c>
      <c r="M299" t="s">
        <v>109</v>
      </c>
      <c r="N299" s="1">
        <v>46254</v>
      </c>
      <c r="O299">
        <v>1378</v>
      </c>
      <c r="P299">
        <v>3</v>
      </c>
      <c r="Q299">
        <v>3</v>
      </c>
      <c r="R299">
        <v>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2</v>
      </c>
      <c r="AG299">
        <v>0</v>
      </c>
      <c r="AH299" t="s">
        <v>38</v>
      </c>
      <c r="AI299" t="s">
        <v>27</v>
      </c>
      <c r="AJ299" s="1"/>
      <c r="AK299" t="s">
        <v>28</v>
      </c>
      <c r="AL29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299">
        <f>SUM(Rel_2026[[#This Row],[qtd_TrxContabil]:[VLR_EXP_SORTE]])</f>
        <v>1388</v>
      </c>
      <c r="AN29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27</v>
      </c>
    </row>
    <row r="300" spans="1:40" x14ac:dyDescent="0.3">
      <c r="A300" t="str">
        <f>IF(Rel_2026[[#This Row],[Zero]]=0,"Zero",IF(Rel_2026[[#This Row],[Pontuação]]&gt;=10,"Sim",IF(Rel_2026[[#This Row],[Pontuação]]&gt;=5,"Próximo","Não")))</f>
        <v>Próximo</v>
      </c>
      <c r="B300" t="str">
        <f>IF(Rel_2026[[#This Row],[Zero]]=0,"Zero",IF(Rel_2026[[#This Row],[Pontuação2]]&gt;=10,"Sim",IF(Rel_2026[[#This Row],[Pontuação2]]&gt;=5,"Próximo","Não")))</f>
        <v>Sim</v>
      </c>
      <c r="C300" t="str">
        <f>IFERROR(VLOOKUP(Rel_2026[[#This Row],[chave_loja]],Responsavel!A:B,2,FALSE),"EUCLIDES")</f>
        <v>GIL</v>
      </c>
      <c r="D300" t="str">
        <f>LEFT(Rel_2026[[#This Row],[ag_pacb]],4)</f>
        <v>0715</v>
      </c>
      <c r="E300">
        <v>413880</v>
      </c>
      <c r="F300" t="s">
        <v>490</v>
      </c>
      <c r="G300" t="s">
        <v>491</v>
      </c>
      <c r="H300" s="1">
        <v>45820</v>
      </c>
      <c r="I300" t="s">
        <v>23</v>
      </c>
      <c r="J300" t="s">
        <v>141</v>
      </c>
      <c r="K300" s="1">
        <v>45817</v>
      </c>
      <c r="L300" s="1">
        <v>45835</v>
      </c>
      <c r="M300" t="s">
        <v>32</v>
      </c>
      <c r="N300" s="1">
        <v>46254</v>
      </c>
      <c r="O300">
        <v>200</v>
      </c>
      <c r="P300">
        <v>1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 t="s">
        <v>26</v>
      </c>
      <c r="AI300" t="s">
        <v>27</v>
      </c>
      <c r="AJ300" s="1"/>
      <c r="AK300" t="s">
        <v>28</v>
      </c>
      <c r="AL30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300">
        <f>SUM(Rel_2026[[#This Row],[qtd_TrxContabil]:[VLR_EXP_SORTE]])</f>
        <v>204</v>
      </c>
      <c r="AN30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301" spans="1:40" x14ac:dyDescent="0.3">
      <c r="A301" t="str">
        <f>IF(Rel_2026[[#This Row],[Zero]]=0,"Zero",IF(Rel_2026[[#This Row],[Pontuação]]&gt;=10,"Sim",IF(Rel_2026[[#This Row],[Pontuação]]&gt;=5,"Próximo","Não")))</f>
        <v>Não</v>
      </c>
      <c r="B301" t="str">
        <f>IF(Rel_2026[[#This Row],[Zero]]=0,"Zero",IF(Rel_2026[[#This Row],[Pontuação2]]&gt;=10,"Sim",IF(Rel_2026[[#This Row],[Pontuação2]]&gt;=5,"Próximo","Não")))</f>
        <v>Não</v>
      </c>
      <c r="C301" t="str">
        <f>IFERROR(VLOOKUP(Rel_2026[[#This Row],[chave_loja]],Responsavel!A:B,2,FALSE),"EUCLIDES")</f>
        <v>JUNIOR</v>
      </c>
      <c r="D301" t="str">
        <f>LEFT(Rel_2026[[#This Row],[ag_pacb]],4)</f>
        <v>0684</v>
      </c>
      <c r="E301">
        <v>187627</v>
      </c>
      <c r="F301" t="s">
        <v>169</v>
      </c>
      <c r="G301" t="s">
        <v>170</v>
      </c>
      <c r="H301" s="1">
        <v>45764</v>
      </c>
      <c r="I301" t="s">
        <v>23</v>
      </c>
      <c r="J301" t="s">
        <v>133</v>
      </c>
      <c r="K301" s="1">
        <v>45152</v>
      </c>
      <c r="L301" s="1">
        <v>44028</v>
      </c>
      <c r="M301" t="s">
        <v>32</v>
      </c>
      <c r="N301" s="1">
        <v>46252</v>
      </c>
      <c r="O301">
        <v>118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 t="s">
        <v>26</v>
      </c>
      <c r="AI301" t="s">
        <v>27</v>
      </c>
      <c r="AJ301" s="1"/>
      <c r="AK301" t="s">
        <v>28</v>
      </c>
      <c r="AL30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01">
        <f>SUM(Rel_2026[[#This Row],[qtd_TrxContabil]:[VLR_EXP_SORTE]])</f>
        <v>118</v>
      </c>
      <c r="AN30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02" spans="1:40" x14ac:dyDescent="0.3">
      <c r="A302" t="str">
        <f>IF(Rel_2026[[#This Row],[Zero]]=0,"Zero",IF(Rel_2026[[#This Row],[Pontuação]]&gt;=10,"Sim",IF(Rel_2026[[#This Row],[Pontuação]]&gt;=5,"Próximo","Não")))</f>
        <v>Sim</v>
      </c>
      <c r="B302" t="str">
        <f>IF(Rel_2026[[#This Row],[Zero]]=0,"Zero",IF(Rel_2026[[#This Row],[Pontuação2]]&gt;=10,"Sim",IF(Rel_2026[[#This Row],[Pontuação2]]&gt;=5,"Próximo","Não")))</f>
        <v>Sim</v>
      </c>
      <c r="C302" t="str">
        <f>IFERROR(VLOOKUP(Rel_2026[[#This Row],[chave_loja]],Responsavel!A:B,2,FALSE),"EUCLIDES")</f>
        <v>ROSSY</v>
      </c>
      <c r="D302" t="str">
        <f>LEFT(Rel_2026[[#This Row],[ag_pacb]],4)</f>
        <v>5792</v>
      </c>
      <c r="E302">
        <v>140465</v>
      </c>
      <c r="F302" t="s">
        <v>873</v>
      </c>
      <c r="G302" t="s">
        <v>874</v>
      </c>
      <c r="H302" s="1">
        <v>44564</v>
      </c>
      <c r="I302" t="s">
        <v>107</v>
      </c>
      <c r="J302" t="s">
        <v>855</v>
      </c>
      <c r="K302" s="1">
        <v>42153</v>
      </c>
      <c r="L302" s="1">
        <v>45951</v>
      </c>
      <c r="M302" t="s">
        <v>109</v>
      </c>
      <c r="N302" s="1">
        <v>46254</v>
      </c>
      <c r="O302">
        <v>1471</v>
      </c>
      <c r="P302">
        <v>5</v>
      </c>
      <c r="Q302">
        <v>4</v>
      </c>
      <c r="R302">
        <v>5</v>
      </c>
      <c r="S302">
        <v>0</v>
      </c>
      <c r="T302">
        <v>3000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3</v>
      </c>
      <c r="AG302">
        <v>0</v>
      </c>
      <c r="AH302" t="s">
        <v>38</v>
      </c>
      <c r="AI302" t="s">
        <v>27</v>
      </c>
      <c r="AJ302" s="1"/>
      <c r="AK302" t="s">
        <v>28</v>
      </c>
      <c r="AL30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61</v>
      </c>
      <c r="AM302">
        <f>SUM(Rel_2026[[#This Row],[qtd_TrxContabil]:[VLR_EXP_SORTE]])</f>
        <v>4488</v>
      </c>
      <c r="AN30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76</v>
      </c>
    </row>
    <row r="303" spans="1:40" x14ac:dyDescent="0.3">
      <c r="A303" t="str">
        <f>IF(Rel_2026[[#This Row],[Zero]]=0,"Zero",IF(Rel_2026[[#This Row],[Pontuação]]&gt;=10,"Sim",IF(Rel_2026[[#This Row],[Pontuação]]&gt;=5,"Próximo","Não")))</f>
        <v>Não</v>
      </c>
      <c r="B303" t="str">
        <f>IF(Rel_2026[[#This Row],[Zero]]=0,"Zero",IF(Rel_2026[[#This Row],[Pontuação2]]&gt;=10,"Sim",IF(Rel_2026[[#This Row],[Pontuação2]]&gt;=5,"Próximo","Não")))</f>
        <v>Não</v>
      </c>
      <c r="C303" t="str">
        <f>IFERROR(VLOOKUP(Rel_2026[[#This Row],[chave_loja]],Responsavel!A:B,2,FALSE),"EUCLIDES")</f>
        <v>GIL</v>
      </c>
      <c r="D303" t="str">
        <f>LEFT(Rel_2026[[#This Row],[ag_pacb]],4)</f>
        <v>5387</v>
      </c>
      <c r="E303">
        <v>184680</v>
      </c>
      <c r="F303" t="s">
        <v>520</v>
      </c>
      <c r="G303" t="s">
        <v>521</v>
      </c>
      <c r="H303" s="1">
        <v>45135</v>
      </c>
      <c r="I303" t="s">
        <v>23</v>
      </c>
      <c r="J303" t="s">
        <v>130</v>
      </c>
      <c r="K303" s="1">
        <v>44078</v>
      </c>
      <c r="L303" s="1">
        <v>45617</v>
      </c>
      <c r="M303" t="s">
        <v>32</v>
      </c>
      <c r="N303" s="1">
        <v>46254</v>
      </c>
      <c r="O303">
        <v>673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 t="s">
        <v>26</v>
      </c>
      <c r="AI303" t="s">
        <v>27</v>
      </c>
      <c r="AJ303" s="1"/>
      <c r="AK303" t="s">
        <v>28</v>
      </c>
      <c r="AL30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03">
        <f>SUM(Rel_2026[[#This Row],[qtd_TrxContabil]:[VLR_EXP_SORTE]])</f>
        <v>673</v>
      </c>
      <c r="AN30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04" spans="1:40" x14ac:dyDescent="0.3">
      <c r="A304" t="str">
        <f>IF(Rel_2026[[#This Row],[Zero]]=0,"Zero",IF(Rel_2026[[#This Row],[Pontuação]]&gt;=10,"Sim",IF(Rel_2026[[#This Row],[Pontuação]]&gt;=5,"Próximo","Não")))</f>
        <v>Sim</v>
      </c>
      <c r="B304" t="str">
        <f>IF(Rel_2026[[#This Row],[Zero]]=0,"Zero",IF(Rel_2026[[#This Row],[Pontuação2]]&gt;=10,"Sim",IF(Rel_2026[[#This Row],[Pontuação2]]&gt;=5,"Próximo","Não")))</f>
        <v>Sim</v>
      </c>
      <c r="C304" t="str">
        <f>IFERROR(VLOOKUP(Rel_2026[[#This Row],[chave_loja]],Responsavel!A:B,2,FALSE),"EUCLIDES")</f>
        <v>IVAN</v>
      </c>
      <c r="D304" t="str">
        <f>LEFT(Rel_2026[[#This Row],[ag_pacb]],4)</f>
        <v>5449</v>
      </c>
      <c r="E304">
        <v>253214</v>
      </c>
      <c r="F304" t="s">
        <v>241</v>
      </c>
      <c r="G304" t="s">
        <v>242</v>
      </c>
      <c r="H304" s="1">
        <v>45225</v>
      </c>
      <c r="I304" t="s">
        <v>23</v>
      </c>
      <c r="J304" t="s">
        <v>88</v>
      </c>
      <c r="K304" s="1">
        <v>45306</v>
      </c>
      <c r="L304" s="1">
        <v>45266</v>
      </c>
      <c r="M304" t="s">
        <v>25</v>
      </c>
      <c r="N304" s="1">
        <v>46253</v>
      </c>
      <c r="O304">
        <v>36</v>
      </c>
      <c r="P304">
        <v>3</v>
      </c>
      <c r="Q304">
        <v>2</v>
      </c>
      <c r="R304">
        <v>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 t="s">
        <v>26</v>
      </c>
      <c r="AI304" t="s">
        <v>27</v>
      </c>
      <c r="AJ304" s="1"/>
      <c r="AK304" t="s">
        <v>28</v>
      </c>
      <c r="AL30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</v>
      </c>
      <c r="AM304">
        <f>SUM(Rel_2026[[#This Row],[qtd_TrxContabil]:[VLR_EXP_SORTE]])</f>
        <v>43</v>
      </c>
      <c r="AN30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23</v>
      </c>
    </row>
    <row r="305" spans="1:40" x14ac:dyDescent="0.3">
      <c r="A305" t="str">
        <f>IF(Rel_2026[[#This Row],[Zero]]=0,"Zero",IF(Rel_2026[[#This Row],[Pontuação]]&gt;=10,"Sim",IF(Rel_2026[[#This Row],[Pontuação]]&gt;=5,"Próximo","Não")))</f>
        <v>Sim</v>
      </c>
      <c r="B305" t="str">
        <f>IF(Rel_2026[[#This Row],[Zero]]=0,"Zero",IF(Rel_2026[[#This Row],[Pontuação2]]&gt;=10,"Sim",IF(Rel_2026[[#This Row],[Pontuação2]]&gt;=5,"Próximo","Não")))</f>
        <v>Sim</v>
      </c>
      <c r="C305" t="str">
        <f>IFERROR(VLOOKUP(Rel_2026[[#This Row],[chave_loja]],Responsavel!A:B,2,FALSE),"EUCLIDES")</f>
        <v>CÉLIO</v>
      </c>
      <c r="D305" t="str">
        <f>LEFT(Rel_2026[[#This Row],[ag_pacb]],4)</f>
        <v>1579</v>
      </c>
      <c r="E305">
        <v>121813</v>
      </c>
      <c r="F305" t="s">
        <v>341</v>
      </c>
      <c r="G305" t="s">
        <v>342</v>
      </c>
      <c r="H305" s="1">
        <v>45132</v>
      </c>
      <c r="I305" t="s">
        <v>23</v>
      </c>
      <c r="J305" t="s">
        <v>292</v>
      </c>
      <c r="K305" s="1">
        <v>42208</v>
      </c>
      <c r="L305" s="1">
        <v>45470</v>
      </c>
      <c r="M305" t="s">
        <v>32</v>
      </c>
      <c r="N305" s="1">
        <v>46254</v>
      </c>
      <c r="O305">
        <v>1881</v>
      </c>
      <c r="P305">
        <v>1</v>
      </c>
      <c r="Q305">
        <v>1</v>
      </c>
      <c r="R305">
        <v>0</v>
      </c>
      <c r="S305">
        <v>0</v>
      </c>
      <c r="T305">
        <v>10605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100</v>
      </c>
      <c r="AH305" t="s">
        <v>26</v>
      </c>
      <c r="AI305" t="s">
        <v>27</v>
      </c>
      <c r="AJ305" s="1"/>
      <c r="AK305" t="s">
        <v>28</v>
      </c>
      <c r="AL30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115</v>
      </c>
      <c r="AM305">
        <f>SUM(Rel_2026[[#This Row],[qtd_TrxContabil]:[VLR_EXP_SORTE]])</f>
        <v>12588</v>
      </c>
      <c r="AN30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115</v>
      </c>
    </row>
    <row r="306" spans="1:40" x14ac:dyDescent="0.3">
      <c r="A306" t="str">
        <f>IF(Rel_2026[[#This Row],[Zero]]=0,"Zero",IF(Rel_2026[[#This Row],[Pontuação]]&gt;=10,"Sim",IF(Rel_2026[[#This Row],[Pontuação]]&gt;=5,"Próximo","Não")))</f>
        <v>Sim</v>
      </c>
      <c r="B306" t="str">
        <f>IF(Rel_2026[[#This Row],[Zero]]=0,"Zero",IF(Rel_2026[[#This Row],[Pontuação2]]&gt;=10,"Sim",IF(Rel_2026[[#This Row],[Pontuação2]]&gt;=5,"Próximo","Não")))</f>
        <v>Sim</v>
      </c>
      <c r="C306" t="str">
        <f>IFERROR(VLOOKUP(Rel_2026[[#This Row],[chave_loja]],Responsavel!A:B,2,FALSE),"EUCLIDES")</f>
        <v>JACK</v>
      </c>
      <c r="D306" t="str">
        <f>LEFT(Rel_2026[[#This Row],[ag_pacb]],4)</f>
        <v>0985</v>
      </c>
      <c r="E306">
        <v>58237</v>
      </c>
      <c r="F306" t="s">
        <v>825</v>
      </c>
      <c r="G306" t="s">
        <v>826</v>
      </c>
      <c r="H306" s="1">
        <v>44165</v>
      </c>
      <c r="I306" t="s">
        <v>107</v>
      </c>
      <c r="J306" t="s">
        <v>827</v>
      </c>
      <c r="K306" s="1">
        <v>42229</v>
      </c>
      <c r="L306" s="1">
        <v>45512</v>
      </c>
      <c r="M306" t="s">
        <v>109</v>
      </c>
      <c r="N306" s="1">
        <v>46254</v>
      </c>
      <c r="O306">
        <v>1513</v>
      </c>
      <c r="P306">
        <v>13</v>
      </c>
      <c r="Q306">
        <v>5</v>
      </c>
      <c r="R306">
        <v>13</v>
      </c>
      <c r="S306">
        <v>3</v>
      </c>
      <c r="T306">
        <v>2295</v>
      </c>
      <c r="U306">
        <v>42363</v>
      </c>
      <c r="V306">
        <v>42363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</v>
      </c>
      <c r="AC306">
        <v>0</v>
      </c>
      <c r="AD306">
        <v>0</v>
      </c>
      <c r="AE306">
        <v>0</v>
      </c>
      <c r="AF306">
        <v>15</v>
      </c>
      <c r="AG306">
        <v>0</v>
      </c>
      <c r="AH306" t="s">
        <v>26</v>
      </c>
      <c r="AI306" t="s">
        <v>27</v>
      </c>
      <c r="AJ306" s="1"/>
      <c r="AK306" t="s">
        <v>28</v>
      </c>
      <c r="AL30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124</v>
      </c>
      <c r="AM306">
        <f>SUM(Rel_2026[[#This Row],[qtd_TrxContabil]:[VLR_EXP_SORTE]])</f>
        <v>88586</v>
      </c>
      <c r="AN30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163</v>
      </c>
    </row>
    <row r="307" spans="1:40" x14ac:dyDescent="0.3">
      <c r="A307" t="str">
        <f>IF(Rel_2026[[#This Row],[Zero]]=0,"Zero",IF(Rel_2026[[#This Row],[Pontuação]]&gt;=10,"Sim",IF(Rel_2026[[#This Row],[Pontuação]]&gt;=5,"Próximo","Não")))</f>
        <v>Não</v>
      </c>
      <c r="B307" t="str">
        <f>IF(Rel_2026[[#This Row],[Zero]]=0,"Zero",IF(Rel_2026[[#This Row],[Pontuação2]]&gt;=10,"Sim",IF(Rel_2026[[#This Row],[Pontuação2]]&gt;=5,"Próximo","Não")))</f>
        <v>Não</v>
      </c>
      <c r="C307" t="str">
        <f>IFERROR(VLOOKUP(Rel_2026[[#This Row],[chave_loja]],Responsavel!A:B,2,FALSE),"EUCLIDES")</f>
        <v>WASTHSON</v>
      </c>
      <c r="D307" t="str">
        <f>LEFT(Rel_2026[[#This Row],[ag_pacb]],4)</f>
        <v>0458</v>
      </c>
      <c r="E307">
        <v>200662</v>
      </c>
      <c r="F307" t="s">
        <v>1005</v>
      </c>
      <c r="G307" t="s">
        <v>1006</v>
      </c>
      <c r="H307" s="1">
        <v>45811</v>
      </c>
      <c r="I307" t="s">
        <v>23</v>
      </c>
      <c r="J307" t="s">
        <v>369</v>
      </c>
      <c r="K307" s="1">
        <v>44095</v>
      </c>
      <c r="L307" s="1">
        <v>44747</v>
      </c>
      <c r="M307" t="s">
        <v>32</v>
      </c>
      <c r="N307" s="1">
        <v>46254</v>
      </c>
      <c r="O307">
        <v>444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 t="s">
        <v>26</v>
      </c>
      <c r="AI307" t="s">
        <v>27</v>
      </c>
      <c r="AJ307" s="1"/>
      <c r="AK307" t="s">
        <v>28</v>
      </c>
      <c r="AL30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07">
        <f>SUM(Rel_2026[[#This Row],[qtd_TrxContabil]:[VLR_EXP_SORTE]])</f>
        <v>444</v>
      </c>
      <c r="AN30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08" spans="1:40" x14ac:dyDescent="0.3">
      <c r="A308" t="str">
        <f>IF(Rel_2026[[#This Row],[Zero]]=0,"Zero",IF(Rel_2026[[#This Row],[Pontuação]]&gt;=10,"Sim",IF(Rel_2026[[#This Row],[Pontuação]]&gt;=5,"Próximo","Não")))</f>
        <v>Não</v>
      </c>
      <c r="B308" t="str">
        <f>IF(Rel_2026[[#This Row],[Zero]]=0,"Zero",IF(Rel_2026[[#This Row],[Pontuação2]]&gt;=10,"Sim",IF(Rel_2026[[#This Row],[Pontuação2]]&gt;=5,"Próximo","Não")))</f>
        <v>Não</v>
      </c>
      <c r="C308" t="str">
        <f>IFERROR(VLOOKUP(Rel_2026[[#This Row],[chave_loja]],Responsavel!A:B,2,FALSE),"EUCLIDES")</f>
        <v>IVAN</v>
      </c>
      <c r="D308" t="str">
        <f>LEFT(Rel_2026[[#This Row],[ag_pacb]],4)</f>
        <v>5386</v>
      </c>
      <c r="E308">
        <v>420114</v>
      </c>
      <c r="F308" t="s">
        <v>793</v>
      </c>
      <c r="G308" t="s">
        <v>794</v>
      </c>
      <c r="H308" s="1">
        <v>46028</v>
      </c>
      <c r="I308" t="s">
        <v>23</v>
      </c>
      <c r="J308" t="s">
        <v>57</v>
      </c>
      <c r="K308" s="1">
        <v>45995</v>
      </c>
      <c r="L308" s="1">
        <v>46038</v>
      </c>
      <c r="M308" t="s">
        <v>25</v>
      </c>
      <c r="N308" s="1">
        <v>46242</v>
      </c>
      <c r="O308">
        <v>117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 t="s">
        <v>26</v>
      </c>
      <c r="AI308" t="s">
        <v>27</v>
      </c>
      <c r="AJ308" s="1"/>
      <c r="AK308" t="s">
        <v>28</v>
      </c>
      <c r="AL30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08">
        <f>SUM(Rel_2026[[#This Row],[qtd_TrxContabil]:[VLR_EXP_SORTE]])</f>
        <v>117</v>
      </c>
      <c r="AN30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09" spans="1:40" x14ac:dyDescent="0.3">
      <c r="A309" t="str">
        <f>IF(Rel_2026[[#This Row],[Zero]]=0,"Zero",IF(Rel_2026[[#This Row],[Pontuação]]&gt;=10,"Sim",IF(Rel_2026[[#This Row],[Pontuação]]&gt;=5,"Próximo","Não")))</f>
        <v>Próximo</v>
      </c>
      <c r="B309" t="str">
        <f>IF(Rel_2026[[#This Row],[Zero]]=0,"Zero",IF(Rel_2026[[#This Row],[Pontuação2]]&gt;=10,"Sim",IF(Rel_2026[[#This Row],[Pontuação2]]&gt;=5,"Próximo","Não")))</f>
        <v>Sim</v>
      </c>
      <c r="C309" t="str">
        <f>IFERROR(VLOOKUP(Rel_2026[[#This Row],[chave_loja]],Responsavel!A:B,2,FALSE),"EUCLIDES")</f>
        <v>JACK</v>
      </c>
      <c r="D309" t="str">
        <f>LEFT(Rel_2026[[#This Row],[ag_pacb]],4)</f>
        <v>0985</v>
      </c>
      <c r="E309">
        <v>54377</v>
      </c>
      <c r="F309" t="s">
        <v>1216</v>
      </c>
      <c r="G309" t="s">
        <v>1217</v>
      </c>
      <c r="H309" s="1">
        <v>44428</v>
      </c>
      <c r="I309" t="s">
        <v>107</v>
      </c>
      <c r="J309" t="s">
        <v>824</v>
      </c>
      <c r="K309" s="1">
        <v>42466</v>
      </c>
      <c r="L309" s="1">
        <v>45490</v>
      </c>
      <c r="M309" t="s">
        <v>109</v>
      </c>
      <c r="N309" s="1">
        <v>46254</v>
      </c>
      <c r="O309">
        <v>492</v>
      </c>
      <c r="P309">
        <v>1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 t="s">
        <v>38</v>
      </c>
      <c r="AI309" t="s">
        <v>27</v>
      </c>
      <c r="AJ309" s="1"/>
      <c r="AK309" t="s">
        <v>28</v>
      </c>
      <c r="AL30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309">
        <f>SUM(Rel_2026[[#This Row],[qtd_TrxContabil]:[VLR_EXP_SORTE]])</f>
        <v>496</v>
      </c>
      <c r="AN30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310" spans="1:40" x14ac:dyDescent="0.3">
      <c r="A310" t="str">
        <f>IF(Rel_2026[[#This Row],[Zero]]=0,"Zero",IF(Rel_2026[[#This Row],[Pontuação]]&gt;=10,"Sim",IF(Rel_2026[[#This Row],[Pontuação]]&gt;=5,"Próximo","Não")))</f>
        <v>Não</v>
      </c>
      <c r="B310" t="str">
        <f>IF(Rel_2026[[#This Row],[Zero]]=0,"Zero",IF(Rel_2026[[#This Row],[Pontuação2]]&gt;=10,"Sim",IF(Rel_2026[[#This Row],[Pontuação2]]&gt;=5,"Próximo","Não")))</f>
        <v>Próximo</v>
      </c>
      <c r="C310" t="str">
        <f>IFERROR(VLOOKUP(Rel_2026[[#This Row],[chave_loja]],Responsavel!A:B,2,FALSE),"EUCLIDES")</f>
        <v>JACK</v>
      </c>
      <c r="D310" t="str">
        <f>LEFT(Rel_2026[[#This Row],[ag_pacb]],4)</f>
        <v>0985</v>
      </c>
      <c r="E310">
        <v>120250</v>
      </c>
      <c r="F310" t="s">
        <v>807</v>
      </c>
      <c r="G310" t="s">
        <v>1195</v>
      </c>
      <c r="H310" s="1">
        <v>45097</v>
      </c>
      <c r="I310" t="s">
        <v>107</v>
      </c>
      <c r="J310" t="s">
        <v>866</v>
      </c>
      <c r="K310" s="1">
        <v>42471</v>
      </c>
      <c r="L310" s="1">
        <v>45455</v>
      </c>
      <c r="M310" t="s">
        <v>109</v>
      </c>
      <c r="N310" s="1">
        <v>46254</v>
      </c>
      <c r="O310">
        <v>408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 t="s">
        <v>26</v>
      </c>
      <c r="AI310" t="s">
        <v>27</v>
      </c>
      <c r="AJ310" s="1"/>
      <c r="AK310" t="s">
        <v>28</v>
      </c>
      <c r="AL3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310">
        <f>SUM(Rel_2026[[#This Row],[qtd_TrxContabil]:[VLR_EXP_SORTE]])</f>
        <v>410</v>
      </c>
      <c r="AN3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311" spans="1:40" x14ac:dyDescent="0.3">
      <c r="A311" t="str">
        <f>IF(Rel_2026[[#This Row],[Zero]]=0,"Zero",IF(Rel_2026[[#This Row],[Pontuação]]&gt;=10,"Sim",IF(Rel_2026[[#This Row],[Pontuação]]&gt;=5,"Próximo","Não")))</f>
        <v>Zero</v>
      </c>
      <c r="B311" t="str">
        <f>IF(Rel_2026[[#This Row],[Zero]]=0,"Zero",IF(Rel_2026[[#This Row],[Pontuação2]]&gt;=10,"Sim",IF(Rel_2026[[#This Row],[Pontuação2]]&gt;=5,"Próximo","Não")))</f>
        <v>Zero</v>
      </c>
      <c r="C311" t="str">
        <f>IFERROR(VLOOKUP(Rel_2026[[#This Row],[chave_loja]],Responsavel!A:B,2,FALSE),"EUCLIDES")</f>
        <v>DARIO</v>
      </c>
      <c r="D311" t="str">
        <f>LEFT(Rel_2026[[#This Row],[ag_pacb]],4)</f>
        <v>5438</v>
      </c>
      <c r="E311">
        <v>423772</v>
      </c>
      <c r="F311" t="s">
        <v>1252</v>
      </c>
      <c r="G311" t="s">
        <v>1253</v>
      </c>
      <c r="H311" s="1">
        <v>46142</v>
      </c>
      <c r="I311" t="s">
        <v>23</v>
      </c>
      <c r="J311" t="s">
        <v>599</v>
      </c>
      <c r="K311" s="1">
        <v>46135</v>
      </c>
      <c r="L311" s="1">
        <v>46170</v>
      </c>
      <c r="M311" t="s">
        <v>25</v>
      </c>
      <c r="N311" s="1">
        <v>46176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 t="s">
        <v>26</v>
      </c>
      <c r="AI311" t="s">
        <v>27</v>
      </c>
      <c r="AJ311" s="1"/>
      <c r="AK311" t="s">
        <v>28</v>
      </c>
      <c r="AL3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11">
        <f>SUM(Rel_2026[[#This Row],[qtd_TrxContabil]:[VLR_EXP_SORTE]])</f>
        <v>0</v>
      </c>
      <c r="AN3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12" spans="1:40" x14ac:dyDescent="0.3">
      <c r="A312" t="str">
        <f>IF(Rel_2026[[#This Row],[Zero]]=0,"Zero",IF(Rel_2026[[#This Row],[Pontuação]]&gt;=10,"Sim",IF(Rel_2026[[#This Row],[Pontuação]]&gt;=5,"Próximo","Não")))</f>
        <v>Sim</v>
      </c>
      <c r="B312" t="str">
        <f>IF(Rel_2026[[#This Row],[Zero]]=0,"Zero",IF(Rel_2026[[#This Row],[Pontuação2]]&gt;=10,"Sim",IF(Rel_2026[[#This Row],[Pontuação2]]&gt;=5,"Próximo","Não")))</f>
        <v>Sim</v>
      </c>
      <c r="C312" t="str">
        <f>IFERROR(VLOOKUP(Rel_2026[[#This Row],[chave_loja]],Responsavel!A:B,2,FALSE),"EUCLIDES")</f>
        <v>IVAN</v>
      </c>
      <c r="D312" t="str">
        <f>LEFT(Rel_2026[[#This Row],[ag_pacb]],4)</f>
        <v>0716</v>
      </c>
      <c r="E312">
        <v>158973</v>
      </c>
      <c r="F312" t="s">
        <v>53</v>
      </c>
      <c r="G312" t="s">
        <v>54</v>
      </c>
      <c r="H312" s="1">
        <v>44168</v>
      </c>
      <c r="I312" t="s">
        <v>23</v>
      </c>
      <c r="J312" t="s">
        <v>55</v>
      </c>
      <c r="K312" s="1">
        <v>42976</v>
      </c>
      <c r="L312" s="1">
        <v>44679</v>
      </c>
      <c r="M312" t="s">
        <v>25</v>
      </c>
      <c r="N312" s="1">
        <v>46254</v>
      </c>
      <c r="O312">
        <v>1271</v>
      </c>
      <c r="P312">
        <v>2</v>
      </c>
      <c r="Q312">
        <v>0</v>
      </c>
      <c r="R312">
        <v>2</v>
      </c>
      <c r="S312">
        <v>0</v>
      </c>
      <c r="T312">
        <v>2134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 t="s">
        <v>38</v>
      </c>
      <c r="AI312" t="s">
        <v>27</v>
      </c>
      <c r="AJ312" s="1"/>
      <c r="AK312" t="s">
        <v>28</v>
      </c>
      <c r="AL3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27</v>
      </c>
      <c r="AM312">
        <f>SUM(Rel_2026[[#This Row],[qtd_TrxContabil]:[VLR_EXP_SORTE]])</f>
        <v>3410</v>
      </c>
      <c r="AN3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33</v>
      </c>
    </row>
    <row r="313" spans="1:40" x14ac:dyDescent="0.3">
      <c r="A313" t="str">
        <f>IF(Rel_2026[[#This Row],[Zero]]=0,"Zero",IF(Rel_2026[[#This Row],[Pontuação]]&gt;=10,"Sim",IF(Rel_2026[[#This Row],[Pontuação]]&gt;=5,"Próximo","Não")))</f>
        <v>Não</v>
      </c>
      <c r="B313" t="str">
        <f>IF(Rel_2026[[#This Row],[Zero]]=0,"Zero",IF(Rel_2026[[#This Row],[Pontuação2]]&gt;=10,"Sim",IF(Rel_2026[[#This Row],[Pontuação2]]&gt;=5,"Próximo","Não")))</f>
        <v>Não</v>
      </c>
      <c r="C313" t="str">
        <f>IFERROR(VLOOKUP(Rel_2026[[#This Row],[chave_loja]],Responsavel!A:B,2,FALSE),"EUCLIDES")</f>
        <v>CÉLIO</v>
      </c>
      <c r="D313" t="str">
        <f>LEFT(Rel_2026[[#This Row],[ag_pacb]],4)</f>
        <v>2214</v>
      </c>
      <c r="E313">
        <v>220242</v>
      </c>
      <c r="F313" t="s">
        <v>1192</v>
      </c>
      <c r="G313" t="s">
        <v>469</v>
      </c>
      <c r="H313" s="1">
        <v>45503</v>
      </c>
      <c r="I313" t="s">
        <v>23</v>
      </c>
      <c r="J313" t="s">
        <v>24</v>
      </c>
      <c r="K313" s="1">
        <v>44651</v>
      </c>
      <c r="L313" s="1">
        <v>45518</v>
      </c>
      <c r="M313" t="s">
        <v>25</v>
      </c>
      <c r="N313" s="1">
        <v>46254</v>
      </c>
      <c r="O313">
        <v>160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 t="s">
        <v>26</v>
      </c>
      <c r="AI313" t="s">
        <v>27</v>
      </c>
      <c r="AJ313" s="1"/>
      <c r="AK313" t="s">
        <v>28</v>
      </c>
      <c r="AL3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13">
        <f>SUM(Rel_2026[[#This Row],[qtd_TrxContabil]:[VLR_EXP_SORTE]])</f>
        <v>160</v>
      </c>
      <c r="AN3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14" spans="1:40" x14ac:dyDescent="0.3">
      <c r="A314" t="str">
        <f>IF(Rel_2026[[#This Row],[Zero]]=0,"Zero",IF(Rel_2026[[#This Row],[Pontuação]]&gt;=10,"Sim",IF(Rel_2026[[#This Row],[Pontuação]]&gt;=5,"Próximo","Não")))</f>
        <v>Sim</v>
      </c>
      <c r="B314" t="str">
        <f>IF(Rel_2026[[#This Row],[Zero]]=0,"Zero",IF(Rel_2026[[#This Row],[Pontuação2]]&gt;=10,"Sim",IF(Rel_2026[[#This Row],[Pontuação2]]&gt;=5,"Próximo","Não")))</f>
        <v>Sim</v>
      </c>
      <c r="C314" t="str">
        <f>IFERROR(VLOOKUP(Rel_2026[[#This Row],[chave_loja]],Responsavel!A:B,2,FALSE),"EUCLIDES")</f>
        <v>JACK</v>
      </c>
      <c r="D314" t="str">
        <f>LEFT(Rel_2026[[#This Row],[ag_pacb]],4)</f>
        <v>5806</v>
      </c>
      <c r="E314">
        <v>154081</v>
      </c>
      <c r="F314" t="s">
        <v>888</v>
      </c>
      <c r="G314" t="s">
        <v>889</v>
      </c>
      <c r="H314" s="1">
        <v>45202</v>
      </c>
      <c r="I314" t="s">
        <v>107</v>
      </c>
      <c r="J314" t="s">
        <v>842</v>
      </c>
      <c r="K314" s="1">
        <v>42744</v>
      </c>
      <c r="L314" s="1">
        <v>44700</v>
      </c>
      <c r="M314" t="s">
        <v>109</v>
      </c>
      <c r="N314" s="1">
        <v>46254</v>
      </c>
      <c r="O314">
        <v>332</v>
      </c>
      <c r="P314">
        <v>2</v>
      </c>
      <c r="Q314">
        <v>0</v>
      </c>
      <c r="R314">
        <v>2</v>
      </c>
      <c r="S314">
        <v>0</v>
      </c>
      <c r="T314">
        <v>2800</v>
      </c>
      <c r="U314">
        <v>21614</v>
      </c>
      <c r="V314">
        <v>21614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3</v>
      </c>
      <c r="AG314">
        <v>0</v>
      </c>
      <c r="AH314" t="s">
        <v>26</v>
      </c>
      <c r="AI314" t="s">
        <v>27</v>
      </c>
      <c r="AJ314" s="1"/>
      <c r="AK314" t="s">
        <v>28</v>
      </c>
      <c r="AL3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56</v>
      </c>
      <c r="AM314">
        <f>SUM(Rel_2026[[#This Row],[qtd_TrxContabil]:[VLR_EXP_SORTE]])</f>
        <v>46367</v>
      </c>
      <c r="AN3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62</v>
      </c>
    </row>
    <row r="315" spans="1:40" x14ac:dyDescent="0.3">
      <c r="A315" t="str">
        <f>IF(Rel_2026[[#This Row],[Zero]]=0,"Zero",IF(Rel_2026[[#This Row],[Pontuação]]&gt;=10,"Sim",IF(Rel_2026[[#This Row],[Pontuação]]&gt;=5,"Próximo","Não")))</f>
        <v>Sim</v>
      </c>
      <c r="B315" t="str">
        <f>IF(Rel_2026[[#This Row],[Zero]]=0,"Zero",IF(Rel_2026[[#This Row],[Pontuação2]]&gt;=10,"Sim",IF(Rel_2026[[#This Row],[Pontuação2]]&gt;=5,"Próximo","Não")))</f>
        <v>Sim</v>
      </c>
      <c r="C315" t="str">
        <f>IFERROR(VLOOKUP(Rel_2026[[#This Row],[chave_loja]],Responsavel!A:B,2,FALSE),"EUCLIDES")</f>
        <v>IVAN</v>
      </c>
      <c r="D315" t="str">
        <f>LEFT(Rel_2026[[#This Row],[ag_pacb]],4)</f>
        <v>5386</v>
      </c>
      <c r="E315">
        <v>164549</v>
      </c>
      <c r="F315" t="s">
        <v>79</v>
      </c>
      <c r="G315" t="s">
        <v>80</v>
      </c>
      <c r="H315" s="1">
        <v>44949</v>
      </c>
      <c r="I315" t="s">
        <v>23</v>
      </c>
      <c r="J315" t="s">
        <v>81</v>
      </c>
      <c r="K315" s="1">
        <v>45306</v>
      </c>
      <c r="L315" s="1">
        <v>44650</v>
      </c>
      <c r="M315" t="s">
        <v>25</v>
      </c>
      <c r="N315" s="1">
        <v>46254</v>
      </c>
      <c r="O315">
        <v>96</v>
      </c>
      <c r="P315">
        <v>8</v>
      </c>
      <c r="Q315">
        <v>0</v>
      </c>
      <c r="R315">
        <v>5</v>
      </c>
      <c r="S315">
        <v>3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3</v>
      </c>
      <c r="AC315">
        <v>0</v>
      </c>
      <c r="AD315">
        <v>0</v>
      </c>
      <c r="AE315">
        <v>0</v>
      </c>
      <c r="AF315">
        <v>4</v>
      </c>
      <c r="AG315">
        <v>0</v>
      </c>
      <c r="AH315" t="s">
        <v>26</v>
      </c>
      <c r="AI315" t="s">
        <v>27</v>
      </c>
      <c r="AJ315" s="1"/>
      <c r="AK315" t="s">
        <v>28</v>
      </c>
      <c r="AL3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  <c r="AM315">
        <f>SUM(Rel_2026[[#This Row],[qtd_TrxContabil]:[VLR_EXP_SORTE]])</f>
        <v>119</v>
      </c>
      <c r="AN3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39</v>
      </c>
    </row>
    <row r="316" spans="1:40" x14ac:dyDescent="0.3">
      <c r="A316" t="str">
        <f>IF(Rel_2026[[#This Row],[Zero]]=0,"Zero",IF(Rel_2026[[#This Row],[Pontuação]]&gt;=10,"Sim",IF(Rel_2026[[#This Row],[Pontuação]]&gt;=5,"Próximo","Não")))</f>
        <v>Não</v>
      </c>
      <c r="B316" t="str">
        <f>IF(Rel_2026[[#This Row],[Zero]]=0,"Zero",IF(Rel_2026[[#This Row],[Pontuação2]]&gt;=10,"Sim",IF(Rel_2026[[#This Row],[Pontuação2]]&gt;=5,"Próximo","Não")))</f>
        <v>Não</v>
      </c>
      <c r="C316" t="str">
        <f>IFERROR(VLOOKUP(Rel_2026[[#This Row],[chave_loja]],Responsavel!A:B,2,FALSE),"EUCLIDES")</f>
        <v>JUNIOR</v>
      </c>
      <c r="D316" t="str">
        <f>LEFT(Rel_2026[[#This Row],[ag_pacb]],4)</f>
        <v>5367</v>
      </c>
      <c r="E316">
        <v>99155</v>
      </c>
      <c r="F316" t="s">
        <v>1427</v>
      </c>
      <c r="G316" t="s">
        <v>1428</v>
      </c>
      <c r="H316" s="1">
        <v>44524</v>
      </c>
      <c r="I316" t="s">
        <v>23</v>
      </c>
      <c r="J316" t="s">
        <v>425</v>
      </c>
      <c r="K316" s="1">
        <v>44469</v>
      </c>
      <c r="L316" s="1">
        <v>46162</v>
      </c>
      <c r="M316" t="s">
        <v>32</v>
      </c>
      <c r="N316" s="1">
        <v>46254</v>
      </c>
      <c r="O316">
        <v>2382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3119</v>
      </c>
      <c r="V316">
        <v>3119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 t="s">
        <v>38</v>
      </c>
      <c r="AI316" t="s">
        <v>27</v>
      </c>
      <c r="AJ316" s="1"/>
      <c r="AK316" t="s">
        <v>28</v>
      </c>
      <c r="AL3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316">
        <f>SUM(Rel_2026[[#This Row],[qtd_TrxContabil]:[VLR_EXP_SORTE]])</f>
        <v>8620</v>
      </c>
      <c r="AN3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</row>
    <row r="317" spans="1:40" x14ac:dyDescent="0.3">
      <c r="A317" t="str">
        <f>IF(Rel_2026[[#This Row],[Zero]]=0,"Zero",IF(Rel_2026[[#This Row],[Pontuação]]&gt;=10,"Sim",IF(Rel_2026[[#This Row],[Pontuação]]&gt;=5,"Próximo","Não")))</f>
        <v>Não</v>
      </c>
      <c r="B317" t="str">
        <f>IF(Rel_2026[[#This Row],[Zero]]=0,"Zero",IF(Rel_2026[[#This Row],[Pontuação2]]&gt;=10,"Sim",IF(Rel_2026[[#This Row],[Pontuação2]]&gt;=5,"Próximo","Não")))</f>
        <v>Não</v>
      </c>
      <c r="C317" t="str">
        <f>IFERROR(VLOOKUP(Rel_2026[[#This Row],[chave_loja]],Responsavel!A:B,2,FALSE),"EUCLIDES")</f>
        <v>DARIO</v>
      </c>
      <c r="D317" t="str">
        <f>LEFT(Rel_2026[[#This Row],[ag_pacb]],4)</f>
        <v>0703</v>
      </c>
      <c r="E317">
        <v>189052</v>
      </c>
      <c r="F317" t="s">
        <v>709</v>
      </c>
      <c r="G317" t="s">
        <v>710</v>
      </c>
      <c r="H317" s="1">
        <v>45121</v>
      </c>
      <c r="I317" t="s">
        <v>23</v>
      </c>
      <c r="J317" t="s">
        <v>212</v>
      </c>
      <c r="K317" s="1">
        <v>44013</v>
      </c>
      <c r="L317" s="1">
        <v>45846</v>
      </c>
      <c r="M317" t="s">
        <v>25</v>
      </c>
      <c r="N317" s="1">
        <v>46254</v>
      </c>
      <c r="O317">
        <v>284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 t="s">
        <v>26</v>
      </c>
      <c r="AI317" t="s">
        <v>27</v>
      </c>
      <c r="AJ317" s="1"/>
      <c r="AK317" t="s">
        <v>28</v>
      </c>
      <c r="AL3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17">
        <f>SUM(Rel_2026[[#This Row],[qtd_TrxContabil]:[VLR_EXP_SORTE]])</f>
        <v>284</v>
      </c>
      <c r="AN3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18" spans="1:40" x14ac:dyDescent="0.3">
      <c r="A318" t="str">
        <f>IF(Rel_2026[[#This Row],[Zero]]=0,"Zero",IF(Rel_2026[[#This Row],[Pontuação]]&gt;=10,"Sim",IF(Rel_2026[[#This Row],[Pontuação]]&gt;=5,"Próximo","Não")))</f>
        <v>Sim</v>
      </c>
      <c r="B318" t="str">
        <f>IF(Rel_2026[[#This Row],[Zero]]=0,"Zero",IF(Rel_2026[[#This Row],[Pontuação2]]&gt;=10,"Sim",IF(Rel_2026[[#This Row],[Pontuação2]]&gt;=5,"Próximo","Não")))</f>
        <v>Sim</v>
      </c>
      <c r="C318" t="str">
        <f>IFERROR(VLOOKUP(Rel_2026[[#This Row],[chave_loja]],Responsavel!A:B,2,FALSE),"EUCLIDES")</f>
        <v>PAULO</v>
      </c>
      <c r="D318" t="str">
        <f>LEFT(Rel_2026[[#This Row],[ag_pacb]],4)</f>
        <v>0937</v>
      </c>
      <c r="E318">
        <v>251695</v>
      </c>
      <c r="F318" t="s">
        <v>974</v>
      </c>
      <c r="G318" t="s">
        <v>1154</v>
      </c>
      <c r="H318" s="1">
        <v>45210</v>
      </c>
      <c r="I318" t="s">
        <v>107</v>
      </c>
      <c r="J318" t="s">
        <v>1134</v>
      </c>
      <c r="K318" s="1">
        <v>45306</v>
      </c>
      <c r="L318" s="1">
        <v>46177</v>
      </c>
      <c r="M318" t="s">
        <v>109</v>
      </c>
      <c r="N318" s="1">
        <v>46254</v>
      </c>
      <c r="O318">
        <v>511</v>
      </c>
      <c r="P318">
        <v>1</v>
      </c>
      <c r="Q318">
        <v>1</v>
      </c>
      <c r="R318">
        <v>1</v>
      </c>
      <c r="S318">
        <v>0</v>
      </c>
      <c r="T318">
        <v>0</v>
      </c>
      <c r="U318">
        <v>11264</v>
      </c>
      <c r="V318">
        <v>11264</v>
      </c>
      <c r="W318">
        <v>0</v>
      </c>
      <c r="X318">
        <v>0</v>
      </c>
      <c r="Y318">
        <v>0</v>
      </c>
      <c r="Z318">
        <v>0</v>
      </c>
      <c r="AA318">
        <v>2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0</v>
      </c>
      <c r="AH318" t="s">
        <v>26</v>
      </c>
      <c r="AI318" t="s">
        <v>27</v>
      </c>
      <c r="AJ318" s="1"/>
      <c r="AK318" t="s">
        <v>28</v>
      </c>
      <c r="AL3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  <c r="AM318">
        <f>SUM(Rel_2026[[#This Row],[qtd_TrxContabil]:[VLR_EXP_SORTE]])</f>
        <v>23045</v>
      </c>
      <c r="AN3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23</v>
      </c>
    </row>
    <row r="319" spans="1:40" x14ac:dyDescent="0.3">
      <c r="A319" t="str">
        <f>IF(Rel_2026[[#This Row],[Zero]]=0,"Zero",IF(Rel_2026[[#This Row],[Pontuação]]&gt;=10,"Sim",IF(Rel_2026[[#This Row],[Pontuação]]&gt;=5,"Próximo","Não")))</f>
        <v>Zero</v>
      </c>
      <c r="B319" t="str">
        <f>IF(Rel_2026[[#This Row],[Zero]]=0,"Zero",IF(Rel_2026[[#This Row],[Pontuação2]]&gt;=10,"Sim",IF(Rel_2026[[#This Row],[Pontuação2]]&gt;=5,"Próximo","Não")))</f>
        <v>Zero</v>
      </c>
      <c r="C319" t="str">
        <f>IFERROR(VLOOKUP(Rel_2026[[#This Row],[chave_loja]],Responsavel!A:B,2,FALSE),"EUCLIDES")</f>
        <v>CÉLIO</v>
      </c>
      <c r="D319" t="str">
        <f>LEFT(Rel_2026[[#This Row],[ag_pacb]],4)</f>
        <v>1579</v>
      </c>
      <c r="E319">
        <v>422468</v>
      </c>
      <c r="F319" t="s">
        <v>1245</v>
      </c>
      <c r="G319" t="s">
        <v>1087</v>
      </c>
      <c r="H319" s="1">
        <v>46073</v>
      </c>
      <c r="I319" t="s">
        <v>23</v>
      </c>
      <c r="J319" t="s">
        <v>801</v>
      </c>
      <c r="K319" s="1">
        <v>46065</v>
      </c>
      <c r="L319" s="1">
        <v>46086</v>
      </c>
      <c r="M319" t="s">
        <v>32</v>
      </c>
      <c r="N319" s="1">
        <v>46171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 t="s">
        <v>26</v>
      </c>
      <c r="AI319" t="s">
        <v>27</v>
      </c>
      <c r="AJ319" s="1"/>
      <c r="AK319" t="s">
        <v>28</v>
      </c>
      <c r="AL31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19">
        <f>SUM(Rel_2026[[#This Row],[qtd_TrxContabil]:[VLR_EXP_SORTE]])</f>
        <v>0</v>
      </c>
      <c r="AN31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20" spans="1:40" x14ac:dyDescent="0.3">
      <c r="A320" t="str">
        <f>IF(Rel_2026[[#This Row],[Zero]]=0,"Zero",IF(Rel_2026[[#This Row],[Pontuação]]&gt;=10,"Sim",IF(Rel_2026[[#This Row],[Pontuação]]&gt;=5,"Próximo","Não")))</f>
        <v>Sim</v>
      </c>
      <c r="B320" t="str">
        <f>IF(Rel_2026[[#This Row],[Zero]]=0,"Zero",IF(Rel_2026[[#This Row],[Pontuação2]]&gt;=10,"Sim",IF(Rel_2026[[#This Row],[Pontuação2]]&gt;=5,"Próximo","Não")))</f>
        <v>Sim</v>
      </c>
      <c r="C320" t="str">
        <f>IFERROR(VLOOKUP(Rel_2026[[#This Row],[chave_loja]],Responsavel!A:B,2,FALSE),"EUCLIDES")</f>
        <v>WASTHSON</v>
      </c>
      <c r="D320" t="str">
        <f>LEFT(Rel_2026[[#This Row],[ag_pacb]],4)</f>
        <v>0458</v>
      </c>
      <c r="E320">
        <v>136464</v>
      </c>
      <c r="F320" t="s">
        <v>421</v>
      </c>
      <c r="G320" t="s">
        <v>422</v>
      </c>
      <c r="H320" s="1">
        <v>44865</v>
      </c>
      <c r="I320" t="s">
        <v>23</v>
      </c>
      <c r="J320" t="s">
        <v>48</v>
      </c>
      <c r="K320" s="1">
        <v>42172</v>
      </c>
      <c r="L320" s="1">
        <v>45554</v>
      </c>
      <c r="M320" t="s">
        <v>32</v>
      </c>
      <c r="N320" s="1">
        <v>46254</v>
      </c>
      <c r="O320">
        <v>1319</v>
      </c>
      <c r="P320">
        <v>7</v>
      </c>
      <c r="Q320">
        <v>2</v>
      </c>
      <c r="R320">
        <v>7</v>
      </c>
      <c r="S320">
        <v>0</v>
      </c>
      <c r="T320">
        <v>500</v>
      </c>
      <c r="U320">
        <v>19063</v>
      </c>
      <c r="V320">
        <v>19063</v>
      </c>
      <c r="W320">
        <v>0</v>
      </c>
      <c r="X320">
        <v>0</v>
      </c>
      <c r="Y320">
        <v>0</v>
      </c>
      <c r="Z320">
        <v>0</v>
      </c>
      <c r="AA320">
        <v>4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 t="s">
        <v>38</v>
      </c>
      <c r="AI320" t="s">
        <v>27</v>
      </c>
      <c r="AJ320" s="1"/>
      <c r="AK320" t="s">
        <v>28</v>
      </c>
      <c r="AL32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57</v>
      </c>
      <c r="AM320">
        <f>SUM(Rel_2026[[#This Row],[qtd_TrxContabil]:[VLR_EXP_SORTE]])</f>
        <v>39965</v>
      </c>
      <c r="AN32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78</v>
      </c>
    </row>
    <row r="321" spans="1:40" x14ac:dyDescent="0.3">
      <c r="A321" t="str">
        <f>IF(Rel_2026[[#This Row],[Zero]]=0,"Zero",IF(Rel_2026[[#This Row],[Pontuação]]&gt;=10,"Sim",IF(Rel_2026[[#This Row],[Pontuação]]&gt;=5,"Próximo","Não")))</f>
        <v>Não</v>
      </c>
      <c r="B321" t="str">
        <f>IF(Rel_2026[[#This Row],[Zero]]=0,"Zero",IF(Rel_2026[[#This Row],[Pontuação2]]&gt;=10,"Sim",IF(Rel_2026[[#This Row],[Pontuação2]]&gt;=5,"Próximo","Não")))</f>
        <v>Não</v>
      </c>
      <c r="C321" t="str">
        <f>IFERROR(VLOOKUP(Rel_2026[[#This Row],[chave_loja]],Responsavel!A:B,2,FALSE),"EUCLIDES")</f>
        <v>ROSSY</v>
      </c>
      <c r="D321" t="str">
        <f>LEFT(Rel_2026[[#This Row],[ag_pacb]],4)</f>
        <v>0854</v>
      </c>
      <c r="E321">
        <v>179143</v>
      </c>
      <c r="F321" t="s">
        <v>913</v>
      </c>
      <c r="G321" t="s">
        <v>914</v>
      </c>
      <c r="H321" s="1">
        <v>45173</v>
      </c>
      <c r="I321" t="s">
        <v>875</v>
      </c>
      <c r="J321" t="s">
        <v>876</v>
      </c>
      <c r="K321" s="1">
        <v>43910</v>
      </c>
      <c r="L321" s="1">
        <v>45219</v>
      </c>
      <c r="M321" t="s">
        <v>109</v>
      </c>
      <c r="N321" s="1">
        <v>46254</v>
      </c>
      <c r="O321">
        <v>62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 t="s">
        <v>26</v>
      </c>
      <c r="AI321" t="s">
        <v>27</v>
      </c>
      <c r="AJ321" s="1"/>
      <c r="AK321" t="s">
        <v>28</v>
      </c>
      <c r="AL32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321">
        <f>SUM(Rel_2026[[#This Row],[qtd_TrxContabil]:[VLR_EXP_SORTE]])</f>
        <v>63</v>
      </c>
      <c r="AN32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</row>
    <row r="322" spans="1:40" x14ac:dyDescent="0.3">
      <c r="A322" t="str">
        <f>IF(Rel_2026[[#This Row],[Zero]]=0,"Zero",IF(Rel_2026[[#This Row],[Pontuação]]&gt;=10,"Sim",IF(Rel_2026[[#This Row],[Pontuação]]&gt;=5,"Próximo","Não")))</f>
        <v>Não</v>
      </c>
      <c r="B322" t="str">
        <f>IF(Rel_2026[[#This Row],[Zero]]=0,"Zero",IF(Rel_2026[[#This Row],[Pontuação2]]&gt;=10,"Sim",IF(Rel_2026[[#This Row],[Pontuação2]]&gt;=5,"Próximo","Não")))</f>
        <v>Não</v>
      </c>
      <c r="C322" t="str">
        <f>IFERROR(VLOOKUP(Rel_2026[[#This Row],[chave_loja]],Responsavel!A:B,2,FALSE),"EUCLIDES")</f>
        <v>PAULO</v>
      </c>
      <c r="D322" t="str">
        <f>LEFT(Rel_2026[[#This Row],[ag_pacb]],4)</f>
        <v>0937</v>
      </c>
      <c r="E322">
        <v>421721</v>
      </c>
      <c r="F322" t="s">
        <v>1365</v>
      </c>
      <c r="G322" t="s">
        <v>1366</v>
      </c>
      <c r="H322" s="1">
        <v>46098</v>
      </c>
      <c r="I322" t="s">
        <v>107</v>
      </c>
      <c r="J322" t="s">
        <v>1155</v>
      </c>
      <c r="K322" s="1">
        <v>46030</v>
      </c>
      <c r="L322" s="1">
        <v>46118</v>
      </c>
      <c r="M322" t="s">
        <v>109</v>
      </c>
      <c r="N322" s="1">
        <v>46254</v>
      </c>
      <c r="O322">
        <v>25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 t="s">
        <v>38</v>
      </c>
      <c r="AI322" t="s">
        <v>27</v>
      </c>
      <c r="AJ322" s="1"/>
      <c r="AK322" t="s">
        <v>28</v>
      </c>
      <c r="AL32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22">
        <f>SUM(Rel_2026[[#This Row],[qtd_TrxContabil]:[VLR_EXP_SORTE]])</f>
        <v>25</v>
      </c>
      <c r="AN32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23" spans="1:40" x14ac:dyDescent="0.3">
      <c r="A323" t="str">
        <f>IF(Rel_2026[[#This Row],[Zero]]=0,"Zero",IF(Rel_2026[[#This Row],[Pontuação]]&gt;=10,"Sim",IF(Rel_2026[[#This Row],[Pontuação]]&gt;=5,"Próximo","Não")))</f>
        <v>Não</v>
      </c>
      <c r="B323" t="str">
        <f>IF(Rel_2026[[#This Row],[Zero]]=0,"Zero",IF(Rel_2026[[#This Row],[Pontuação2]]&gt;=10,"Sim",IF(Rel_2026[[#This Row],[Pontuação2]]&gt;=5,"Próximo","Não")))</f>
        <v>Não</v>
      </c>
      <c r="C323" t="str">
        <f>IFERROR(VLOOKUP(Rel_2026[[#This Row],[chave_loja]],Responsavel!A:B,2,FALSE),"EUCLIDES")</f>
        <v>JUNIOR</v>
      </c>
      <c r="D323" t="str">
        <f>LEFT(Rel_2026[[#This Row],[ag_pacb]],4)</f>
        <v>5367</v>
      </c>
      <c r="E323">
        <v>422267</v>
      </c>
      <c r="F323" t="s">
        <v>1073</v>
      </c>
      <c r="G323" t="s">
        <v>1074</v>
      </c>
      <c r="H323" s="1">
        <v>46063</v>
      </c>
      <c r="I323" t="s">
        <v>23</v>
      </c>
      <c r="J323" t="s">
        <v>96</v>
      </c>
      <c r="K323" s="1">
        <v>46056</v>
      </c>
      <c r="L323" s="1">
        <v>46084</v>
      </c>
      <c r="M323" t="s">
        <v>32</v>
      </c>
      <c r="N323" s="1">
        <v>46254</v>
      </c>
      <c r="O323">
        <v>72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 t="s">
        <v>38</v>
      </c>
      <c r="AI323" t="s">
        <v>27</v>
      </c>
      <c r="AJ323" s="1"/>
      <c r="AK323" t="s">
        <v>28</v>
      </c>
      <c r="AL32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23">
        <f>SUM(Rel_2026[[#This Row],[qtd_TrxContabil]:[VLR_EXP_SORTE]])</f>
        <v>72</v>
      </c>
      <c r="AN32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24" spans="1:40" x14ac:dyDescent="0.3">
      <c r="A324" t="str">
        <f>IF(Rel_2026[[#This Row],[Zero]]=0,"Zero",IF(Rel_2026[[#This Row],[Pontuação]]&gt;=10,"Sim",IF(Rel_2026[[#This Row],[Pontuação]]&gt;=5,"Próximo","Não")))</f>
        <v>Próximo</v>
      </c>
      <c r="B324" t="str">
        <f>IF(Rel_2026[[#This Row],[Zero]]=0,"Zero",IF(Rel_2026[[#This Row],[Pontuação2]]&gt;=10,"Sim",IF(Rel_2026[[#This Row],[Pontuação2]]&gt;=5,"Próximo","Não")))</f>
        <v>Sim</v>
      </c>
      <c r="C324" t="str">
        <f>IFERROR(VLOOKUP(Rel_2026[[#This Row],[chave_loja]],Responsavel!A:B,2,FALSE),"EUCLIDES")</f>
        <v>DARIO</v>
      </c>
      <c r="D324" t="str">
        <f>LEFT(Rel_2026[[#This Row],[ag_pacb]],4)</f>
        <v>1781</v>
      </c>
      <c r="E324">
        <v>218080</v>
      </c>
      <c r="F324" t="s">
        <v>415</v>
      </c>
      <c r="G324" t="s">
        <v>416</v>
      </c>
      <c r="H324" s="1">
        <v>45008</v>
      </c>
      <c r="I324" t="s">
        <v>23</v>
      </c>
      <c r="J324" t="s">
        <v>124</v>
      </c>
      <c r="K324" s="1">
        <v>45044</v>
      </c>
      <c r="L324" s="1">
        <v>46246</v>
      </c>
      <c r="M324" t="s">
        <v>25</v>
      </c>
      <c r="N324" s="1">
        <v>46254</v>
      </c>
      <c r="O324">
        <v>544</v>
      </c>
      <c r="P324">
        <v>1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 t="s">
        <v>26</v>
      </c>
      <c r="AI324" t="s">
        <v>27</v>
      </c>
      <c r="AJ324" s="1"/>
      <c r="AK324" t="s">
        <v>28</v>
      </c>
      <c r="AL32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</v>
      </c>
      <c r="AM324">
        <f>SUM(Rel_2026[[#This Row],[qtd_TrxContabil]:[VLR_EXP_SORTE]])</f>
        <v>548</v>
      </c>
      <c r="AN32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</v>
      </c>
    </row>
    <row r="325" spans="1:40" x14ac:dyDescent="0.3">
      <c r="A325" t="str">
        <f>IF(Rel_2026[[#This Row],[Zero]]=0,"Zero",IF(Rel_2026[[#This Row],[Pontuação]]&gt;=10,"Sim",IF(Rel_2026[[#This Row],[Pontuação]]&gt;=5,"Próximo","Não")))</f>
        <v>Próximo</v>
      </c>
      <c r="B325" t="str">
        <f>IF(Rel_2026[[#This Row],[Zero]]=0,"Zero",IF(Rel_2026[[#This Row],[Pontuação2]]&gt;=10,"Sim",IF(Rel_2026[[#This Row],[Pontuação2]]&gt;=5,"Próximo","Não")))</f>
        <v>Próximo</v>
      </c>
      <c r="C325" t="str">
        <f>IFERROR(VLOOKUP(Rel_2026[[#This Row],[chave_loja]],Responsavel!A:B,2,FALSE),"EUCLIDES")</f>
        <v>IVAN</v>
      </c>
      <c r="D325" t="str">
        <f>LEFT(Rel_2026[[#This Row],[ag_pacb]],4)</f>
        <v>0716</v>
      </c>
      <c r="E325">
        <v>42439</v>
      </c>
      <c r="F325" t="s">
        <v>559</v>
      </c>
      <c r="G325" t="s">
        <v>560</v>
      </c>
      <c r="H325" s="1">
        <v>46181</v>
      </c>
      <c r="I325" t="s">
        <v>23</v>
      </c>
      <c r="J325" t="s">
        <v>178</v>
      </c>
      <c r="K325" s="1">
        <v>42724</v>
      </c>
      <c r="L325" s="1">
        <v>45400</v>
      </c>
      <c r="M325" t="s">
        <v>25</v>
      </c>
      <c r="N325" s="1">
        <v>46254</v>
      </c>
      <c r="O325">
        <v>100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5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 t="s">
        <v>26</v>
      </c>
      <c r="AI325" t="s">
        <v>27</v>
      </c>
      <c r="AJ325" s="1"/>
      <c r="AK325" t="s">
        <v>28</v>
      </c>
      <c r="AL32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</v>
      </c>
      <c r="AM325">
        <f>SUM(Rel_2026[[#This Row],[qtd_TrxContabil]:[VLR_EXP_SORTE]])</f>
        <v>105</v>
      </c>
      <c r="AN32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</v>
      </c>
    </row>
    <row r="326" spans="1:40" x14ac:dyDescent="0.3">
      <c r="A326" t="str">
        <f>IF(Rel_2026[[#This Row],[Zero]]=0,"Zero",IF(Rel_2026[[#This Row],[Pontuação]]&gt;=10,"Sim",IF(Rel_2026[[#This Row],[Pontuação]]&gt;=5,"Próximo","Não")))</f>
        <v>Sim</v>
      </c>
      <c r="B326" t="str">
        <f>IF(Rel_2026[[#This Row],[Zero]]=0,"Zero",IF(Rel_2026[[#This Row],[Pontuação2]]&gt;=10,"Sim",IF(Rel_2026[[#This Row],[Pontuação2]]&gt;=5,"Próximo","Não")))</f>
        <v>Sim</v>
      </c>
      <c r="C326" t="str">
        <f>IFERROR(VLOOKUP(Rel_2026[[#This Row],[chave_loja]],Responsavel!A:B,2,FALSE),"EUCLIDES")</f>
        <v>DARIO</v>
      </c>
      <c r="D326" t="str">
        <f>LEFT(Rel_2026[[#This Row],[ag_pacb]],4)</f>
        <v>5438</v>
      </c>
      <c r="E326">
        <v>79111</v>
      </c>
      <c r="F326" t="s">
        <v>440</v>
      </c>
      <c r="G326" t="s">
        <v>441</v>
      </c>
      <c r="H326" s="1">
        <v>44372</v>
      </c>
      <c r="I326" t="s">
        <v>23</v>
      </c>
      <c r="J326" t="s">
        <v>442</v>
      </c>
      <c r="K326" s="1">
        <v>42130</v>
      </c>
      <c r="L326" s="1">
        <v>45617</v>
      </c>
      <c r="M326" t="s">
        <v>25</v>
      </c>
      <c r="N326" s="1">
        <v>46254</v>
      </c>
      <c r="O326">
        <v>1435</v>
      </c>
      <c r="P326">
        <v>3</v>
      </c>
      <c r="Q326">
        <v>3</v>
      </c>
      <c r="R326">
        <v>0</v>
      </c>
      <c r="S326">
        <v>0</v>
      </c>
      <c r="T326">
        <v>804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 t="s">
        <v>38</v>
      </c>
      <c r="AI326" t="s">
        <v>27</v>
      </c>
      <c r="AJ326" s="1"/>
      <c r="AK326" t="s">
        <v>28</v>
      </c>
      <c r="AL32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29</v>
      </c>
      <c r="AM326">
        <f>SUM(Rel_2026[[#This Row],[qtd_TrxContabil]:[VLR_EXP_SORTE]])</f>
        <v>2245</v>
      </c>
      <c r="AN32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29</v>
      </c>
    </row>
    <row r="327" spans="1:40" x14ac:dyDescent="0.3">
      <c r="A327" t="str">
        <f>IF(Rel_2026[[#This Row],[Zero]]=0,"Zero",IF(Rel_2026[[#This Row],[Pontuação]]&gt;=10,"Sim",IF(Rel_2026[[#This Row],[Pontuação]]&gt;=5,"Próximo","Não")))</f>
        <v>Próximo</v>
      </c>
      <c r="B327" t="str">
        <f>IF(Rel_2026[[#This Row],[Zero]]=0,"Zero",IF(Rel_2026[[#This Row],[Pontuação2]]&gt;=10,"Sim",IF(Rel_2026[[#This Row],[Pontuação2]]&gt;=5,"Próximo","Não")))</f>
        <v>Sim</v>
      </c>
      <c r="C327" t="str">
        <f>IFERROR(VLOOKUP(Rel_2026[[#This Row],[chave_loja]],Responsavel!A:B,2,FALSE),"EUCLIDES")</f>
        <v>NYCOLLAS</v>
      </c>
      <c r="D327" t="str">
        <f>LEFT(Rel_2026[[#This Row],[ag_pacb]],4)</f>
        <v>0719</v>
      </c>
      <c r="E327">
        <v>181746</v>
      </c>
      <c r="F327" t="s">
        <v>90</v>
      </c>
      <c r="G327" t="s">
        <v>91</v>
      </c>
      <c r="H327" s="1">
        <v>44326</v>
      </c>
      <c r="I327" t="s">
        <v>23</v>
      </c>
      <c r="J327" t="s">
        <v>92</v>
      </c>
      <c r="K327" s="1">
        <v>43752</v>
      </c>
      <c r="L327" s="1">
        <v>45755</v>
      </c>
      <c r="M327" t="s">
        <v>32</v>
      </c>
      <c r="N327" s="1">
        <v>46254</v>
      </c>
      <c r="O327">
        <v>862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4065</v>
      </c>
      <c r="V327">
        <v>4065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 t="s">
        <v>38</v>
      </c>
      <c r="AI327" t="s">
        <v>27</v>
      </c>
      <c r="AJ327" s="1"/>
      <c r="AK327" t="s">
        <v>28</v>
      </c>
      <c r="AL32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327">
        <f>SUM(Rel_2026[[#This Row],[qtd_TrxContabil]:[VLR_EXP_SORTE]])</f>
        <v>8994</v>
      </c>
      <c r="AN32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328" spans="1:40" x14ac:dyDescent="0.3">
      <c r="A328" t="str">
        <f>IF(Rel_2026[[#This Row],[Zero]]=0,"Zero",IF(Rel_2026[[#This Row],[Pontuação]]&gt;=10,"Sim",IF(Rel_2026[[#This Row],[Pontuação]]&gt;=5,"Próximo","Não")))</f>
        <v>Não</v>
      </c>
      <c r="B328" t="str">
        <f>IF(Rel_2026[[#This Row],[Zero]]=0,"Zero",IF(Rel_2026[[#This Row],[Pontuação2]]&gt;=10,"Sim",IF(Rel_2026[[#This Row],[Pontuação2]]&gt;=5,"Próximo","Não")))</f>
        <v>Não</v>
      </c>
      <c r="C328" t="str">
        <f>IFERROR(VLOOKUP(Rel_2026[[#This Row],[chave_loja]],Responsavel!A:B,2,FALSE),"EUCLIDES")</f>
        <v>CÉLIO</v>
      </c>
      <c r="D328" t="str">
        <f>LEFT(Rel_2026[[#This Row],[ag_pacb]],4)</f>
        <v>0628</v>
      </c>
      <c r="E328">
        <v>237156</v>
      </c>
      <c r="F328" t="s">
        <v>84</v>
      </c>
      <c r="G328" t="s">
        <v>85</v>
      </c>
      <c r="H328" s="1">
        <v>45302</v>
      </c>
      <c r="I328" t="s">
        <v>23</v>
      </c>
      <c r="J328" t="s">
        <v>24</v>
      </c>
      <c r="K328" s="1">
        <v>45306</v>
      </c>
      <c r="L328" s="1">
        <v>45303</v>
      </c>
      <c r="M328" t="s">
        <v>32</v>
      </c>
      <c r="N328" s="1">
        <v>46254</v>
      </c>
      <c r="O328">
        <v>159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 t="s">
        <v>26</v>
      </c>
      <c r="AI328" t="s">
        <v>27</v>
      </c>
      <c r="AJ328" s="1"/>
      <c r="AK328" t="s">
        <v>28</v>
      </c>
      <c r="AL32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28">
        <f>SUM(Rel_2026[[#This Row],[qtd_TrxContabil]:[VLR_EXP_SORTE]])</f>
        <v>159</v>
      </c>
      <c r="AN32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29" spans="1:40" x14ac:dyDescent="0.3">
      <c r="A329" t="str">
        <f>IF(Rel_2026[[#This Row],[Zero]]=0,"Zero",IF(Rel_2026[[#This Row],[Pontuação]]&gt;=10,"Sim",IF(Rel_2026[[#This Row],[Pontuação]]&gt;=5,"Próximo","Não")))</f>
        <v>Sim</v>
      </c>
      <c r="B329" t="str">
        <f>IF(Rel_2026[[#This Row],[Zero]]=0,"Zero",IF(Rel_2026[[#This Row],[Pontuação2]]&gt;=10,"Sim",IF(Rel_2026[[#This Row],[Pontuação2]]&gt;=5,"Próximo","Não")))</f>
        <v>Sim</v>
      </c>
      <c r="C329" t="str">
        <f>IFERROR(VLOOKUP(Rel_2026[[#This Row],[chave_loja]],Responsavel!A:B,2,FALSE),"EUCLIDES")</f>
        <v>ALEX SIQUEIRA</v>
      </c>
      <c r="D329" t="str">
        <f>LEFT(Rel_2026[[#This Row],[ag_pacb]],4)</f>
        <v>0726</v>
      </c>
      <c r="E329">
        <v>407090</v>
      </c>
      <c r="F329" t="s">
        <v>190</v>
      </c>
      <c r="G329" t="s">
        <v>191</v>
      </c>
      <c r="H329" s="1">
        <v>45653</v>
      </c>
      <c r="I329" t="s">
        <v>23</v>
      </c>
      <c r="J329" t="s">
        <v>192</v>
      </c>
      <c r="K329" s="1">
        <v>45584</v>
      </c>
      <c r="L329" s="1">
        <v>45755</v>
      </c>
      <c r="M329" t="s">
        <v>109</v>
      </c>
      <c r="N329" s="1">
        <v>46254</v>
      </c>
      <c r="O329">
        <v>1743</v>
      </c>
      <c r="P329">
        <v>4</v>
      </c>
      <c r="Q329">
        <v>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2</v>
      </c>
      <c r="AG329">
        <v>0</v>
      </c>
      <c r="AH329" t="s">
        <v>26</v>
      </c>
      <c r="AI329" t="s">
        <v>27</v>
      </c>
      <c r="AJ329" s="1"/>
      <c r="AK329" t="s">
        <v>28</v>
      </c>
      <c r="AL32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  <c r="AM329">
        <f>SUM(Rel_2026[[#This Row],[qtd_TrxContabil]:[VLR_EXP_SORTE]])</f>
        <v>1752</v>
      </c>
      <c r="AN32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</row>
    <row r="330" spans="1:40" x14ac:dyDescent="0.3">
      <c r="A330" t="str">
        <f>IF(Rel_2026[[#This Row],[Zero]]=0,"Zero",IF(Rel_2026[[#This Row],[Pontuação]]&gt;=10,"Sim",IF(Rel_2026[[#This Row],[Pontuação]]&gt;=5,"Próximo","Não")))</f>
        <v>Próximo</v>
      </c>
      <c r="B330" t="str">
        <f>IF(Rel_2026[[#This Row],[Zero]]=0,"Zero",IF(Rel_2026[[#This Row],[Pontuação2]]&gt;=10,"Sim",IF(Rel_2026[[#This Row],[Pontuação2]]&gt;=5,"Próximo","Não")))</f>
        <v>Próximo</v>
      </c>
      <c r="C330" t="str">
        <f>IFERROR(VLOOKUP(Rel_2026[[#This Row],[chave_loja]],Responsavel!A:B,2,FALSE),"EUCLIDES")</f>
        <v>ISMAEL</v>
      </c>
      <c r="D330" t="str">
        <f>LEFT(Rel_2026[[#This Row],[ag_pacb]],4)</f>
        <v>0704</v>
      </c>
      <c r="E330">
        <v>174787</v>
      </c>
      <c r="F330" t="s">
        <v>567</v>
      </c>
      <c r="G330" t="s">
        <v>568</v>
      </c>
      <c r="H330" s="1">
        <v>45443</v>
      </c>
      <c r="I330" t="s">
        <v>23</v>
      </c>
      <c r="J330" t="s">
        <v>75</v>
      </c>
      <c r="K330" s="1">
        <v>43543</v>
      </c>
      <c r="L330" s="1">
        <v>45699</v>
      </c>
      <c r="M330" t="s">
        <v>25</v>
      </c>
      <c r="N330" s="1">
        <v>46254</v>
      </c>
      <c r="O330">
        <v>203</v>
      </c>
      <c r="P330">
        <v>0</v>
      </c>
      <c r="Q330">
        <v>0</v>
      </c>
      <c r="R330">
        <v>0</v>
      </c>
      <c r="S330">
        <v>0</v>
      </c>
      <c r="T330">
        <v>500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 t="s">
        <v>26</v>
      </c>
      <c r="AI330" t="s">
        <v>27</v>
      </c>
      <c r="AJ330" s="1"/>
      <c r="AK330" t="s">
        <v>28</v>
      </c>
      <c r="AL33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</v>
      </c>
      <c r="AM330">
        <f>SUM(Rel_2026[[#This Row],[qtd_TrxContabil]:[VLR_EXP_SORTE]])</f>
        <v>703</v>
      </c>
      <c r="AN33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</v>
      </c>
    </row>
    <row r="331" spans="1:40" x14ac:dyDescent="0.3">
      <c r="A331" t="str">
        <f>IF(Rel_2026[[#This Row],[Zero]]=0,"Zero",IF(Rel_2026[[#This Row],[Pontuação]]&gt;=10,"Sim",IF(Rel_2026[[#This Row],[Pontuação]]&gt;=5,"Próximo","Não")))</f>
        <v>Não</v>
      </c>
      <c r="B331" t="str">
        <f>IF(Rel_2026[[#This Row],[Zero]]=0,"Zero",IF(Rel_2026[[#This Row],[Pontuação2]]&gt;=10,"Sim",IF(Rel_2026[[#This Row],[Pontuação2]]&gt;=5,"Próximo","Não")))</f>
        <v>Não</v>
      </c>
      <c r="C331" t="str">
        <f>IFERROR(VLOOKUP(Rel_2026[[#This Row],[chave_loja]],Responsavel!A:B,2,FALSE),"EUCLIDES")</f>
        <v>NYCOLLAS</v>
      </c>
      <c r="D331" t="str">
        <f>LEFT(Rel_2026[[#This Row],[ag_pacb]],4)</f>
        <v>0719</v>
      </c>
      <c r="E331">
        <v>204619</v>
      </c>
      <c r="F331" t="s">
        <v>310</v>
      </c>
      <c r="G331" t="s">
        <v>311</v>
      </c>
      <c r="H331" s="1">
        <v>44379</v>
      </c>
      <c r="I331" t="s">
        <v>23</v>
      </c>
      <c r="J331" t="s">
        <v>127</v>
      </c>
      <c r="K331" s="1">
        <v>44327</v>
      </c>
      <c r="L331" s="1">
        <v>45918</v>
      </c>
      <c r="M331" t="s">
        <v>32</v>
      </c>
      <c r="N331" s="1">
        <v>46254</v>
      </c>
      <c r="O331">
        <v>385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 t="s">
        <v>26</v>
      </c>
      <c r="AI331" t="s">
        <v>27</v>
      </c>
      <c r="AJ331" s="1"/>
      <c r="AK331" t="s">
        <v>28</v>
      </c>
      <c r="AL33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31">
        <f>SUM(Rel_2026[[#This Row],[qtd_TrxContabil]:[VLR_EXP_SORTE]])</f>
        <v>385</v>
      </c>
      <c r="AN33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32" spans="1:40" x14ac:dyDescent="0.3">
      <c r="A332" t="str">
        <f>IF(Rel_2026[[#This Row],[Zero]]=0,"Zero",IF(Rel_2026[[#This Row],[Pontuação]]&gt;=10,"Sim",IF(Rel_2026[[#This Row],[Pontuação]]&gt;=5,"Próximo","Não")))</f>
        <v>Próximo</v>
      </c>
      <c r="B332" t="str">
        <f>IF(Rel_2026[[#This Row],[Zero]]=0,"Zero",IF(Rel_2026[[#This Row],[Pontuação2]]&gt;=10,"Sim",IF(Rel_2026[[#This Row],[Pontuação2]]&gt;=5,"Próximo","Não")))</f>
        <v>Sim</v>
      </c>
      <c r="C332" t="str">
        <f>IFERROR(VLOOKUP(Rel_2026[[#This Row],[chave_loja]],Responsavel!A:B,2,FALSE),"EUCLIDES")</f>
        <v>JUNIOR</v>
      </c>
      <c r="D332" t="str">
        <f>LEFT(Rel_2026[[#This Row],[ag_pacb]],4)</f>
        <v>1351</v>
      </c>
      <c r="E332">
        <v>401157</v>
      </c>
      <c r="F332" t="s">
        <v>1434</v>
      </c>
      <c r="G332" t="s">
        <v>1435</v>
      </c>
      <c r="H332" s="1">
        <v>46246</v>
      </c>
      <c r="I332" t="s">
        <v>23</v>
      </c>
      <c r="J332" t="s">
        <v>993</v>
      </c>
      <c r="K332" s="1">
        <v>45329</v>
      </c>
      <c r="L332" s="1"/>
      <c r="M332" t="s">
        <v>32</v>
      </c>
      <c r="N332" s="1">
        <v>46254</v>
      </c>
      <c r="O332">
        <v>150</v>
      </c>
      <c r="P332">
        <v>1</v>
      </c>
      <c r="Q332">
        <v>1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 t="s">
        <v>26</v>
      </c>
      <c r="AI332" t="s">
        <v>27</v>
      </c>
      <c r="AJ332" s="1"/>
      <c r="AK332" t="s">
        <v>28</v>
      </c>
      <c r="AL33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332">
        <f>SUM(Rel_2026[[#This Row],[qtd_TrxContabil]:[VLR_EXP_SORTE]])</f>
        <v>154</v>
      </c>
      <c r="AN33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333" spans="1:40" x14ac:dyDescent="0.3">
      <c r="A333" t="str">
        <f>IF(Rel_2026[[#This Row],[Zero]]=0,"Zero",IF(Rel_2026[[#This Row],[Pontuação]]&gt;=10,"Sim",IF(Rel_2026[[#This Row],[Pontuação]]&gt;=5,"Próximo","Não")))</f>
        <v>Próximo</v>
      </c>
      <c r="B333" t="str">
        <f>IF(Rel_2026[[#This Row],[Zero]]=0,"Zero",IF(Rel_2026[[#This Row],[Pontuação2]]&gt;=10,"Sim",IF(Rel_2026[[#This Row],[Pontuação2]]&gt;=5,"Próximo","Não")))</f>
        <v>Sim</v>
      </c>
      <c r="C333" t="str">
        <f>IFERROR(VLOOKUP(Rel_2026[[#This Row],[chave_loja]],Responsavel!A:B,2,FALSE),"EUCLIDES")</f>
        <v>JACK</v>
      </c>
      <c r="D333" t="str">
        <f>LEFT(Rel_2026[[#This Row],[ag_pacb]],4)</f>
        <v>1522</v>
      </c>
      <c r="E333">
        <v>406886</v>
      </c>
      <c r="F333" t="s">
        <v>1085</v>
      </c>
      <c r="G333" t="s">
        <v>1086</v>
      </c>
      <c r="H333" s="1">
        <v>45583</v>
      </c>
      <c r="I333" t="s">
        <v>107</v>
      </c>
      <c r="J333" t="s">
        <v>858</v>
      </c>
      <c r="K333" s="1">
        <v>45577</v>
      </c>
      <c r="L333" s="1">
        <v>45588</v>
      </c>
      <c r="M333" t="s">
        <v>109</v>
      </c>
      <c r="N333" s="1">
        <v>46252</v>
      </c>
      <c r="O333">
        <v>82</v>
      </c>
      <c r="P333">
        <v>1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 t="s">
        <v>26</v>
      </c>
      <c r="AI333" t="s">
        <v>27</v>
      </c>
      <c r="AJ333" s="1"/>
      <c r="AK333" t="s">
        <v>28</v>
      </c>
      <c r="AL33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333">
        <f>SUM(Rel_2026[[#This Row],[qtd_TrxContabil]:[VLR_EXP_SORTE]])</f>
        <v>85</v>
      </c>
      <c r="AN33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334" spans="1:40" x14ac:dyDescent="0.3">
      <c r="A334" t="str">
        <f>IF(Rel_2026[[#This Row],[Zero]]=0,"Zero",IF(Rel_2026[[#This Row],[Pontuação]]&gt;=10,"Sim",IF(Rel_2026[[#This Row],[Pontuação]]&gt;=5,"Próximo","Não")))</f>
        <v>Não</v>
      </c>
      <c r="B334" t="str">
        <f>IF(Rel_2026[[#This Row],[Zero]]=0,"Zero",IF(Rel_2026[[#This Row],[Pontuação2]]&gt;=10,"Sim",IF(Rel_2026[[#This Row],[Pontuação2]]&gt;=5,"Próximo","Não")))</f>
        <v>Não</v>
      </c>
      <c r="C334" t="str">
        <f>IFERROR(VLOOKUP(Rel_2026[[#This Row],[chave_loja]],Responsavel!A:B,2,FALSE),"EUCLIDES")</f>
        <v>ROSSY</v>
      </c>
      <c r="D334" t="str">
        <f>LEFT(Rel_2026[[#This Row],[ag_pacb]],4)</f>
        <v>5798</v>
      </c>
      <c r="E334">
        <v>407432</v>
      </c>
      <c r="F334" t="s">
        <v>957</v>
      </c>
      <c r="G334" t="s">
        <v>958</v>
      </c>
      <c r="H334" s="1">
        <v>45608</v>
      </c>
      <c r="I334" t="s">
        <v>107</v>
      </c>
      <c r="J334" t="s">
        <v>832</v>
      </c>
      <c r="K334" s="1">
        <v>45596</v>
      </c>
      <c r="L334" s="1">
        <v>45621</v>
      </c>
      <c r="M334" t="s">
        <v>109</v>
      </c>
      <c r="N334" s="1">
        <v>46254</v>
      </c>
      <c r="O334">
        <v>313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 t="s">
        <v>26</v>
      </c>
      <c r="AI334" t="s">
        <v>27</v>
      </c>
      <c r="AJ334" s="1"/>
      <c r="AK334" t="s">
        <v>28</v>
      </c>
      <c r="AL33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34">
        <f>SUM(Rel_2026[[#This Row],[qtd_TrxContabil]:[VLR_EXP_SORTE]])</f>
        <v>313</v>
      </c>
      <c r="AN33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35" spans="1:40" x14ac:dyDescent="0.3">
      <c r="A335" t="str">
        <f>IF(Rel_2026[[#This Row],[Zero]]=0,"Zero",IF(Rel_2026[[#This Row],[Pontuação]]&gt;=10,"Sim",IF(Rel_2026[[#This Row],[Pontuação]]&gt;=5,"Próximo","Não")))</f>
        <v>Não</v>
      </c>
      <c r="B335" t="str">
        <f>IF(Rel_2026[[#This Row],[Zero]]=0,"Zero",IF(Rel_2026[[#This Row],[Pontuação2]]&gt;=10,"Sim",IF(Rel_2026[[#This Row],[Pontuação2]]&gt;=5,"Próximo","Não")))</f>
        <v>Não</v>
      </c>
      <c r="C335" t="str">
        <f>IFERROR(VLOOKUP(Rel_2026[[#This Row],[chave_loja]],Responsavel!A:B,2,FALSE),"EUCLIDES")</f>
        <v>JUNIOR</v>
      </c>
      <c r="D335" t="str">
        <f>LEFT(Rel_2026[[#This Row],[ag_pacb]],4)</f>
        <v>5367</v>
      </c>
      <c r="E335">
        <v>157023</v>
      </c>
      <c r="F335" t="s">
        <v>514</v>
      </c>
      <c r="G335" t="s">
        <v>515</v>
      </c>
      <c r="H335" s="1">
        <v>45166</v>
      </c>
      <c r="I335" t="s">
        <v>23</v>
      </c>
      <c r="J335" t="s">
        <v>31</v>
      </c>
      <c r="K335" s="1">
        <v>43381</v>
      </c>
      <c r="L335" s="1">
        <v>44635</v>
      </c>
      <c r="M335" t="s">
        <v>32</v>
      </c>
      <c r="N335" s="1">
        <v>46254</v>
      </c>
      <c r="O335">
        <v>735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 t="s">
        <v>38</v>
      </c>
      <c r="AI335" t="s">
        <v>27</v>
      </c>
      <c r="AJ335" s="1"/>
      <c r="AK335" t="s">
        <v>28</v>
      </c>
      <c r="AL33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35">
        <f>SUM(Rel_2026[[#This Row],[qtd_TrxContabil]:[VLR_EXP_SORTE]])</f>
        <v>735</v>
      </c>
      <c r="AN33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36" spans="1:40" x14ac:dyDescent="0.3">
      <c r="A336" t="str">
        <f>IF(Rel_2026[[#This Row],[Zero]]=0,"Zero",IF(Rel_2026[[#This Row],[Pontuação]]&gt;=10,"Sim",IF(Rel_2026[[#This Row],[Pontuação]]&gt;=5,"Próximo","Não")))</f>
        <v>Sim</v>
      </c>
      <c r="B336" t="str">
        <f>IF(Rel_2026[[#This Row],[Zero]]=0,"Zero",IF(Rel_2026[[#This Row],[Pontuação2]]&gt;=10,"Sim",IF(Rel_2026[[#This Row],[Pontuação2]]&gt;=5,"Próximo","Não")))</f>
        <v>Sim</v>
      </c>
      <c r="C336" t="str">
        <f>IFERROR(VLOOKUP(Rel_2026[[#This Row],[chave_loja]],Responsavel!A:B,2,FALSE),"EUCLIDES")</f>
        <v>JUNIOR</v>
      </c>
      <c r="D336" t="str">
        <f>LEFT(Rel_2026[[#This Row],[ag_pacb]],4)</f>
        <v>0684</v>
      </c>
      <c r="E336">
        <v>411103</v>
      </c>
      <c r="F336" t="s">
        <v>1201</v>
      </c>
      <c r="G336" t="s">
        <v>1202</v>
      </c>
      <c r="H336" s="1">
        <v>45758</v>
      </c>
      <c r="I336" t="s">
        <v>23</v>
      </c>
      <c r="J336" t="s">
        <v>133</v>
      </c>
      <c r="K336" s="1">
        <v>45751</v>
      </c>
      <c r="L336" s="1">
        <v>46244</v>
      </c>
      <c r="M336" t="s">
        <v>32</v>
      </c>
      <c r="N336" s="1">
        <v>46254</v>
      </c>
      <c r="O336">
        <v>664</v>
      </c>
      <c r="P336">
        <v>2</v>
      </c>
      <c r="Q336">
        <v>2</v>
      </c>
      <c r="R336">
        <v>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2</v>
      </c>
      <c r="AG336">
        <v>0</v>
      </c>
      <c r="AH336" t="s">
        <v>26</v>
      </c>
      <c r="AI336" t="s">
        <v>27</v>
      </c>
      <c r="AJ336" s="1"/>
      <c r="AK336" t="s">
        <v>28</v>
      </c>
      <c r="AL33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336">
        <f>SUM(Rel_2026[[#This Row],[qtd_TrxContabil]:[VLR_EXP_SORTE]])</f>
        <v>672</v>
      </c>
      <c r="AN33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337" spans="1:40" x14ac:dyDescent="0.3">
      <c r="A337" t="str">
        <f>IF(Rel_2026[[#This Row],[Zero]]=0,"Zero",IF(Rel_2026[[#This Row],[Pontuação]]&gt;=10,"Sim",IF(Rel_2026[[#This Row],[Pontuação]]&gt;=5,"Próximo","Não")))</f>
        <v>Não</v>
      </c>
      <c r="B337" t="str">
        <f>IF(Rel_2026[[#This Row],[Zero]]=0,"Zero",IF(Rel_2026[[#This Row],[Pontuação2]]&gt;=10,"Sim",IF(Rel_2026[[#This Row],[Pontuação2]]&gt;=5,"Próximo","Não")))</f>
        <v>Próximo</v>
      </c>
      <c r="C337" t="str">
        <f>IFERROR(VLOOKUP(Rel_2026[[#This Row],[chave_loja]],Responsavel!A:B,2,FALSE),"EUCLIDES")</f>
        <v>JOSELITO</v>
      </c>
      <c r="D337" t="str">
        <f>LEFT(Rel_2026[[#This Row],[ag_pacb]],4)</f>
        <v>0685</v>
      </c>
      <c r="E337">
        <v>423251</v>
      </c>
      <c r="F337" t="s">
        <v>1193</v>
      </c>
      <c r="G337" t="s">
        <v>1194</v>
      </c>
      <c r="H337" s="1">
        <v>46118</v>
      </c>
      <c r="I337" t="s">
        <v>23</v>
      </c>
      <c r="J337" t="s">
        <v>64</v>
      </c>
      <c r="K337" s="1">
        <v>46111</v>
      </c>
      <c r="L337" s="1">
        <v>46225</v>
      </c>
      <c r="M337" t="s">
        <v>25</v>
      </c>
      <c r="N337" s="1">
        <v>46254</v>
      </c>
      <c r="O337">
        <v>873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 t="s">
        <v>26</v>
      </c>
      <c r="AI337" t="s">
        <v>27</v>
      </c>
      <c r="AJ337" s="1"/>
      <c r="AK337" t="s">
        <v>28</v>
      </c>
      <c r="AL33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337">
        <f>SUM(Rel_2026[[#This Row],[qtd_TrxContabil]:[VLR_EXP_SORTE]])</f>
        <v>876</v>
      </c>
      <c r="AN33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338" spans="1:40" x14ac:dyDescent="0.3">
      <c r="A338" t="str">
        <f>IF(Rel_2026[[#This Row],[Zero]]=0,"Zero",IF(Rel_2026[[#This Row],[Pontuação]]&gt;=10,"Sim",IF(Rel_2026[[#This Row],[Pontuação]]&gt;=5,"Próximo","Não")))</f>
        <v>Sim</v>
      </c>
      <c r="B338" t="str">
        <f>IF(Rel_2026[[#This Row],[Zero]]=0,"Zero",IF(Rel_2026[[#This Row],[Pontuação2]]&gt;=10,"Sim",IF(Rel_2026[[#This Row],[Pontuação2]]&gt;=5,"Próximo","Não")))</f>
        <v>Sim</v>
      </c>
      <c r="C338" t="str">
        <f>IFERROR(VLOOKUP(Rel_2026[[#This Row],[chave_loja]],Responsavel!A:B,2,FALSE),"EUCLIDES")</f>
        <v>ROSSY</v>
      </c>
      <c r="D338" t="str">
        <f>LEFT(Rel_2026[[#This Row],[ag_pacb]],4)</f>
        <v>5792</v>
      </c>
      <c r="E338">
        <v>88695</v>
      </c>
      <c r="F338" t="s">
        <v>853</v>
      </c>
      <c r="G338" t="s">
        <v>854</v>
      </c>
      <c r="H338" s="1">
        <v>45161</v>
      </c>
      <c r="I338" t="s">
        <v>107</v>
      </c>
      <c r="J338" t="s">
        <v>855</v>
      </c>
      <c r="K338" s="1">
        <v>43927</v>
      </c>
      <c r="L338" s="1">
        <v>45531</v>
      </c>
      <c r="M338" t="s">
        <v>109</v>
      </c>
      <c r="N338" s="1">
        <v>46254</v>
      </c>
      <c r="O338">
        <v>591</v>
      </c>
      <c r="P338">
        <v>2</v>
      </c>
      <c r="Q338">
        <v>2</v>
      </c>
      <c r="R338">
        <v>0</v>
      </c>
      <c r="S338">
        <v>0</v>
      </c>
      <c r="T338">
        <v>3250</v>
      </c>
      <c r="U338">
        <v>27196</v>
      </c>
      <c r="V338">
        <v>27196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 t="s">
        <v>38</v>
      </c>
      <c r="AI338" t="s">
        <v>27</v>
      </c>
      <c r="AJ338" s="1"/>
      <c r="AK338" t="s">
        <v>28</v>
      </c>
      <c r="AL33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74</v>
      </c>
      <c r="AM338">
        <f>SUM(Rel_2026[[#This Row],[qtd_TrxContabil]:[VLR_EXP_SORTE]])</f>
        <v>58237</v>
      </c>
      <c r="AN33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74</v>
      </c>
    </row>
    <row r="339" spans="1:40" x14ac:dyDescent="0.3">
      <c r="A339" t="str">
        <f>IF(Rel_2026[[#This Row],[Zero]]=0,"Zero",IF(Rel_2026[[#This Row],[Pontuação]]&gt;=10,"Sim",IF(Rel_2026[[#This Row],[Pontuação]]&gt;=5,"Próximo","Não")))</f>
        <v>Sim</v>
      </c>
      <c r="B339" t="str">
        <f>IF(Rel_2026[[#This Row],[Zero]]=0,"Zero",IF(Rel_2026[[#This Row],[Pontuação2]]&gt;=10,"Sim",IF(Rel_2026[[#This Row],[Pontuação2]]&gt;=5,"Próximo","Não")))</f>
        <v>Sim</v>
      </c>
      <c r="C339" t="str">
        <f>IFERROR(VLOOKUP(Rel_2026[[#This Row],[chave_loja]],Responsavel!A:B,2,FALSE),"EUCLIDES")</f>
        <v>PAULO</v>
      </c>
      <c r="D339" t="str">
        <f>LEFT(Rel_2026[[#This Row],[ag_pacb]],4)</f>
        <v>0937</v>
      </c>
      <c r="E339">
        <v>173912</v>
      </c>
      <c r="F339" t="s">
        <v>434</v>
      </c>
      <c r="G339" t="s">
        <v>1137</v>
      </c>
      <c r="H339" s="1">
        <v>44415</v>
      </c>
      <c r="I339" t="s">
        <v>107</v>
      </c>
      <c r="J339" t="s">
        <v>1138</v>
      </c>
      <c r="K339" s="1">
        <v>45306</v>
      </c>
      <c r="L339" s="1">
        <v>45434</v>
      </c>
      <c r="M339" t="s">
        <v>109</v>
      </c>
      <c r="N339" s="1">
        <v>46254</v>
      </c>
      <c r="O339">
        <v>873</v>
      </c>
      <c r="P339">
        <v>2</v>
      </c>
      <c r="Q339">
        <v>2</v>
      </c>
      <c r="R339">
        <v>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2</v>
      </c>
      <c r="AG339">
        <v>0</v>
      </c>
      <c r="AH339" t="s">
        <v>38</v>
      </c>
      <c r="AI339" t="s">
        <v>27</v>
      </c>
      <c r="AJ339" s="1"/>
      <c r="AK339" t="s">
        <v>28</v>
      </c>
      <c r="AL33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339">
        <f>SUM(Rel_2026[[#This Row],[qtd_TrxContabil]:[VLR_EXP_SORTE]])</f>
        <v>881</v>
      </c>
      <c r="AN33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340" spans="1:40" x14ac:dyDescent="0.3">
      <c r="A340" t="str">
        <f>IF(Rel_2026[[#This Row],[Zero]]=0,"Zero",IF(Rel_2026[[#This Row],[Pontuação]]&gt;=10,"Sim",IF(Rel_2026[[#This Row],[Pontuação]]&gt;=5,"Próximo","Não")))</f>
        <v>Não</v>
      </c>
      <c r="B340" t="str">
        <f>IF(Rel_2026[[#This Row],[Zero]]=0,"Zero",IF(Rel_2026[[#This Row],[Pontuação2]]&gt;=10,"Sim",IF(Rel_2026[[#This Row],[Pontuação2]]&gt;=5,"Próximo","Não")))</f>
        <v>Não</v>
      </c>
      <c r="C340" t="str">
        <f>IFERROR(VLOOKUP(Rel_2026[[#This Row],[chave_loja]],Responsavel!A:B,2,FALSE),"EUCLIDES")</f>
        <v>ROSSY</v>
      </c>
      <c r="D340" t="str">
        <f>LEFT(Rel_2026[[#This Row],[ag_pacb]],4)</f>
        <v>5792</v>
      </c>
      <c r="E340">
        <v>423900</v>
      </c>
      <c r="F340" t="s">
        <v>1250</v>
      </c>
      <c r="G340" t="s">
        <v>1251</v>
      </c>
      <c r="H340" s="1">
        <v>46147</v>
      </c>
      <c r="I340" t="s">
        <v>107</v>
      </c>
      <c r="J340" t="s">
        <v>855</v>
      </c>
      <c r="K340" s="1">
        <v>46141</v>
      </c>
      <c r="L340" s="1">
        <v>46154</v>
      </c>
      <c r="M340" t="s">
        <v>109</v>
      </c>
      <c r="N340" s="1">
        <v>46254</v>
      </c>
      <c r="O340">
        <v>193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 t="s">
        <v>38</v>
      </c>
      <c r="AI340" t="s">
        <v>27</v>
      </c>
      <c r="AJ340" s="1"/>
      <c r="AK340" t="s">
        <v>28</v>
      </c>
      <c r="AL34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40">
        <f>SUM(Rel_2026[[#This Row],[qtd_TrxContabil]:[VLR_EXP_SORTE]])</f>
        <v>193</v>
      </c>
      <c r="AN34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41" spans="1:40" x14ac:dyDescent="0.3">
      <c r="A341" t="str">
        <f>IF(Rel_2026[[#This Row],[Zero]]=0,"Zero",IF(Rel_2026[[#This Row],[Pontuação]]&gt;=10,"Sim",IF(Rel_2026[[#This Row],[Pontuação]]&gt;=5,"Próximo","Não")))</f>
        <v>Não</v>
      </c>
      <c r="B341" t="str">
        <f>IF(Rel_2026[[#This Row],[Zero]]=0,"Zero",IF(Rel_2026[[#This Row],[Pontuação2]]&gt;=10,"Sim",IF(Rel_2026[[#This Row],[Pontuação2]]&gt;=5,"Próximo","Não")))</f>
        <v>Não</v>
      </c>
      <c r="C341" t="str">
        <f>IFERROR(VLOOKUP(Rel_2026[[#This Row],[chave_loja]],Responsavel!A:B,2,FALSE),"EUCLIDES")</f>
        <v>ISMAEL</v>
      </c>
      <c r="D341" t="str">
        <f>LEFT(Rel_2026[[#This Row],[ag_pacb]],4)</f>
        <v>1302</v>
      </c>
      <c r="E341">
        <v>61163</v>
      </c>
      <c r="F341" t="s">
        <v>218</v>
      </c>
      <c r="G341" t="s">
        <v>219</v>
      </c>
      <c r="H341" s="1">
        <v>44525</v>
      </c>
      <c r="I341" t="s">
        <v>23</v>
      </c>
      <c r="J341" t="s">
        <v>45</v>
      </c>
      <c r="K341" s="1">
        <v>42201</v>
      </c>
      <c r="L341" s="1">
        <v>46196</v>
      </c>
      <c r="M341" t="s">
        <v>32</v>
      </c>
      <c r="N341" s="1">
        <v>46254</v>
      </c>
      <c r="O341">
        <v>646</v>
      </c>
      <c r="P341">
        <v>0</v>
      </c>
      <c r="Q341">
        <v>0</v>
      </c>
      <c r="R341">
        <v>0</v>
      </c>
      <c r="S341">
        <v>0</v>
      </c>
      <c r="T341">
        <v>400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 t="s">
        <v>26</v>
      </c>
      <c r="AI341" t="s">
        <v>27</v>
      </c>
      <c r="AJ341" s="1"/>
      <c r="AK341" t="s">
        <v>28</v>
      </c>
      <c r="AL34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</v>
      </c>
      <c r="AM341">
        <f>SUM(Rel_2026[[#This Row],[qtd_TrxContabil]:[VLR_EXP_SORTE]])</f>
        <v>1046</v>
      </c>
      <c r="AN34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</v>
      </c>
    </row>
    <row r="342" spans="1:40" x14ac:dyDescent="0.3">
      <c r="A342" t="str">
        <f>IF(Rel_2026[[#This Row],[Zero]]=0,"Zero",IF(Rel_2026[[#This Row],[Pontuação]]&gt;=10,"Sim",IF(Rel_2026[[#This Row],[Pontuação]]&gt;=5,"Próximo","Não")))</f>
        <v>Não</v>
      </c>
      <c r="B342" t="str">
        <f>IF(Rel_2026[[#This Row],[Zero]]=0,"Zero",IF(Rel_2026[[#This Row],[Pontuação2]]&gt;=10,"Sim",IF(Rel_2026[[#This Row],[Pontuação2]]&gt;=5,"Próximo","Não")))</f>
        <v>Não</v>
      </c>
      <c r="C342" t="str">
        <f>IFERROR(VLOOKUP(Rel_2026[[#This Row],[chave_loja]],Responsavel!A:B,2,FALSE),"EUCLIDES")</f>
        <v>ROSSY</v>
      </c>
      <c r="D342" t="str">
        <f>LEFT(Rel_2026[[#This Row],[ag_pacb]],4)</f>
        <v>3848</v>
      </c>
      <c r="E342">
        <v>231564</v>
      </c>
      <c r="F342" t="s">
        <v>933</v>
      </c>
      <c r="G342" t="s">
        <v>1231</v>
      </c>
      <c r="H342" s="1">
        <v>44651</v>
      </c>
      <c r="I342" t="s">
        <v>107</v>
      </c>
      <c r="J342" t="s">
        <v>818</v>
      </c>
      <c r="K342" s="1">
        <v>45306</v>
      </c>
      <c r="L342" s="1">
        <v>44699</v>
      </c>
      <c r="M342" t="s">
        <v>109</v>
      </c>
      <c r="N342" s="1">
        <v>46254</v>
      </c>
      <c r="O342">
        <v>342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 t="s">
        <v>38</v>
      </c>
      <c r="AI342" t="s">
        <v>27</v>
      </c>
      <c r="AJ342" s="1"/>
      <c r="AK342" t="s">
        <v>28</v>
      </c>
      <c r="AL34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42">
        <f>SUM(Rel_2026[[#This Row],[qtd_TrxContabil]:[VLR_EXP_SORTE]])</f>
        <v>342</v>
      </c>
      <c r="AN34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43" spans="1:40" x14ac:dyDescent="0.3">
      <c r="A343" t="str">
        <f>IF(Rel_2026[[#This Row],[Zero]]=0,"Zero",IF(Rel_2026[[#This Row],[Pontuação]]&gt;=10,"Sim",IF(Rel_2026[[#This Row],[Pontuação]]&gt;=5,"Próximo","Não")))</f>
        <v>Zero</v>
      </c>
      <c r="B343" t="str">
        <f>IF(Rel_2026[[#This Row],[Zero]]=0,"Zero",IF(Rel_2026[[#This Row],[Pontuação2]]&gt;=10,"Sim",IF(Rel_2026[[#This Row],[Pontuação2]]&gt;=5,"Próximo","Não")))</f>
        <v>Zero</v>
      </c>
      <c r="C343" t="str">
        <f>IFERROR(VLOOKUP(Rel_2026[[#This Row],[chave_loja]],Responsavel!A:B,2,FALSE),"EUCLIDES")</f>
        <v>NYCOLLAS</v>
      </c>
      <c r="D343" t="str">
        <f>LEFT(Rel_2026[[#This Row],[ag_pacb]],4)</f>
        <v>0719</v>
      </c>
      <c r="E343">
        <v>248938</v>
      </c>
      <c r="F343" t="s">
        <v>472</v>
      </c>
      <c r="G343" t="s">
        <v>473</v>
      </c>
      <c r="H343" s="1">
        <v>45105</v>
      </c>
      <c r="I343" t="s">
        <v>23</v>
      </c>
      <c r="J343" t="s">
        <v>1215</v>
      </c>
      <c r="K343" s="1">
        <v>45306</v>
      </c>
      <c r="L343" s="1">
        <v>45124</v>
      </c>
      <c r="M343" t="s">
        <v>32</v>
      </c>
      <c r="N343" s="1">
        <v>46169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 t="s">
        <v>26</v>
      </c>
      <c r="AI343" t="s">
        <v>27</v>
      </c>
      <c r="AJ343" s="1"/>
      <c r="AK343" t="s">
        <v>28</v>
      </c>
      <c r="AL34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43">
        <f>SUM(Rel_2026[[#This Row],[qtd_TrxContabil]:[VLR_EXP_SORTE]])</f>
        <v>0</v>
      </c>
      <c r="AN34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44" spans="1:40" x14ac:dyDescent="0.3">
      <c r="A344" t="str">
        <f>IF(Rel_2026[[#This Row],[Zero]]=0,"Zero",IF(Rel_2026[[#This Row],[Pontuação]]&gt;=10,"Sim",IF(Rel_2026[[#This Row],[Pontuação]]&gt;=5,"Próximo","Não")))</f>
        <v>Não</v>
      </c>
      <c r="B344" t="str">
        <f>IF(Rel_2026[[#This Row],[Zero]]=0,"Zero",IF(Rel_2026[[#This Row],[Pontuação2]]&gt;=10,"Sim",IF(Rel_2026[[#This Row],[Pontuação2]]&gt;=5,"Próximo","Não")))</f>
        <v>Não</v>
      </c>
      <c r="C344" t="str">
        <f>IFERROR(VLOOKUP(Rel_2026[[#This Row],[chave_loja]],Responsavel!A:B,2,FALSE),"EUCLIDES")</f>
        <v>DARIO</v>
      </c>
      <c r="D344" t="str">
        <f>LEFT(Rel_2026[[#This Row],[ag_pacb]],4)</f>
        <v>0703</v>
      </c>
      <c r="E344">
        <v>418787</v>
      </c>
      <c r="F344" t="s">
        <v>722</v>
      </c>
      <c r="G344" t="s">
        <v>723</v>
      </c>
      <c r="H344" s="1">
        <v>45952</v>
      </c>
      <c r="I344" t="s">
        <v>23</v>
      </c>
      <c r="J344" t="s">
        <v>389</v>
      </c>
      <c r="K344" s="1">
        <v>45938</v>
      </c>
      <c r="L344" s="1">
        <v>45957</v>
      </c>
      <c r="M344" t="s">
        <v>25</v>
      </c>
      <c r="N344" s="1">
        <v>46254</v>
      </c>
      <c r="O344">
        <v>233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 t="s">
        <v>26</v>
      </c>
      <c r="AI344" t="s">
        <v>27</v>
      </c>
      <c r="AJ344" s="1"/>
      <c r="AK344" t="s">
        <v>28</v>
      </c>
      <c r="AL34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44">
        <f>SUM(Rel_2026[[#This Row],[qtd_TrxContabil]:[VLR_EXP_SORTE]])</f>
        <v>233</v>
      </c>
      <c r="AN34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45" spans="1:40" x14ac:dyDescent="0.3">
      <c r="A345" t="str">
        <f>IF(Rel_2026[[#This Row],[Zero]]=0,"Zero",IF(Rel_2026[[#This Row],[Pontuação]]&gt;=10,"Sim",IF(Rel_2026[[#This Row],[Pontuação]]&gt;=5,"Próximo","Não")))</f>
        <v>Sim</v>
      </c>
      <c r="B345" t="str">
        <f>IF(Rel_2026[[#This Row],[Zero]]=0,"Zero",IF(Rel_2026[[#This Row],[Pontuação2]]&gt;=10,"Sim",IF(Rel_2026[[#This Row],[Pontuação2]]&gt;=5,"Próximo","Não")))</f>
        <v>Sim</v>
      </c>
      <c r="C345" t="str">
        <f>IFERROR(VLOOKUP(Rel_2026[[#This Row],[chave_loja]],Responsavel!A:B,2,FALSE),"EUCLIDES")</f>
        <v>DARIO</v>
      </c>
      <c r="D345" t="str">
        <f>LEFT(Rel_2026[[#This Row],[ag_pacb]],4)</f>
        <v>0696</v>
      </c>
      <c r="E345">
        <v>148364</v>
      </c>
      <c r="F345" t="s">
        <v>372</v>
      </c>
      <c r="G345" t="s">
        <v>373</v>
      </c>
      <c r="H345" s="1">
        <v>44099</v>
      </c>
      <c r="I345" t="s">
        <v>23</v>
      </c>
      <c r="J345" t="s">
        <v>374</v>
      </c>
      <c r="K345" s="1">
        <v>42613</v>
      </c>
      <c r="L345" s="1">
        <v>44509</v>
      </c>
      <c r="M345" t="s">
        <v>25</v>
      </c>
      <c r="N345" s="1">
        <v>46254</v>
      </c>
      <c r="O345">
        <v>1621</v>
      </c>
      <c r="P345">
        <v>1</v>
      </c>
      <c r="Q345">
        <v>1</v>
      </c>
      <c r="R345">
        <v>0</v>
      </c>
      <c r="S345">
        <v>0</v>
      </c>
      <c r="T345">
        <v>1050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 t="s">
        <v>38</v>
      </c>
      <c r="AI345" t="s">
        <v>27</v>
      </c>
      <c r="AJ345" s="1"/>
      <c r="AK345" t="s">
        <v>28</v>
      </c>
      <c r="AL34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  <c r="AM345">
        <f>SUM(Rel_2026[[#This Row],[qtd_TrxContabil]:[VLR_EXP_SORTE]])</f>
        <v>2673</v>
      </c>
      <c r="AN34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</row>
    <row r="346" spans="1:40" x14ac:dyDescent="0.3">
      <c r="A346" t="str">
        <f>IF(Rel_2026[[#This Row],[Zero]]=0,"Zero",IF(Rel_2026[[#This Row],[Pontuação]]&gt;=10,"Sim",IF(Rel_2026[[#This Row],[Pontuação]]&gt;=5,"Próximo","Não")))</f>
        <v>Sim</v>
      </c>
      <c r="B346" t="str">
        <f>IF(Rel_2026[[#This Row],[Zero]]=0,"Zero",IF(Rel_2026[[#This Row],[Pontuação2]]&gt;=10,"Sim",IF(Rel_2026[[#This Row],[Pontuação2]]&gt;=5,"Próximo","Não")))</f>
        <v>Sim</v>
      </c>
      <c r="C346" t="str">
        <f>IFERROR(VLOOKUP(Rel_2026[[#This Row],[chave_loja]],Responsavel!A:B,2,FALSE),"EUCLIDES")</f>
        <v>GIL</v>
      </c>
      <c r="D346" t="str">
        <f>LEFT(Rel_2026[[#This Row],[ag_pacb]],4)</f>
        <v>0715</v>
      </c>
      <c r="E346">
        <v>216863</v>
      </c>
      <c r="F346" t="s">
        <v>617</v>
      </c>
      <c r="G346" t="s">
        <v>618</v>
      </c>
      <c r="H346" s="1">
        <v>45763</v>
      </c>
      <c r="I346" t="s">
        <v>23</v>
      </c>
      <c r="J346" t="s">
        <v>141</v>
      </c>
      <c r="K346" s="1">
        <v>44830</v>
      </c>
      <c r="L346" s="1">
        <v>46239</v>
      </c>
      <c r="M346" t="s">
        <v>32</v>
      </c>
      <c r="N346" s="1">
        <v>46254</v>
      </c>
      <c r="O346">
        <v>658</v>
      </c>
      <c r="P346">
        <v>5</v>
      </c>
      <c r="Q346">
        <v>4</v>
      </c>
      <c r="R346">
        <v>4</v>
      </c>
      <c r="S346">
        <v>0</v>
      </c>
      <c r="T346">
        <v>1170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 t="s">
        <v>26</v>
      </c>
      <c r="AI346" t="s">
        <v>27</v>
      </c>
      <c r="AJ346" s="1"/>
      <c r="AK346" t="s">
        <v>28</v>
      </c>
      <c r="AL34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43</v>
      </c>
      <c r="AM346">
        <f>SUM(Rel_2026[[#This Row],[qtd_TrxContabil]:[VLR_EXP_SORTE]])</f>
        <v>1841</v>
      </c>
      <c r="AN34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55</v>
      </c>
    </row>
    <row r="347" spans="1:40" x14ac:dyDescent="0.3">
      <c r="A347" t="str">
        <f>IF(Rel_2026[[#This Row],[Zero]]=0,"Zero",IF(Rel_2026[[#This Row],[Pontuação]]&gt;=10,"Sim",IF(Rel_2026[[#This Row],[Pontuação]]&gt;=5,"Próximo","Não")))</f>
        <v>Sim</v>
      </c>
      <c r="B347" t="str">
        <f>IF(Rel_2026[[#This Row],[Zero]]=0,"Zero",IF(Rel_2026[[#This Row],[Pontuação2]]&gt;=10,"Sim",IF(Rel_2026[[#This Row],[Pontuação2]]&gt;=5,"Próximo","Não")))</f>
        <v>Sim</v>
      </c>
      <c r="C347" t="str">
        <f>IFERROR(VLOOKUP(Rel_2026[[#This Row],[chave_loja]],Responsavel!A:B,2,FALSE),"EUCLIDES")</f>
        <v>JUNIOR</v>
      </c>
      <c r="D347" t="str">
        <f>LEFT(Rel_2026[[#This Row],[ag_pacb]],4)</f>
        <v>5303</v>
      </c>
      <c r="E347">
        <v>176897</v>
      </c>
      <c r="F347" t="s">
        <v>243</v>
      </c>
      <c r="G347" t="s">
        <v>244</v>
      </c>
      <c r="H347" s="1">
        <v>45169</v>
      </c>
      <c r="I347" t="s">
        <v>23</v>
      </c>
      <c r="J347" t="s">
        <v>239</v>
      </c>
      <c r="K347" s="1">
        <v>43607</v>
      </c>
      <c r="L347" s="1">
        <v>46028</v>
      </c>
      <c r="M347" t="s">
        <v>32</v>
      </c>
      <c r="N347" s="1">
        <v>46254</v>
      </c>
      <c r="O347">
        <v>1279</v>
      </c>
      <c r="P347">
        <v>16</v>
      </c>
      <c r="Q347">
        <v>13</v>
      </c>
      <c r="R347">
        <v>14</v>
      </c>
      <c r="S347">
        <v>5</v>
      </c>
      <c r="T347">
        <v>2000</v>
      </c>
      <c r="U347">
        <v>4000</v>
      </c>
      <c r="V347">
        <v>4000</v>
      </c>
      <c r="W347">
        <v>0</v>
      </c>
      <c r="X347">
        <v>0</v>
      </c>
      <c r="Y347">
        <v>4250</v>
      </c>
      <c r="Z347">
        <v>0</v>
      </c>
      <c r="AA347">
        <v>8</v>
      </c>
      <c r="AB347">
        <v>6</v>
      </c>
      <c r="AC347">
        <v>1</v>
      </c>
      <c r="AD347">
        <v>0</v>
      </c>
      <c r="AE347">
        <v>2</v>
      </c>
      <c r="AF347">
        <v>20</v>
      </c>
      <c r="AG347">
        <v>40</v>
      </c>
      <c r="AH347" t="s">
        <v>26</v>
      </c>
      <c r="AI347" t="s">
        <v>27</v>
      </c>
      <c r="AJ347" s="1"/>
      <c r="AK347" t="s">
        <v>28</v>
      </c>
      <c r="AL34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145</v>
      </c>
      <c r="AM347">
        <f>SUM(Rel_2026[[#This Row],[qtd_TrxContabil]:[VLR_EXP_SORTE]])</f>
        <v>15654</v>
      </c>
      <c r="AN34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187</v>
      </c>
    </row>
    <row r="348" spans="1:40" x14ac:dyDescent="0.3">
      <c r="A348" t="str">
        <f>IF(Rel_2026[[#This Row],[Zero]]=0,"Zero",IF(Rel_2026[[#This Row],[Pontuação]]&gt;=10,"Sim",IF(Rel_2026[[#This Row],[Pontuação]]&gt;=5,"Próximo","Não")))</f>
        <v>Não</v>
      </c>
      <c r="B348" t="str">
        <f>IF(Rel_2026[[#This Row],[Zero]]=0,"Zero",IF(Rel_2026[[#This Row],[Pontuação2]]&gt;=10,"Sim",IF(Rel_2026[[#This Row],[Pontuação2]]&gt;=5,"Próximo","Não")))</f>
        <v>Não</v>
      </c>
      <c r="C348" t="str">
        <f>IFERROR(VLOOKUP(Rel_2026[[#This Row],[chave_loja]],Responsavel!A:B,2,FALSE),"EUCLIDES")</f>
        <v>GIL</v>
      </c>
      <c r="D348" t="str">
        <f>LEFT(Rel_2026[[#This Row],[ag_pacb]],4)</f>
        <v>0715</v>
      </c>
      <c r="E348">
        <v>418791</v>
      </c>
      <c r="F348" t="s">
        <v>724</v>
      </c>
      <c r="G348" t="s">
        <v>725</v>
      </c>
      <c r="H348" s="1">
        <v>45951</v>
      </c>
      <c r="I348" t="s">
        <v>23</v>
      </c>
      <c r="J348" t="s">
        <v>202</v>
      </c>
      <c r="K348" s="1">
        <v>45938</v>
      </c>
      <c r="L348" s="1">
        <v>45957</v>
      </c>
      <c r="M348" t="s">
        <v>32</v>
      </c>
      <c r="N348" s="1">
        <v>46254</v>
      </c>
      <c r="O348">
        <v>1016</v>
      </c>
      <c r="P348">
        <v>0</v>
      </c>
      <c r="Q348">
        <v>0</v>
      </c>
      <c r="R348">
        <v>0</v>
      </c>
      <c r="S348">
        <v>0</v>
      </c>
      <c r="T348">
        <v>300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 t="s">
        <v>26</v>
      </c>
      <c r="AI348" t="s">
        <v>27</v>
      </c>
      <c r="AJ348" s="1"/>
      <c r="AK348" t="s">
        <v>28</v>
      </c>
      <c r="AL34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348">
        <f>SUM(Rel_2026[[#This Row],[qtd_TrxContabil]:[VLR_EXP_SORTE]])</f>
        <v>1316</v>
      </c>
      <c r="AN34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</row>
    <row r="349" spans="1:40" x14ac:dyDescent="0.3">
      <c r="A349" t="str">
        <f>IF(Rel_2026[[#This Row],[Zero]]=0,"Zero",IF(Rel_2026[[#This Row],[Pontuação]]&gt;=10,"Sim",IF(Rel_2026[[#This Row],[Pontuação]]&gt;=5,"Próximo","Não")))</f>
        <v>Não</v>
      </c>
      <c r="B349" t="str">
        <f>IF(Rel_2026[[#This Row],[Zero]]=0,"Zero",IF(Rel_2026[[#This Row],[Pontuação2]]&gt;=10,"Sim",IF(Rel_2026[[#This Row],[Pontuação2]]&gt;=5,"Próximo","Não")))</f>
        <v>Não</v>
      </c>
      <c r="C349" t="str">
        <f>IFERROR(VLOOKUP(Rel_2026[[#This Row],[chave_loja]],Responsavel!A:B,2,FALSE),"EUCLIDES")</f>
        <v>ISMAEL</v>
      </c>
      <c r="D349" t="str">
        <f>LEFT(Rel_2026[[#This Row],[ag_pacb]],4)</f>
        <v>1302</v>
      </c>
      <c r="E349">
        <v>424106</v>
      </c>
      <c r="F349" t="s">
        <v>1266</v>
      </c>
      <c r="G349" t="s">
        <v>1267</v>
      </c>
      <c r="H349" s="1">
        <v>46156</v>
      </c>
      <c r="I349" t="s">
        <v>23</v>
      </c>
      <c r="J349" t="s">
        <v>71</v>
      </c>
      <c r="K349" s="1">
        <v>46153</v>
      </c>
      <c r="L349" s="1">
        <v>46227</v>
      </c>
      <c r="M349" t="s">
        <v>32</v>
      </c>
      <c r="N349" s="1">
        <v>46254</v>
      </c>
      <c r="O349">
        <v>34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 t="s">
        <v>26</v>
      </c>
      <c r="AI349" t="s">
        <v>27</v>
      </c>
      <c r="AJ349" s="1"/>
      <c r="AK349" t="s">
        <v>28</v>
      </c>
      <c r="AL34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49">
        <f>SUM(Rel_2026[[#This Row],[qtd_TrxContabil]:[VLR_EXP_SORTE]])</f>
        <v>34</v>
      </c>
      <c r="AN34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50" spans="1:40" x14ac:dyDescent="0.3">
      <c r="A350" t="str">
        <f>IF(Rel_2026[[#This Row],[Zero]]=0,"Zero",IF(Rel_2026[[#This Row],[Pontuação]]&gt;=10,"Sim",IF(Rel_2026[[#This Row],[Pontuação]]&gt;=5,"Próximo","Não")))</f>
        <v>Sim</v>
      </c>
      <c r="B350" t="str">
        <f>IF(Rel_2026[[#This Row],[Zero]]=0,"Zero",IF(Rel_2026[[#This Row],[Pontuação2]]&gt;=10,"Sim",IF(Rel_2026[[#This Row],[Pontuação2]]&gt;=5,"Próximo","Não")))</f>
        <v>Sim</v>
      </c>
      <c r="C350" t="str">
        <f>IFERROR(VLOOKUP(Rel_2026[[#This Row],[chave_loja]],Responsavel!A:B,2,FALSE),"EUCLIDES")</f>
        <v>ALEX SIQUEIRA</v>
      </c>
      <c r="D350" t="str">
        <f>LEFT(Rel_2026[[#This Row],[ag_pacb]],4)</f>
        <v>0726</v>
      </c>
      <c r="E350">
        <v>248018</v>
      </c>
      <c r="F350" t="s">
        <v>330</v>
      </c>
      <c r="G350" t="s">
        <v>331</v>
      </c>
      <c r="H350" s="1">
        <v>45093</v>
      </c>
      <c r="I350" t="s">
        <v>23</v>
      </c>
      <c r="J350" t="s">
        <v>192</v>
      </c>
      <c r="K350" s="1">
        <v>45103</v>
      </c>
      <c r="L350" s="1">
        <v>45100</v>
      </c>
      <c r="M350" t="s">
        <v>109</v>
      </c>
      <c r="N350" s="1">
        <v>46254</v>
      </c>
      <c r="O350">
        <v>692</v>
      </c>
      <c r="P350">
        <v>8</v>
      </c>
      <c r="Q350">
        <v>8</v>
      </c>
      <c r="R350">
        <v>7</v>
      </c>
      <c r="S350">
        <v>1</v>
      </c>
      <c r="T350">
        <v>1000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6</v>
      </c>
      <c r="AG350">
        <v>0</v>
      </c>
      <c r="AH350" t="s">
        <v>26</v>
      </c>
      <c r="AI350" t="s">
        <v>27</v>
      </c>
      <c r="AJ350" s="1"/>
      <c r="AK350" t="s">
        <v>28</v>
      </c>
      <c r="AL35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66</v>
      </c>
      <c r="AM350">
        <f>SUM(Rel_2026[[#This Row],[qtd_TrxContabil]:[VLR_EXP_SORTE]])</f>
        <v>1723</v>
      </c>
      <c r="AN35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87</v>
      </c>
    </row>
    <row r="351" spans="1:40" x14ac:dyDescent="0.3">
      <c r="A351" t="str">
        <f>IF(Rel_2026[[#This Row],[Zero]]=0,"Zero",IF(Rel_2026[[#This Row],[Pontuação]]&gt;=10,"Sim",IF(Rel_2026[[#This Row],[Pontuação]]&gt;=5,"Próximo","Não")))</f>
        <v>Não</v>
      </c>
      <c r="B351" t="str">
        <f>IF(Rel_2026[[#This Row],[Zero]]=0,"Zero",IF(Rel_2026[[#This Row],[Pontuação2]]&gt;=10,"Sim",IF(Rel_2026[[#This Row],[Pontuação2]]&gt;=5,"Próximo","Não")))</f>
        <v>Não</v>
      </c>
      <c r="C351" t="str">
        <f>IFERROR(VLOOKUP(Rel_2026[[#This Row],[chave_loja]],Responsavel!A:B,2,FALSE),"EUCLIDES")</f>
        <v>JUNIOR</v>
      </c>
      <c r="D351" t="str">
        <f>LEFT(Rel_2026[[#This Row],[ag_pacb]],4)</f>
        <v>0684</v>
      </c>
      <c r="E351">
        <v>406361</v>
      </c>
      <c r="F351" t="s">
        <v>604</v>
      </c>
      <c r="G351" t="s">
        <v>605</v>
      </c>
      <c r="H351" s="1">
        <v>45560</v>
      </c>
      <c r="I351" t="s">
        <v>23</v>
      </c>
      <c r="J351" t="s">
        <v>37</v>
      </c>
      <c r="K351" s="1">
        <v>45554</v>
      </c>
      <c r="L351" s="1">
        <v>45754</v>
      </c>
      <c r="M351" t="s">
        <v>32</v>
      </c>
      <c r="N351" s="1">
        <v>46247</v>
      </c>
      <c r="O351">
        <v>168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 t="s">
        <v>26</v>
      </c>
      <c r="AI351" t="s">
        <v>27</v>
      </c>
      <c r="AJ351" s="1"/>
      <c r="AK351" t="s">
        <v>28</v>
      </c>
      <c r="AL35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51">
        <f>SUM(Rel_2026[[#This Row],[qtd_TrxContabil]:[VLR_EXP_SORTE]])</f>
        <v>168</v>
      </c>
      <c r="AN35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52" spans="1:40" x14ac:dyDescent="0.3">
      <c r="A352" t="str">
        <f>IF(Rel_2026[[#This Row],[Zero]]=0,"Zero",IF(Rel_2026[[#This Row],[Pontuação]]&gt;=10,"Sim",IF(Rel_2026[[#This Row],[Pontuação]]&gt;=5,"Próximo","Não")))</f>
        <v>Não</v>
      </c>
      <c r="B352" t="str">
        <f>IF(Rel_2026[[#This Row],[Zero]]=0,"Zero",IF(Rel_2026[[#This Row],[Pontuação2]]&gt;=10,"Sim",IF(Rel_2026[[#This Row],[Pontuação2]]&gt;=5,"Próximo","Não")))</f>
        <v>Não</v>
      </c>
      <c r="C352" t="str">
        <f>IFERROR(VLOOKUP(Rel_2026[[#This Row],[chave_loja]],Responsavel!A:B,2,FALSE),"EUCLIDES")</f>
        <v>WASTHSON</v>
      </c>
      <c r="D352" t="str">
        <f>LEFT(Rel_2026[[#This Row],[ag_pacb]],4)</f>
        <v>0458</v>
      </c>
      <c r="E352">
        <v>420274</v>
      </c>
      <c r="F352" t="s">
        <v>803</v>
      </c>
      <c r="G352" t="s">
        <v>804</v>
      </c>
      <c r="H352" s="1">
        <v>46021</v>
      </c>
      <c r="I352" t="s">
        <v>23</v>
      </c>
      <c r="J352" t="s">
        <v>759</v>
      </c>
      <c r="K352" s="1">
        <v>46007</v>
      </c>
      <c r="L352" s="1">
        <v>46030</v>
      </c>
      <c r="M352" t="s">
        <v>32</v>
      </c>
      <c r="N352" s="1">
        <v>46254</v>
      </c>
      <c r="O352">
        <v>877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2</v>
      </c>
      <c r="AF352">
        <v>0</v>
      </c>
      <c r="AG352">
        <v>0</v>
      </c>
      <c r="AH352" t="s">
        <v>26</v>
      </c>
      <c r="AI352" t="s">
        <v>27</v>
      </c>
      <c r="AJ352" s="1"/>
      <c r="AK352" t="s">
        <v>28</v>
      </c>
      <c r="AL35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</v>
      </c>
      <c r="AM352">
        <f>SUM(Rel_2026[[#This Row],[qtd_TrxContabil]:[VLR_EXP_SORTE]])</f>
        <v>879</v>
      </c>
      <c r="AN35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</v>
      </c>
    </row>
    <row r="353" spans="1:40" x14ac:dyDescent="0.3">
      <c r="A353" t="str">
        <f>IF(Rel_2026[[#This Row],[Zero]]=0,"Zero",IF(Rel_2026[[#This Row],[Pontuação]]&gt;=10,"Sim",IF(Rel_2026[[#This Row],[Pontuação]]&gt;=5,"Próximo","Não")))</f>
        <v>Sim</v>
      </c>
      <c r="B353" t="str">
        <f>IF(Rel_2026[[#This Row],[Zero]]=0,"Zero",IF(Rel_2026[[#This Row],[Pontuação2]]&gt;=10,"Sim",IF(Rel_2026[[#This Row],[Pontuação2]]&gt;=5,"Próximo","Não")))</f>
        <v>Sim</v>
      </c>
      <c r="C353" t="str">
        <f>IFERROR(VLOOKUP(Rel_2026[[#This Row],[chave_loja]],Responsavel!A:B,2,FALSE),"EUCLIDES")</f>
        <v>PAULO</v>
      </c>
      <c r="D353" t="str">
        <f>LEFT(Rel_2026[[#This Row],[ag_pacb]],4)</f>
        <v>0937</v>
      </c>
      <c r="E353">
        <v>84655</v>
      </c>
      <c r="F353" t="s">
        <v>1132</v>
      </c>
      <c r="G353" t="s">
        <v>1133</v>
      </c>
      <c r="H353" s="1">
        <v>44128</v>
      </c>
      <c r="I353" t="s">
        <v>107</v>
      </c>
      <c r="J353" t="s">
        <v>1134</v>
      </c>
      <c r="K353" s="1">
        <v>42236</v>
      </c>
      <c r="L353" s="1">
        <v>44820</v>
      </c>
      <c r="M353" t="s">
        <v>109</v>
      </c>
      <c r="N353" s="1">
        <v>46254</v>
      </c>
      <c r="O353">
        <v>1013</v>
      </c>
      <c r="P353">
        <v>2</v>
      </c>
      <c r="Q353">
        <v>2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5</v>
      </c>
      <c r="AH353" t="s">
        <v>38</v>
      </c>
      <c r="AI353" t="s">
        <v>27</v>
      </c>
      <c r="AJ353" s="1"/>
      <c r="AK353" t="s">
        <v>28</v>
      </c>
      <c r="AL35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353">
        <f>SUM(Rel_2026[[#This Row],[qtd_TrxContabil]:[VLR_EXP_SORTE]])</f>
        <v>1023</v>
      </c>
      <c r="AN35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</v>
      </c>
    </row>
    <row r="354" spans="1:40" x14ac:dyDescent="0.3">
      <c r="A354" t="str">
        <f>IF(Rel_2026[[#This Row],[Zero]]=0,"Zero",IF(Rel_2026[[#This Row],[Pontuação]]&gt;=10,"Sim",IF(Rel_2026[[#This Row],[Pontuação]]&gt;=5,"Próximo","Não")))</f>
        <v>Não</v>
      </c>
      <c r="B354" t="str">
        <f>IF(Rel_2026[[#This Row],[Zero]]=0,"Zero",IF(Rel_2026[[#This Row],[Pontuação2]]&gt;=10,"Sim",IF(Rel_2026[[#This Row],[Pontuação2]]&gt;=5,"Próximo","Não")))</f>
        <v>Não</v>
      </c>
      <c r="C354" t="str">
        <f>IFERROR(VLOOKUP(Rel_2026[[#This Row],[chave_loja]],Responsavel!A:B,2,FALSE),"EUCLIDES")</f>
        <v>ROSSY</v>
      </c>
      <c r="D354" t="str">
        <f>LEFT(Rel_2026[[#This Row],[ag_pacb]],4)</f>
        <v>5792</v>
      </c>
      <c r="E354">
        <v>164943</v>
      </c>
      <c r="F354" t="s">
        <v>903</v>
      </c>
      <c r="G354" t="s">
        <v>904</v>
      </c>
      <c r="H354" s="1">
        <v>45541</v>
      </c>
      <c r="I354" t="s">
        <v>107</v>
      </c>
      <c r="J354" t="s">
        <v>817</v>
      </c>
      <c r="K354" s="1">
        <v>43922</v>
      </c>
      <c r="L354" s="1">
        <v>44911</v>
      </c>
      <c r="M354" t="s">
        <v>109</v>
      </c>
      <c r="N354" s="1">
        <v>46254</v>
      </c>
      <c r="O354">
        <v>283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 t="s">
        <v>26</v>
      </c>
      <c r="AI354" t="s">
        <v>27</v>
      </c>
      <c r="AJ354" s="1"/>
      <c r="AK354" t="s">
        <v>28</v>
      </c>
      <c r="AL35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54">
        <f>SUM(Rel_2026[[#This Row],[qtd_TrxContabil]:[VLR_EXP_SORTE]])</f>
        <v>283</v>
      </c>
      <c r="AN35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55" spans="1:40" x14ac:dyDescent="0.3">
      <c r="A355" t="str">
        <f>IF(Rel_2026[[#This Row],[Zero]]=0,"Zero",IF(Rel_2026[[#This Row],[Pontuação]]&gt;=10,"Sim",IF(Rel_2026[[#This Row],[Pontuação]]&gt;=5,"Próximo","Não")))</f>
        <v>Não</v>
      </c>
      <c r="B355" t="str">
        <f>IF(Rel_2026[[#This Row],[Zero]]=0,"Zero",IF(Rel_2026[[#This Row],[Pontuação2]]&gt;=10,"Sim",IF(Rel_2026[[#This Row],[Pontuação2]]&gt;=5,"Próximo","Não")))</f>
        <v>Não</v>
      </c>
      <c r="C355" t="str">
        <f>IFERROR(VLOOKUP(Rel_2026[[#This Row],[chave_loja]],Responsavel!A:B,2,FALSE),"EUCLIDES")</f>
        <v>NYCOLLAS</v>
      </c>
      <c r="D355" t="str">
        <f>LEFT(Rel_2026[[#This Row],[ag_pacb]],4)</f>
        <v>0719</v>
      </c>
      <c r="E355">
        <v>423983</v>
      </c>
      <c r="F355" t="s">
        <v>1264</v>
      </c>
      <c r="G355" t="s">
        <v>1265</v>
      </c>
      <c r="H355" s="1">
        <v>46153</v>
      </c>
      <c r="I355" t="s">
        <v>23</v>
      </c>
      <c r="J355" t="s">
        <v>1215</v>
      </c>
      <c r="K355" s="1">
        <v>46147</v>
      </c>
      <c r="L355" s="1">
        <v>46182</v>
      </c>
      <c r="M355" t="s">
        <v>32</v>
      </c>
      <c r="N355" s="1">
        <v>46253</v>
      </c>
      <c r="O355">
        <v>327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 t="s">
        <v>26</v>
      </c>
      <c r="AI355" t="s">
        <v>27</v>
      </c>
      <c r="AJ355" s="1"/>
      <c r="AK355" t="s">
        <v>28</v>
      </c>
      <c r="AL35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55">
        <f>SUM(Rel_2026[[#This Row],[qtd_TrxContabil]:[VLR_EXP_SORTE]])</f>
        <v>327</v>
      </c>
      <c r="AN35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56" spans="1:40" x14ac:dyDescent="0.3">
      <c r="A356" t="str">
        <f>IF(Rel_2026[[#This Row],[Zero]]=0,"Zero",IF(Rel_2026[[#This Row],[Pontuação]]&gt;=10,"Sim",IF(Rel_2026[[#This Row],[Pontuação]]&gt;=5,"Próximo","Não")))</f>
        <v>Sim</v>
      </c>
      <c r="B356" t="str">
        <f>IF(Rel_2026[[#This Row],[Zero]]=0,"Zero",IF(Rel_2026[[#This Row],[Pontuação2]]&gt;=10,"Sim",IF(Rel_2026[[#This Row],[Pontuação2]]&gt;=5,"Próximo","Não")))</f>
        <v>Sim</v>
      </c>
      <c r="C356" t="str">
        <f>IFERROR(VLOOKUP(Rel_2026[[#This Row],[chave_loja]],Responsavel!A:B,2,FALSE),"EUCLIDES")</f>
        <v>IVAN</v>
      </c>
      <c r="D356" t="str">
        <f>LEFT(Rel_2026[[#This Row],[ag_pacb]],4)</f>
        <v>0711</v>
      </c>
      <c r="E356">
        <v>400591</v>
      </c>
      <c r="F356" t="s">
        <v>39</v>
      </c>
      <c r="G356" t="s">
        <v>40</v>
      </c>
      <c r="H356" s="1">
        <v>45328</v>
      </c>
      <c r="I356" t="s">
        <v>23</v>
      </c>
      <c r="J356" t="s">
        <v>41</v>
      </c>
      <c r="K356" s="1">
        <v>45313</v>
      </c>
      <c r="L356" s="1">
        <v>46160</v>
      </c>
      <c r="M356" t="s">
        <v>25</v>
      </c>
      <c r="N356" s="1">
        <v>46254</v>
      </c>
      <c r="O356">
        <v>891</v>
      </c>
      <c r="P356">
        <v>46</v>
      </c>
      <c r="Q356">
        <v>1</v>
      </c>
      <c r="R356">
        <v>33</v>
      </c>
      <c r="S356">
        <v>14</v>
      </c>
      <c r="T356">
        <v>0</v>
      </c>
      <c r="U356">
        <v>41355</v>
      </c>
      <c r="V356">
        <v>35082</v>
      </c>
      <c r="W356">
        <v>0</v>
      </c>
      <c r="X356">
        <v>6273</v>
      </c>
      <c r="Y356">
        <v>30449</v>
      </c>
      <c r="Z356">
        <v>0</v>
      </c>
      <c r="AA356">
        <v>0</v>
      </c>
      <c r="AB356">
        <v>7</v>
      </c>
      <c r="AC356">
        <v>0</v>
      </c>
      <c r="AD356">
        <v>9</v>
      </c>
      <c r="AE356">
        <v>5</v>
      </c>
      <c r="AF356">
        <v>37</v>
      </c>
      <c r="AG356">
        <v>0</v>
      </c>
      <c r="AH356" t="s">
        <v>38</v>
      </c>
      <c r="AI356" t="s">
        <v>27</v>
      </c>
      <c r="AJ356" s="1"/>
      <c r="AK356" t="s">
        <v>28</v>
      </c>
      <c r="AL35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258</v>
      </c>
      <c r="AM356">
        <f>SUM(Rel_2026[[#This Row],[qtd_TrxContabil]:[VLR_EXP_SORTE]])</f>
        <v>114202</v>
      </c>
      <c r="AN35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357</v>
      </c>
    </row>
    <row r="357" spans="1:40" x14ac:dyDescent="0.3">
      <c r="A357" t="str">
        <f>IF(Rel_2026[[#This Row],[Zero]]=0,"Zero",IF(Rel_2026[[#This Row],[Pontuação]]&gt;=10,"Sim",IF(Rel_2026[[#This Row],[Pontuação]]&gt;=5,"Próximo","Não")))</f>
        <v>Não</v>
      </c>
      <c r="B357" t="str">
        <f>IF(Rel_2026[[#This Row],[Zero]]=0,"Zero",IF(Rel_2026[[#This Row],[Pontuação2]]&gt;=10,"Sim",IF(Rel_2026[[#This Row],[Pontuação2]]&gt;=5,"Próximo","Não")))</f>
        <v>Não</v>
      </c>
      <c r="C357" t="str">
        <f>IFERROR(VLOOKUP(Rel_2026[[#This Row],[chave_loja]],Responsavel!A:B,2,FALSE),"EUCLIDES")</f>
        <v>CÉLIO</v>
      </c>
      <c r="D357" t="str">
        <f>LEFT(Rel_2026[[#This Row],[ag_pacb]],4)</f>
        <v>0742</v>
      </c>
      <c r="E357">
        <v>420038</v>
      </c>
      <c r="F357" t="s">
        <v>797</v>
      </c>
      <c r="G357" t="s">
        <v>798</v>
      </c>
      <c r="H357" s="1">
        <v>46003</v>
      </c>
      <c r="I357" t="s">
        <v>23</v>
      </c>
      <c r="J357" t="s">
        <v>24</v>
      </c>
      <c r="K357" s="1">
        <v>45994</v>
      </c>
      <c r="L357" s="1"/>
      <c r="M357" t="s">
        <v>32</v>
      </c>
      <c r="N357" s="1">
        <v>46254</v>
      </c>
      <c r="O357">
        <v>116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 t="s">
        <v>26</v>
      </c>
      <c r="AI357" t="s">
        <v>27</v>
      </c>
      <c r="AJ357" s="1"/>
      <c r="AK357" t="s">
        <v>28</v>
      </c>
      <c r="AL35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57">
        <f>SUM(Rel_2026[[#This Row],[qtd_TrxContabil]:[VLR_EXP_SORTE]])</f>
        <v>116</v>
      </c>
      <c r="AN35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58" spans="1:40" x14ac:dyDescent="0.3">
      <c r="A358" t="str">
        <f>IF(Rel_2026[[#This Row],[Zero]]=0,"Zero",IF(Rel_2026[[#This Row],[Pontuação]]&gt;=10,"Sim",IF(Rel_2026[[#This Row],[Pontuação]]&gt;=5,"Próximo","Não")))</f>
        <v>Não</v>
      </c>
      <c r="B358" t="str">
        <f>IF(Rel_2026[[#This Row],[Zero]]=0,"Zero",IF(Rel_2026[[#This Row],[Pontuação2]]&gt;=10,"Sim",IF(Rel_2026[[#This Row],[Pontuação2]]&gt;=5,"Próximo","Não")))</f>
        <v>Não</v>
      </c>
      <c r="C358" t="str">
        <f>IFERROR(VLOOKUP(Rel_2026[[#This Row],[chave_loja]],Responsavel!A:B,2,FALSE),"EUCLIDES")</f>
        <v>ROSSY</v>
      </c>
      <c r="D358" t="str">
        <f>LEFT(Rel_2026[[#This Row],[ag_pacb]],4)</f>
        <v>0405</v>
      </c>
      <c r="E358">
        <v>151216</v>
      </c>
      <c r="F358" t="s">
        <v>884</v>
      </c>
      <c r="G358" t="s">
        <v>885</v>
      </c>
      <c r="H358" s="1">
        <v>44573</v>
      </c>
      <c r="I358" t="s">
        <v>107</v>
      </c>
      <c r="J358" t="s">
        <v>808</v>
      </c>
      <c r="K358" s="1">
        <v>42626</v>
      </c>
      <c r="L358" s="1">
        <v>45548</v>
      </c>
      <c r="M358" t="s">
        <v>109</v>
      </c>
      <c r="N358" s="1">
        <v>46254</v>
      </c>
      <c r="O358">
        <v>1598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 t="s">
        <v>38</v>
      </c>
      <c r="AI358" t="s">
        <v>27</v>
      </c>
      <c r="AJ358" s="1"/>
      <c r="AK358" t="s">
        <v>28</v>
      </c>
      <c r="AL35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58">
        <f>SUM(Rel_2026[[#This Row],[qtd_TrxContabil]:[VLR_EXP_SORTE]])</f>
        <v>1598</v>
      </c>
      <c r="AN35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59" spans="1:40" x14ac:dyDescent="0.3">
      <c r="A359" t="str">
        <f>IF(Rel_2026[[#This Row],[Zero]]=0,"Zero",IF(Rel_2026[[#This Row],[Pontuação]]&gt;=10,"Sim",IF(Rel_2026[[#This Row],[Pontuação]]&gt;=5,"Próximo","Não")))</f>
        <v>Próximo</v>
      </c>
      <c r="B359" t="str">
        <f>IF(Rel_2026[[#This Row],[Zero]]=0,"Zero",IF(Rel_2026[[#This Row],[Pontuação2]]&gt;=10,"Sim",IF(Rel_2026[[#This Row],[Pontuação2]]&gt;=5,"Próximo","Não")))</f>
        <v>Sim</v>
      </c>
      <c r="C359" t="str">
        <f>IFERROR(VLOOKUP(Rel_2026[[#This Row],[chave_loja]],Responsavel!A:B,2,FALSE),"EUCLIDES")</f>
        <v>IVAN</v>
      </c>
      <c r="D359" t="str">
        <f>LEFT(Rel_2026[[#This Row],[ag_pacb]],4)</f>
        <v>0711</v>
      </c>
      <c r="E359">
        <v>419928</v>
      </c>
      <c r="F359" t="s">
        <v>787</v>
      </c>
      <c r="G359" t="s">
        <v>788</v>
      </c>
      <c r="H359" s="1">
        <v>46007</v>
      </c>
      <c r="I359" t="s">
        <v>23</v>
      </c>
      <c r="J359" t="s">
        <v>41</v>
      </c>
      <c r="K359" s="1">
        <v>45992</v>
      </c>
      <c r="L359" s="1">
        <v>46043</v>
      </c>
      <c r="M359" t="s">
        <v>25</v>
      </c>
      <c r="N359" s="1">
        <v>46254</v>
      </c>
      <c r="O359">
        <v>124</v>
      </c>
      <c r="P359">
        <v>1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 t="s">
        <v>38</v>
      </c>
      <c r="AI359" t="s">
        <v>27</v>
      </c>
      <c r="AJ359" s="1"/>
      <c r="AK359" t="s">
        <v>28</v>
      </c>
      <c r="AL35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359">
        <f>SUM(Rel_2026[[#This Row],[qtd_TrxContabil]:[VLR_EXP_SORTE]])</f>
        <v>128</v>
      </c>
      <c r="AN35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360" spans="1:40" x14ac:dyDescent="0.3">
      <c r="A360" t="str">
        <f>IF(Rel_2026[[#This Row],[Zero]]=0,"Zero",IF(Rel_2026[[#This Row],[Pontuação]]&gt;=10,"Sim",IF(Rel_2026[[#This Row],[Pontuação]]&gt;=5,"Próximo","Não")))</f>
        <v>Próximo</v>
      </c>
      <c r="B360" t="str">
        <f>IF(Rel_2026[[#This Row],[Zero]]=0,"Zero",IF(Rel_2026[[#This Row],[Pontuação2]]&gt;=10,"Sim",IF(Rel_2026[[#This Row],[Pontuação2]]&gt;=5,"Próximo","Não")))</f>
        <v>Sim</v>
      </c>
      <c r="C360" t="str">
        <f>IFERROR(VLOOKUP(Rel_2026[[#This Row],[chave_loja]],Responsavel!A:B,2,FALSE),"EUCLIDES")</f>
        <v>JACK</v>
      </c>
      <c r="D360" t="str">
        <f>LEFT(Rel_2026[[#This Row],[ag_pacb]],4)</f>
        <v>5806</v>
      </c>
      <c r="E360">
        <v>424651</v>
      </c>
      <c r="F360" t="s">
        <v>1319</v>
      </c>
      <c r="G360" t="s">
        <v>1320</v>
      </c>
      <c r="H360" s="1">
        <v>46183</v>
      </c>
      <c r="I360" t="s">
        <v>107</v>
      </c>
      <c r="J360" t="s">
        <v>842</v>
      </c>
      <c r="K360" s="1">
        <v>46178</v>
      </c>
      <c r="L360" s="1">
        <v>46204</v>
      </c>
      <c r="M360" t="s">
        <v>109</v>
      </c>
      <c r="N360" s="1">
        <v>46254</v>
      </c>
      <c r="O360">
        <v>8</v>
      </c>
      <c r="P360">
        <v>1</v>
      </c>
      <c r="Q360">
        <v>1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 t="s">
        <v>26</v>
      </c>
      <c r="AI360" t="s">
        <v>27</v>
      </c>
      <c r="AJ360" s="1"/>
      <c r="AK360" t="s">
        <v>28</v>
      </c>
      <c r="AL36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360">
        <f>SUM(Rel_2026[[#This Row],[qtd_TrxContabil]:[VLR_EXP_SORTE]])</f>
        <v>12</v>
      </c>
      <c r="AN36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361" spans="1:40" x14ac:dyDescent="0.3">
      <c r="A361" t="str">
        <f>IF(Rel_2026[[#This Row],[Zero]]=0,"Zero",IF(Rel_2026[[#This Row],[Pontuação]]&gt;=10,"Sim",IF(Rel_2026[[#This Row],[Pontuação]]&gt;=5,"Próximo","Não")))</f>
        <v>Sim</v>
      </c>
      <c r="B361" t="str">
        <f>IF(Rel_2026[[#This Row],[Zero]]=0,"Zero",IF(Rel_2026[[#This Row],[Pontuação2]]&gt;=10,"Sim",IF(Rel_2026[[#This Row],[Pontuação2]]&gt;=5,"Próximo","Não")))</f>
        <v>Sim</v>
      </c>
      <c r="C361" t="str">
        <f>IFERROR(VLOOKUP(Rel_2026[[#This Row],[chave_loja]],Responsavel!A:B,2,FALSE),"EUCLIDES")</f>
        <v>JUNIOR</v>
      </c>
      <c r="D361" t="str">
        <f>LEFT(Rel_2026[[#This Row],[ag_pacb]],4)</f>
        <v>2245</v>
      </c>
      <c r="E361">
        <v>409579</v>
      </c>
      <c r="F361" t="s">
        <v>1394</v>
      </c>
      <c r="G361" t="s">
        <v>1395</v>
      </c>
      <c r="H361" s="1">
        <v>45707</v>
      </c>
      <c r="I361" t="s">
        <v>23</v>
      </c>
      <c r="J361" t="s">
        <v>162</v>
      </c>
      <c r="K361" s="1">
        <v>45694</v>
      </c>
      <c r="L361" s="1">
        <v>45734</v>
      </c>
      <c r="M361" t="s">
        <v>32</v>
      </c>
      <c r="N361" s="1">
        <v>46254</v>
      </c>
      <c r="O361">
        <v>64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18977</v>
      </c>
      <c r="V361">
        <v>18977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1</v>
      </c>
      <c r="AG361">
        <v>0</v>
      </c>
      <c r="AH361" t="s">
        <v>26</v>
      </c>
      <c r="AI361" t="s">
        <v>27</v>
      </c>
      <c r="AJ361" s="1"/>
      <c r="AK361" t="s">
        <v>28</v>
      </c>
      <c r="AL36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26</v>
      </c>
      <c r="AM361">
        <f>SUM(Rel_2026[[#This Row],[qtd_TrxContabil]:[VLR_EXP_SORTE]])</f>
        <v>38024</v>
      </c>
      <c r="AN36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29</v>
      </c>
    </row>
    <row r="362" spans="1:40" x14ac:dyDescent="0.3">
      <c r="A362" t="str">
        <f>IF(Rel_2026[[#This Row],[Zero]]=0,"Zero",IF(Rel_2026[[#This Row],[Pontuação]]&gt;=10,"Sim",IF(Rel_2026[[#This Row],[Pontuação]]&gt;=5,"Próximo","Não")))</f>
        <v>Sim</v>
      </c>
      <c r="B362" t="str">
        <f>IF(Rel_2026[[#This Row],[Zero]]=0,"Zero",IF(Rel_2026[[#This Row],[Pontuação2]]&gt;=10,"Sim",IF(Rel_2026[[#This Row],[Pontuação2]]&gt;=5,"Próximo","Não")))</f>
        <v>Sim</v>
      </c>
      <c r="C362" t="str">
        <f>IFERROR(VLOOKUP(Rel_2026[[#This Row],[chave_loja]],Responsavel!A:B,2,FALSE),"EUCLIDES")</f>
        <v>DARIO</v>
      </c>
      <c r="D362" t="str">
        <f>LEFT(Rel_2026[[#This Row],[ag_pacb]],4)</f>
        <v>1781</v>
      </c>
      <c r="E362">
        <v>418872</v>
      </c>
      <c r="F362" t="s">
        <v>760</v>
      </c>
      <c r="G362" t="s">
        <v>761</v>
      </c>
      <c r="H362" s="1">
        <v>45986</v>
      </c>
      <c r="I362" t="s">
        <v>23</v>
      </c>
      <c r="J362" t="s">
        <v>124</v>
      </c>
      <c r="K362" s="1">
        <v>45939</v>
      </c>
      <c r="L362" s="1">
        <v>45988</v>
      </c>
      <c r="M362" t="s">
        <v>25</v>
      </c>
      <c r="N362" s="1">
        <v>46254</v>
      </c>
      <c r="O362">
        <v>692</v>
      </c>
      <c r="P362">
        <v>30</v>
      </c>
      <c r="Q362">
        <v>27</v>
      </c>
      <c r="R362">
        <v>29</v>
      </c>
      <c r="S362">
        <v>12</v>
      </c>
      <c r="T362">
        <v>1350</v>
      </c>
      <c r="U362">
        <v>12400</v>
      </c>
      <c r="V362">
        <v>12400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12</v>
      </c>
      <c r="AC362">
        <v>0</v>
      </c>
      <c r="AD362">
        <v>0</v>
      </c>
      <c r="AE362">
        <v>3</v>
      </c>
      <c r="AF362">
        <v>27</v>
      </c>
      <c r="AG362">
        <v>0</v>
      </c>
      <c r="AH362" t="s">
        <v>26</v>
      </c>
      <c r="AI362" t="s">
        <v>27</v>
      </c>
      <c r="AJ362" s="1"/>
      <c r="AK362" t="s">
        <v>28</v>
      </c>
      <c r="AL36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227</v>
      </c>
      <c r="AM362">
        <f>SUM(Rel_2026[[#This Row],[qtd_TrxContabil]:[VLR_EXP_SORTE]])</f>
        <v>26982</v>
      </c>
      <c r="AN36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314</v>
      </c>
    </row>
    <row r="363" spans="1:40" x14ac:dyDescent="0.3">
      <c r="A363" t="str">
        <f>IF(Rel_2026[[#This Row],[Zero]]=0,"Zero",IF(Rel_2026[[#This Row],[Pontuação]]&gt;=10,"Sim",IF(Rel_2026[[#This Row],[Pontuação]]&gt;=5,"Próximo","Não")))</f>
        <v>Não</v>
      </c>
      <c r="B363" t="str">
        <f>IF(Rel_2026[[#This Row],[Zero]]=0,"Zero",IF(Rel_2026[[#This Row],[Pontuação2]]&gt;=10,"Sim",IF(Rel_2026[[#This Row],[Pontuação2]]&gt;=5,"Próximo","Não")))</f>
        <v>Não</v>
      </c>
      <c r="C363" t="str">
        <f>IFERROR(VLOOKUP(Rel_2026[[#This Row],[chave_loja]],Responsavel!A:B,2,FALSE),"EUCLIDES")</f>
        <v>NYCOLLAS</v>
      </c>
      <c r="D363" t="str">
        <f>LEFT(Rel_2026[[#This Row],[ag_pacb]],4)</f>
        <v>5443</v>
      </c>
      <c r="E363">
        <v>419906</v>
      </c>
      <c r="F363" t="s">
        <v>1079</v>
      </c>
      <c r="G363" t="s">
        <v>770</v>
      </c>
      <c r="H363" s="1">
        <v>45996</v>
      </c>
      <c r="I363" t="s">
        <v>23</v>
      </c>
      <c r="J363" t="s">
        <v>260</v>
      </c>
      <c r="K363" s="1">
        <v>45989</v>
      </c>
      <c r="L363" s="1">
        <v>46007</v>
      </c>
      <c r="M363" t="s">
        <v>32</v>
      </c>
      <c r="N363" s="1">
        <v>46254</v>
      </c>
      <c r="O363">
        <v>9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 t="s">
        <v>26</v>
      </c>
      <c r="AI363" t="s">
        <v>27</v>
      </c>
      <c r="AJ363" s="1"/>
      <c r="AK363" t="s">
        <v>28</v>
      </c>
      <c r="AL36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63">
        <f>SUM(Rel_2026[[#This Row],[qtd_TrxContabil]:[VLR_EXP_SORTE]])</f>
        <v>9</v>
      </c>
      <c r="AN36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64" spans="1:40" x14ac:dyDescent="0.3">
      <c r="A364" t="str">
        <f>IF(Rel_2026[[#This Row],[Zero]]=0,"Zero",IF(Rel_2026[[#This Row],[Pontuação]]&gt;=10,"Sim",IF(Rel_2026[[#This Row],[Pontuação]]&gt;=5,"Próximo","Não")))</f>
        <v>Não</v>
      </c>
      <c r="B364" t="str">
        <f>IF(Rel_2026[[#This Row],[Zero]]=0,"Zero",IF(Rel_2026[[#This Row],[Pontuação2]]&gt;=10,"Sim",IF(Rel_2026[[#This Row],[Pontuação2]]&gt;=5,"Próximo","Não")))</f>
        <v>Não</v>
      </c>
      <c r="C364" t="str">
        <f>IFERROR(VLOOKUP(Rel_2026[[#This Row],[chave_loja]],Responsavel!A:B,2,FALSE),"EUCLIDES")</f>
        <v>JOSELITO</v>
      </c>
      <c r="D364" t="str">
        <f>LEFT(Rel_2026[[#This Row],[ag_pacb]],4)</f>
        <v>5395</v>
      </c>
      <c r="E364">
        <v>81969</v>
      </c>
      <c r="F364" t="s">
        <v>307</v>
      </c>
      <c r="G364" t="s">
        <v>308</v>
      </c>
      <c r="H364" s="1">
        <v>44463</v>
      </c>
      <c r="I364" t="s">
        <v>23</v>
      </c>
      <c r="J364" t="s">
        <v>309</v>
      </c>
      <c r="K364" s="1">
        <v>42720</v>
      </c>
      <c r="L364" s="1">
        <v>45457</v>
      </c>
      <c r="M364" t="s">
        <v>25</v>
      </c>
      <c r="N364" s="1">
        <v>46254</v>
      </c>
      <c r="O364">
        <v>116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 t="s">
        <v>38</v>
      </c>
      <c r="AI364" t="s">
        <v>27</v>
      </c>
      <c r="AJ364" s="1"/>
      <c r="AK364" t="s">
        <v>28</v>
      </c>
      <c r="AL36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64">
        <f>SUM(Rel_2026[[#This Row],[qtd_TrxContabil]:[VLR_EXP_SORTE]])</f>
        <v>116</v>
      </c>
      <c r="AN36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65" spans="1:40" x14ac:dyDescent="0.3">
      <c r="A365" t="str">
        <f>IF(Rel_2026[[#This Row],[Zero]]=0,"Zero",IF(Rel_2026[[#This Row],[Pontuação]]&gt;=10,"Sim",IF(Rel_2026[[#This Row],[Pontuação]]&gt;=5,"Próximo","Não")))</f>
        <v>Próximo</v>
      </c>
      <c r="B365" t="str">
        <f>IF(Rel_2026[[#This Row],[Zero]]=0,"Zero",IF(Rel_2026[[#This Row],[Pontuação2]]&gt;=10,"Sim",IF(Rel_2026[[#This Row],[Pontuação2]]&gt;=5,"Próximo","Não")))</f>
        <v>Próximo</v>
      </c>
      <c r="C365" t="str">
        <f>IFERROR(VLOOKUP(Rel_2026[[#This Row],[chave_loja]],Responsavel!A:B,2,FALSE),"EUCLIDES")</f>
        <v>CÉLIO</v>
      </c>
      <c r="D365" t="str">
        <f>LEFT(Rel_2026[[#This Row],[ag_pacb]],4)</f>
        <v>0649</v>
      </c>
      <c r="E365">
        <v>159670</v>
      </c>
      <c r="F365" t="s">
        <v>146</v>
      </c>
      <c r="G365" t="s">
        <v>147</v>
      </c>
      <c r="H365" s="1">
        <v>45874</v>
      </c>
      <c r="I365" t="s">
        <v>23</v>
      </c>
      <c r="J365" t="s">
        <v>24</v>
      </c>
      <c r="K365" s="1">
        <v>44830</v>
      </c>
      <c r="L365" s="1">
        <v>44697</v>
      </c>
      <c r="M365" t="s">
        <v>32</v>
      </c>
      <c r="N365" s="1">
        <v>46254</v>
      </c>
      <c r="O365">
        <v>209</v>
      </c>
      <c r="P365">
        <v>0</v>
      </c>
      <c r="Q365">
        <v>0</v>
      </c>
      <c r="R365">
        <v>0</v>
      </c>
      <c r="S365">
        <v>0</v>
      </c>
      <c r="T365">
        <v>500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 t="s">
        <v>26</v>
      </c>
      <c r="AI365" t="s">
        <v>27</v>
      </c>
      <c r="AJ365" s="1"/>
      <c r="AK365" t="s">
        <v>28</v>
      </c>
      <c r="AL36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</v>
      </c>
      <c r="AM365">
        <f>SUM(Rel_2026[[#This Row],[qtd_TrxContabil]:[VLR_EXP_SORTE]])</f>
        <v>709</v>
      </c>
      <c r="AN36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</v>
      </c>
    </row>
    <row r="366" spans="1:40" x14ac:dyDescent="0.3">
      <c r="A366" t="str">
        <f>IF(Rel_2026[[#This Row],[Zero]]=0,"Zero",IF(Rel_2026[[#This Row],[Pontuação]]&gt;=10,"Sim",IF(Rel_2026[[#This Row],[Pontuação]]&gt;=5,"Próximo","Não")))</f>
        <v>Sim</v>
      </c>
      <c r="B366" t="str">
        <f>IF(Rel_2026[[#This Row],[Zero]]=0,"Zero",IF(Rel_2026[[#This Row],[Pontuação2]]&gt;=10,"Sim",IF(Rel_2026[[#This Row],[Pontuação2]]&gt;=5,"Próximo","Não")))</f>
        <v>Sim</v>
      </c>
      <c r="C366" t="str">
        <f>IFERROR(VLOOKUP(Rel_2026[[#This Row],[chave_loja]],Responsavel!A:B,2,FALSE),"EUCLIDES")</f>
        <v>JUNIOR</v>
      </c>
      <c r="D366" t="str">
        <f>LEFT(Rel_2026[[#This Row],[ag_pacb]],4)</f>
        <v>5367</v>
      </c>
      <c r="E366">
        <v>233255</v>
      </c>
      <c r="F366" t="s">
        <v>29</v>
      </c>
      <c r="G366" t="s">
        <v>30</v>
      </c>
      <c r="H366" s="1">
        <v>44691</v>
      </c>
      <c r="I366" t="s">
        <v>23</v>
      </c>
      <c r="J366" t="s">
        <v>31</v>
      </c>
      <c r="K366" s="1">
        <v>44809</v>
      </c>
      <c r="L366" s="1">
        <v>44760</v>
      </c>
      <c r="M366" t="s">
        <v>32</v>
      </c>
      <c r="N366" s="1">
        <v>46254</v>
      </c>
      <c r="O366">
        <v>75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71043</v>
      </c>
      <c r="V366">
        <v>71043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 t="s">
        <v>26</v>
      </c>
      <c r="AI366" t="s">
        <v>27</v>
      </c>
      <c r="AJ366" s="1"/>
      <c r="AK366" t="s">
        <v>28</v>
      </c>
      <c r="AL36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71</v>
      </c>
      <c r="AM366">
        <f>SUM(Rel_2026[[#This Row],[qtd_TrxContabil]:[VLR_EXP_SORTE]])</f>
        <v>142161</v>
      </c>
      <c r="AN36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71</v>
      </c>
    </row>
    <row r="367" spans="1:40" x14ac:dyDescent="0.3">
      <c r="A367" t="str">
        <f>IF(Rel_2026[[#This Row],[Zero]]=0,"Zero",IF(Rel_2026[[#This Row],[Pontuação]]&gt;=10,"Sim",IF(Rel_2026[[#This Row],[Pontuação]]&gt;=5,"Próximo","Não")))</f>
        <v>Zero</v>
      </c>
      <c r="B367" t="str">
        <f>IF(Rel_2026[[#This Row],[Zero]]=0,"Zero",IF(Rel_2026[[#This Row],[Pontuação2]]&gt;=10,"Sim",IF(Rel_2026[[#This Row],[Pontuação2]]&gt;=5,"Próximo","Não")))</f>
        <v>Zero</v>
      </c>
      <c r="C367" t="str">
        <f>IFERROR(VLOOKUP(Rel_2026[[#This Row],[chave_loja]],Responsavel!A:B,2,FALSE),"EUCLIDES")</f>
        <v>NYCOLLAS</v>
      </c>
      <c r="D367" t="str">
        <f>LEFT(Rel_2026[[#This Row],[ag_pacb]],4)</f>
        <v>5446</v>
      </c>
      <c r="E367">
        <v>414181</v>
      </c>
      <c r="F367" t="s">
        <v>524</v>
      </c>
      <c r="G367" t="s">
        <v>525</v>
      </c>
      <c r="H367" s="1">
        <v>45834</v>
      </c>
      <c r="I367" t="s">
        <v>23</v>
      </c>
      <c r="J367" t="s">
        <v>97</v>
      </c>
      <c r="K367" s="1">
        <v>45827</v>
      </c>
      <c r="L367" s="1">
        <v>45847</v>
      </c>
      <c r="M367" t="s">
        <v>32</v>
      </c>
      <c r="N367" s="1">
        <v>46171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 t="s">
        <v>26</v>
      </c>
      <c r="AI367" t="s">
        <v>27</v>
      </c>
      <c r="AJ367" s="1"/>
      <c r="AK367" t="s">
        <v>28</v>
      </c>
      <c r="AL36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67">
        <f>SUM(Rel_2026[[#This Row],[qtd_TrxContabil]:[VLR_EXP_SORTE]])</f>
        <v>0</v>
      </c>
      <c r="AN36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68" spans="1:40" x14ac:dyDescent="0.3">
      <c r="A368" t="str">
        <f>IF(Rel_2026[[#This Row],[Zero]]=0,"Zero",IF(Rel_2026[[#This Row],[Pontuação]]&gt;=10,"Sim",IF(Rel_2026[[#This Row],[Pontuação]]&gt;=5,"Próximo","Não")))</f>
        <v>Não</v>
      </c>
      <c r="B368" t="str">
        <f>IF(Rel_2026[[#This Row],[Zero]]=0,"Zero",IF(Rel_2026[[#This Row],[Pontuação2]]&gt;=10,"Sim",IF(Rel_2026[[#This Row],[Pontuação2]]&gt;=5,"Próximo","Não")))</f>
        <v>Não</v>
      </c>
      <c r="C368" t="str">
        <f>IFERROR(VLOOKUP(Rel_2026[[#This Row],[chave_loja]],Responsavel!A:B,2,FALSE),"EUCLIDES")</f>
        <v>WASTHSON</v>
      </c>
      <c r="D368" t="str">
        <f>LEFT(Rel_2026[[#This Row],[ag_pacb]],4)</f>
        <v>0458</v>
      </c>
      <c r="E368">
        <v>69937</v>
      </c>
      <c r="F368" t="s">
        <v>1182</v>
      </c>
      <c r="G368" t="s">
        <v>1183</v>
      </c>
      <c r="H368" s="1">
        <v>45912</v>
      </c>
      <c r="I368" t="s">
        <v>23</v>
      </c>
      <c r="J368" t="s">
        <v>159</v>
      </c>
      <c r="K368" s="1">
        <v>42130</v>
      </c>
      <c r="L368" s="1">
        <v>45925</v>
      </c>
      <c r="M368" t="s">
        <v>32</v>
      </c>
      <c r="N368" s="1">
        <v>46254</v>
      </c>
      <c r="O368">
        <v>121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 t="s">
        <v>38</v>
      </c>
      <c r="AI368" t="s">
        <v>27</v>
      </c>
      <c r="AJ368" s="1"/>
      <c r="AK368" t="s">
        <v>28</v>
      </c>
      <c r="AL36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68">
        <f>SUM(Rel_2026[[#This Row],[qtd_TrxContabil]:[VLR_EXP_SORTE]])</f>
        <v>121</v>
      </c>
      <c r="AN36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69" spans="1:40" x14ac:dyDescent="0.3">
      <c r="A369" t="str">
        <f>IF(Rel_2026[[#This Row],[Zero]]=0,"Zero",IF(Rel_2026[[#This Row],[Pontuação]]&gt;=10,"Sim",IF(Rel_2026[[#This Row],[Pontuação]]&gt;=5,"Próximo","Não")))</f>
        <v>Próximo</v>
      </c>
      <c r="B369" t="str">
        <f>IF(Rel_2026[[#This Row],[Zero]]=0,"Zero",IF(Rel_2026[[#This Row],[Pontuação2]]&gt;=10,"Sim",IF(Rel_2026[[#This Row],[Pontuação2]]&gt;=5,"Próximo","Não")))</f>
        <v>Sim</v>
      </c>
      <c r="C369" t="str">
        <f>IFERROR(VLOOKUP(Rel_2026[[#This Row],[chave_loja]],Responsavel!A:B,2,FALSE),"EUCLIDES")</f>
        <v>CÉLIO</v>
      </c>
      <c r="D369" t="str">
        <f>LEFT(Rel_2026[[#This Row],[ag_pacb]],4)</f>
        <v>0288</v>
      </c>
      <c r="E369">
        <v>121593</v>
      </c>
      <c r="F369" t="s">
        <v>1367</v>
      </c>
      <c r="G369" t="s">
        <v>1368</v>
      </c>
      <c r="H369" s="1">
        <v>44573</v>
      </c>
      <c r="I369" t="s">
        <v>23</v>
      </c>
      <c r="J369" t="s">
        <v>24</v>
      </c>
      <c r="K369" s="1">
        <v>42121</v>
      </c>
      <c r="L369" s="1">
        <v>45531</v>
      </c>
      <c r="M369" t="s">
        <v>25</v>
      </c>
      <c r="N369" s="1">
        <v>46254</v>
      </c>
      <c r="O369">
        <v>0</v>
      </c>
      <c r="P369">
        <v>2</v>
      </c>
      <c r="Q369">
        <v>0</v>
      </c>
      <c r="R369">
        <v>2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 t="s">
        <v>26</v>
      </c>
      <c r="AI369" t="s">
        <v>27</v>
      </c>
      <c r="AJ369" s="1"/>
      <c r="AK369" t="s">
        <v>28</v>
      </c>
      <c r="AL36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  <c r="AM369">
        <f>SUM(Rel_2026[[#This Row],[qtd_TrxContabil]:[VLR_EXP_SORTE]])</f>
        <v>4</v>
      </c>
      <c r="AN36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</row>
    <row r="370" spans="1:40" x14ac:dyDescent="0.3">
      <c r="A370" t="str">
        <f>IF(Rel_2026[[#This Row],[Zero]]=0,"Zero",IF(Rel_2026[[#This Row],[Pontuação]]&gt;=10,"Sim",IF(Rel_2026[[#This Row],[Pontuação]]&gt;=5,"Próximo","Não")))</f>
        <v>Sim</v>
      </c>
      <c r="B370" t="str">
        <f>IF(Rel_2026[[#This Row],[Zero]]=0,"Zero",IF(Rel_2026[[#This Row],[Pontuação2]]&gt;=10,"Sim",IF(Rel_2026[[#This Row],[Pontuação2]]&gt;=5,"Próximo","Não")))</f>
        <v>Sim</v>
      </c>
      <c r="C370" t="str">
        <f>IFERROR(VLOOKUP(Rel_2026[[#This Row],[chave_loja]],Responsavel!A:B,2,FALSE),"EUCLIDES")</f>
        <v>ISMAEL</v>
      </c>
      <c r="D370" t="str">
        <f>LEFT(Rel_2026[[#This Row],[ag_pacb]],4)</f>
        <v>1302</v>
      </c>
      <c r="E370">
        <v>231061</v>
      </c>
      <c r="F370" t="s">
        <v>1239</v>
      </c>
      <c r="G370" t="s">
        <v>1240</v>
      </c>
      <c r="H370" s="1">
        <v>44662</v>
      </c>
      <c r="I370" t="s">
        <v>23</v>
      </c>
      <c r="J370" t="s">
        <v>71</v>
      </c>
      <c r="K370" s="1">
        <v>45306</v>
      </c>
      <c r="L370" s="1">
        <v>44698</v>
      </c>
      <c r="M370" t="s">
        <v>32</v>
      </c>
      <c r="N370" s="1">
        <v>46253</v>
      </c>
      <c r="O370">
        <v>100</v>
      </c>
      <c r="P370">
        <v>0</v>
      </c>
      <c r="Q370">
        <v>0</v>
      </c>
      <c r="R370">
        <v>0</v>
      </c>
      <c r="S370">
        <v>0</v>
      </c>
      <c r="T370">
        <v>570</v>
      </c>
      <c r="U370">
        <v>0</v>
      </c>
      <c r="V370">
        <v>0</v>
      </c>
      <c r="W370">
        <v>0</v>
      </c>
      <c r="X370">
        <v>0</v>
      </c>
      <c r="Y370">
        <v>2746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 t="s">
        <v>26</v>
      </c>
      <c r="AI370" t="s">
        <v>27</v>
      </c>
      <c r="AJ370" s="1"/>
      <c r="AK370" t="s">
        <v>28</v>
      </c>
      <c r="AL37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</v>
      </c>
      <c r="AM370">
        <f>SUM(Rel_2026[[#This Row],[qtd_TrxContabil]:[VLR_EXP_SORTE]])</f>
        <v>3416</v>
      </c>
      <c r="AN37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</v>
      </c>
    </row>
    <row r="371" spans="1:40" x14ac:dyDescent="0.3">
      <c r="A371" t="str">
        <f>IF(Rel_2026[[#This Row],[Zero]]=0,"Zero",IF(Rel_2026[[#This Row],[Pontuação]]&gt;=10,"Sim",IF(Rel_2026[[#This Row],[Pontuação]]&gt;=5,"Próximo","Não")))</f>
        <v>Não</v>
      </c>
      <c r="B371" t="str">
        <f>IF(Rel_2026[[#This Row],[Zero]]=0,"Zero",IF(Rel_2026[[#This Row],[Pontuação2]]&gt;=10,"Sim",IF(Rel_2026[[#This Row],[Pontuação2]]&gt;=5,"Próximo","Não")))</f>
        <v>Não</v>
      </c>
      <c r="C371" t="str">
        <f>IFERROR(VLOOKUP(Rel_2026[[#This Row],[chave_loja]],Responsavel!A:B,2,FALSE),"EUCLIDES")</f>
        <v>CÉLIO</v>
      </c>
      <c r="D371" t="str">
        <f>LEFT(Rel_2026[[#This Row],[ag_pacb]],4)</f>
        <v>0713</v>
      </c>
      <c r="E371">
        <v>419870</v>
      </c>
      <c r="F371" t="s">
        <v>1067</v>
      </c>
      <c r="G371" t="s">
        <v>1068</v>
      </c>
      <c r="H371" s="1">
        <v>45993</v>
      </c>
      <c r="I371" t="s">
        <v>23</v>
      </c>
      <c r="J371" t="s">
        <v>24</v>
      </c>
      <c r="K371" s="1">
        <v>45989</v>
      </c>
      <c r="L371" s="1"/>
      <c r="M371" t="s">
        <v>25</v>
      </c>
      <c r="N371" s="1">
        <v>46254</v>
      </c>
      <c r="O371">
        <v>84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 t="s">
        <v>26</v>
      </c>
      <c r="AI371" t="s">
        <v>27</v>
      </c>
      <c r="AJ371" s="1"/>
      <c r="AK371" t="s">
        <v>28</v>
      </c>
      <c r="AL37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71">
        <f>SUM(Rel_2026[[#This Row],[qtd_TrxContabil]:[VLR_EXP_SORTE]])</f>
        <v>84</v>
      </c>
      <c r="AN37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72" spans="1:40" x14ac:dyDescent="0.3">
      <c r="A372" t="str">
        <f>IF(Rel_2026[[#This Row],[Zero]]=0,"Zero",IF(Rel_2026[[#This Row],[Pontuação]]&gt;=10,"Sim",IF(Rel_2026[[#This Row],[Pontuação]]&gt;=5,"Próximo","Não")))</f>
        <v>Sim</v>
      </c>
      <c r="B372" t="str">
        <f>IF(Rel_2026[[#This Row],[Zero]]=0,"Zero",IF(Rel_2026[[#This Row],[Pontuação2]]&gt;=10,"Sim",IF(Rel_2026[[#This Row],[Pontuação2]]&gt;=5,"Próximo","Não")))</f>
        <v>Sim</v>
      </c>
      <c r="C372" t="str">
        <f>IFERROR(VLOOKUP(Rel_2026[[#This Row],[chave_loja]],Responsavel!A:B,2,FALSE),"EUCLIDES")</f>
        <v>WASTHSON</v>
      </c>
      <c r="D372" t="str">
        <f>LEFT(Rel_2026[[#This Row],[ag_pacb]],4)</f>
        <v>0702</v>
      </c>
      <c r="E372">
        <v>22763</v>
      </c>
      <c r="F372" t="s">
        <v>434</v>
      </c>
      <c r="G372" t="s">
        <v>435</v>
      </c>
      <c r="H372" s="1">
        <v>44097</v>
      </c>
      <c r="I372" t="s">
        <v>23</v>
      </c>
      <c r="J372" t="s">
        <v>114</v>
      </c>
      <c r="K372" s="1">
        <v>42177</v>
      </c>
      <c r="L372" s="1">
        <v>45580</v>
      </c>
      <c r="M372" t="s">
        <v>32</v>
      </c>
      <c r="N372" s="1">
        <v>46254</v>
      </c>
      <c r="O372">
        <v>2282</v>
      </c>
      <c r="P372">
        <v>12</v>
      </c>
      <c r="Q372">
        <v>6</v>
      </c>
      <c r="R372">
        <v>8</v>
      </c>
      <c r="S372">
        <v>2</v>
      </c>
      <c r="T372">
        <v>2200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2</v>
      </c>
      <c r="AC372">
        <v>0</v>
      </c>
      <c r="AD372">
        <v>0</v>
      </c>
      <c r="AE372">
        <v>0</v>
      </c>
      <c r="AF372">
        <v>10</v>
      </c>
      <c r="AG372">
        <v>0</v>
      </c>
      <c r="AH372" t="s">
        <v>38</v>
      </c>
      <c r="AI372" t="s">
        <v>27</v>
      </c>
      <c r="AJ372" s="1"/>
      <c r="AK372" t="s">
        <v>28</v>
      </c>
      <c r="AL37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82</v>
      </c>
      <c r="AM372">
        <f>SUM(Rel_2026[[#This Row],[qtd_TrxContabil]:[VLR_EXP_SORTE]])</f>
        <v>4522</v>
      </c>
      <c r="AN37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106</v>
      </c>
    </row>
    <row r="373" spans="1:40" x14ac:dyDescent="0.3">
      <c r="A373" t="str">
        <f>IF(Rel_2026[[#This Row],[Zero]]=0,"Zero",IF(Rel_2026[[#This Row],[Pontuação]]&gt;=10,"Sim",IF(Rel_2026[[#This Row],[Pontuação]]&gt;=5,"Próximo","Não")))</f>
        <v>Sim</v>
      </c>
      <c r="B373" t="str">
        <f>IF(Rel_2026[[#This Row],[Zero]]=0,"Zero",IF(Rel_2026[[#This Row],[Pontuação2]]&gt;=10,"Sim",IF(Rel_2026[[#This Row],[Pontuação2]]&gt;=5,"Próximo","Não")))</f>
        <v>Sim</v>
      </c>
      <c r="C373" t="str">
        <f>IFERROR(VLOOKUP(Rel_2026[[#This Row],[chave_loja]],Responsavel!A:B,2,FALSE),"EUCLIDES")</f>
        <v>PAULO</v>
      </c>
      <c r="D373" t="str">
        <f>LEFT(Rel_2026[[#This Row],[ag_pacb]],4)</f>
        <v>0937</v>
      </c>
      <c r="E373">
        <v>121045</v>
      </c>
      <c r="F373" t="s">
        <v>1123</v>
      </c>
      <c r="G373" t="s">
        <v>1124</v>
      </c>
      <c r="H373" s="1">
        <v>44415</v>
      </c>
      <c r="I373" t="s">
        <v>107</v>
      </c>
      <c r="J373" t="s">
        <v>1125</v>
      </c>
      <c r="K373" s="1">
        <v>42235</v>
      </c>
      <c r="L373" s="1">
        <v>45583</v>
      </c>
      <c r="M373" t="s">
        <v>109</v>
      </c>
      <c r="N373" s="1">
        <v>46254</v>
      </c>
      <c r="O373">
        <v>1591</v>
      </c>
      <c r="P373">
        <v>2</v>
      </c>
      <c r="Q373">
        <v>2</v>
      </c>
      <c r="R373">
        <v>2</v>
      </c>
      <c r="S373">
        <v>0</v>
      </c>
      <c r="T373">
        <v>2800</v>
      </c>
      <c r="U373">
        <v>36280</v>
      </c>
      <c r="V373">
        <v>36280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 t="s">
        <v>38</v>
      </c>
      <c r="AI373" t="s">
        <v>27</v>
      </c>
      <c r="AJ373" s="1"/>
      <c r="AK373" t="s">
        <v>28</v>
      </c>
      <c r="AL37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78</v>
      </c>
      <c r="AM373">
        <f>SUM(Rel_2026[[#This Row],[qtd_TrxContabil]:[VLR_EXP_SORTE]])</f>
        <v>76957</v>
      </c>
      <c r="AN37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84</v>
      </c>
    </row>
    <row r="374" spans="1:40" x14ac:dyDescent="0.3">
      <c r="A374" t="str">
        <f>IF(Rel_2026[[#This Row],[Zero]]=0,"Zero",IF(Rel_2026[[#This Row],[Pontuação]]&gt;=10,"Sim",IF(Rel_2026[[#This Row],[Pontuação]]&gt;=5,"Próximo","Não")))</f>
        <v>Não</v>
      </c>
      <c r="B374" t="str">
        <f>IF(Rel_2026[[#This Row],[Zero]]=0,"Zero",IF(Rel_2026[[#This Row],[Pontuação2]]&gt;=10,"Sim",IF(Rel_2026[[#This Row],[Pontuação2]]&gt;=5,"Próximo","Não")))</f>
        <v>Não</v>
      </c>
      <c r="C374" t="str">
        <f>IFERROR(VLOOKUP(Rel_2026[[#This Row],[chave_loja]],Responsavel!A:B,2,FALSE),"EUCLIDES")</f>
        <v>NYCOLLAS</v>
      </c>
      <c r="D374" t="str">
        <f>LEFT(Rel_2026[[#This Row],[ag_pacb]],4)</f>
        <v>5447</v>
      </c>
      <c r="E374">
        <v>121495</v>
      </c>
      <c r="F374" t="s">
        <v>548</v>
      </c>
      <c r="G374" t="s">
        <v>549</v>
      </c>
      <c r="H374" s="1">
        <v>45797</v>
      </c>
      <c r="I374" t="s">
        <v>23</v>
      </c>
      <c r="J374" t="s">
        <v>67</v>
      </c>
      <c r="K374" s="1">
        <v>42570</v>
      </c>
      <c r="L374" s="1">
        <v>44924</v>
      </c>
      <c r="M374" t="s">
        <v>32</v>
      </c>
      <c r="N374" s="1">
        <v>46252</v>
      </c>
      <c r="O374">
        <v>202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 t="s">
        <v>26</v>
      </c>
      <c r="AI374" t="s">
        <v>27</v>
      </c>
      <c r="AJ374" s="1"/>
      <c r="AK374" t="s">
        <v>28</v>
      </c>
      <c r="AL37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74">
        <f>SUM(Rel_2026[[#This Row],[qtd_TrxContabil]:[VLR_EXP_SORTE]])</f>
        <v>202</v>
      </c>
      <c r="AN37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75" spans="1:40" x14ac:dyDescent="0.3">
      <c r="A375" t="str">
        <f>IF(Rel_2026[[#This Row],[Zero]]=0,"Zero",IF(Rel_2026[[#This Row],[Pontuação]]&gt;=10,"Sim",IF(Rel_2026[[#This Row],[Pontuação]]&gt;=5,"Próximo","Não")))</f>
        <v>Próximo</v>
      </c>
      <c r="B375" t="str">
        <f>IF(Rel_2026[[#This Row],[Zero]]=0,"Zero",IF(Rel_2026[[#This Row],[Pontuação2]]&gt;=10,"Sim",IF(Rel_2026[[#This Row],[Pontuação2]]&gt;=5,"Próximo","Não")))</f>
        <v>Próximo</v>
      </c>
      <c r="C375" t="str">
        <f>IFERROR(VLOOKUP(Rel_2026[[#This Row],[chave_loja]],Responsavel!A:B,2,FALSE),"EUCLIDES")</f>
        <v>IVAN</v>
      </c>
      <c r="D375" t="str">
        <f>LEFT(Rel_2026[[#This Row],[ag_pacb]],4)</f>
        <v>0765</v>
      </c>
      <c r="E375">
        <v>216079</v>
      </c>
      <c r="F375" t="s">
        <v>1011</v>
      </c>
      <c r="G375" t="s">
        <v>1012</v>
      </c>
      <c r="H375" s="1">
        <v>45139</v>
      </c>
      <c r="I375" t="s">
        <v>23</v>
      </c>
      <c r="J375" t="s">
        <v>1013</v>
      </c>
      <c r="K375" s="1">
        <v>45306</v>
      </c>
      <c r="L375" s="1">
        <v>44306</v>
      </c>
      <c r="M375" t="s">
        <v>25</v>
      </c>
      <c r="N375" s="1">
        <v>46240</v>
      </c>
      <c r="O375">
        <v>2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 t="s">
        <v>26</v>
      </c>
      <c r="AI375" t="s">
        <v>27</v>
      </c>
      <c r="AJ375" s="1"/>
      <c r="AK375" t="s">
        <v>28</v>
      </c>
      <c r="AL37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375">
        <f>SUM(Rel_2026[[#This Row],[qtd_TrxContabil]:[VLR_EXP_SORTE]])</f>
        <v>5</v>
      </c>
      <c r="AN37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</row>
    <row r="376" spans="1:40" x14ac:dyDescent="0.3">
      <c r="A376" t="str">
        <f>IF(Rel_2026[[#This Row],[Zero]]=0,"Zero",IF(Rel_2026[[#This Row],[Pontuação]]&gt;=10,"Sim",IF(Rel_2026[[#This Row],[Pontuação]]&gt;=5,"Próximo","Não")))</f>
        <v>Sim</v>
      </c>
      <c r="B376" t="str">
        <f>IF(Rel_2026[[#This Row],[Zero]]=0,"Zero",IF(Rel_2026[[#This Row],[Pontuação2]]&gt;=10,"Sim",IF(Rel_2026[[#This Row],[Pontuação2]]&gt;=5,"Próximo","Não")))</f>
        <v>Sim</v>
      </c>
      <c r="C376" t="str">
        <f>IFERROR(VLOOKUP(Rel_2026[[#This Row],[chave_loja]],Responsavel!A:B,2,FALSE),"EUCLIDES")</f>
        <v>CÉLIO</v>
      </c>
      <c r="D376" t="str">
        <f>LEFT(Rel_2026[[#This Row],[ag_pacb]],4)</f>
        <v>0288</v>
      </c>
      <c r="E376">
        <v>415760</v>
      </c>
      <c r="F376" t="s">
        <v>167</v>
      </c>
      <c r="G376" t="s">
        <v>168</v>
      </c>
      <c r="H376" s="1">
        <v>45888</v>
      </c>
      <c r="I376" t="s">
        <v>23</v>
      </c>
      <c r="J376" t="s">
        <v>24</v>
      </c>
      <c r="K376" s="1">
        <v>45882</v>
      </c>
      <c r="L376" s="1">
        <v>45909</v>
      </c>
      <c r="M376" t="s">
        <v>25</v>
      </c>
      <c r="N376" s="1">
        <v>46254</v>
      </c>
      <c r="O376">
        <v>83</v>
      </c>
      <c r="P376">
        <v>8</v>
      </c>
      <c r="Q376">
        <v>0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 t="s">
        <v>26</v>
      </c>
      <c r="AI376" t="s">
        <v>27</v>
      </c>
      <c r="AJ376" s="1"/>
      <c r="AK376" t="s">
        <v>28</v>
      </c>
      <c r="AL37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  <c r="AM376">
        <f>SUM(Rel_2026[[#This Row],[qtd_TrxContabil]:[VLR_EXP_SORTE]])</f>
        <v>94</v>
      </c>
      <c r="AN37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27</v>
      </c>
    </row>
    <row r="377" spans="1:40" x14ac:dyDescent="0.3">
      <c r="A377" t="str">
        <f>IF(Rel_2026[[#This Row],[Zero]]=0,"Zero",IF(Rel_2026[[#This Row],[Pontuação]]&gt;=10,"Sim",IF(Rel_2026[[#This Row],[Pontuação]]&gt;=5,"Próximo","Não")))</f>
        <v>Não</v>
      </c>
      <c r="B377" t="str">
        <f>IF(Rel_2026[[#This Row],[Zero]]=0,"Zero",IF(Rel_2026[[#This Row],[Pontuação2]]&gt;=10,"Sim",IF(Rel_2026[[#This Row],[Pontuação2]]&gt;=5,"Próximo","Não")))</f>
        <v>Não</v>
      </c>
      <c r="C377" t="str">
        <f>IFERROR(VLOOKUP(Rel_2026[[#This Row],[chave_loja]],Responsavel!A:B,2,FALSE),"EUCLIDES")</f>
        <v>GIL</v>
      </c>
      <c r="D377" t="str">
        <f>LEFT(Rel_2026[[#This Row],[ag_pacb]],4)</f>
        <v>0715</v>
      </c>
      <c r="E377">
        <v>249102</v>
      </c>
      <c r="F377" t="s">
        <v>183</v>
      </c>
      <c r="G377" t="s">
        <v>184</v>
      </c>
      <c r="H377" s="1">
        <v>45888</v>
      </c>
      <c r="I377" t="s">
        <v>23</v>
      </c>
      <c r="J377" t="s">
        <v>141</v>
      </c>
      <c r="K377" s="1">
        <v>45306</v>
      </c>
      <c r="L377" s="1">
        <v>45252</v>
      </c>
      <c r="M377" t="s">
        <v>32</v>
      </c>
      <c r="N377" s="1">
        <v>46254</v>
      </c>
      <c r="O377">
        <v>548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 t="s">
        <v>26</v>
      </c>
      <c r="AI377" t="s">
        <v>27</v>
      </c>
      <c r="AJ377" s="1"/>
      <c r="AK377" t="s">
        <v>28</v>
      </c>
      <c r="AL37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77">
        <f>SUM(Rel_2026[[#This Row],[qtd_TrxContabil]:[VLR_EXP_SORTE]])</f>
        <v>548</v>
      </c>
      <c r="AN37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78" spans="1:40" x14ac:dyDescent="0.3">
      <c r="A378" t="str">
        <f>IF(Rel_2026[[#This Row],[Zero]]=0,"Zero",IF(Rel_2026[[#This Row],[Pontuação]]&gt;=10,"Sim",IF(Rel_2026[[#This Row],[Pontuação]]&gt;=5,"Próximo","Não")))</f>
        <v>Não</v>
      </c>
      <c r="B378" t="str">
        <f>IF(Rel_2026[[#This Row],[Zero]]=0,"Zero",IF(Rel_2026[[#This Row],[Pontuação2]]&gt;=10,"Sim",IF(Rel_2026[[#This Row],[Pontuação2]]&gt;=5,"Próximo","Não")))</f>
        <v>Não</v>
      </c>
      <c r="C378" t="str">
        <f>IFERROR(VLOOKUP(Rel_2026[[#This Row],[chave_loja]],Responsavel!A:B,2,FALSE),"EUCLIDES")</f>
        <v>JUNIOR</v>
      </c>
      <c r="D378" t="str">
        <f>LEFT(Rel_2026[[#This Row],[ag_pacb]],4)</f>
        <v>5367</v>
      </c>
      <c r="E378">
        <v>404515</v>
      </c>
      <c r="F378" t="s">
        <v>488</v>
      </c>
      <c r="G378" t="s">
        <v>489</v>
      </c>
      <c r="H378" s="1">
        <v>45525</v>
      </c>
      <c r="I378" t="s">
        <v>23</v>
      </c>
      <c r="J378" t="s">
        <v>96</v>
      </c>
      <c r="K378" s="1">
        <v>45479</v>
      </c>
      <c r="L378" s="1">
        <v>45533</v>
      </c>
      <c r="M378" t="s">
        <v>32</v>
      </c>
      <c r="N378" s="1">
        <v>46254</v>
      </c>
      <c r="O378">
        <v>314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 t="s">
        <v>26</v>
      </c>
      <c r="AI378" t="s">
        <v>27</v>
      </c>
      <c r="AJ378" s="1"/>
      <c r="AK378" t="s">
        <v>28</v>
      </c>
      <c r="AL37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78">
        <f>SUM(Rel_2026[[#This Row],[qtd_TrxContabil]:[VLR_EXP_SORTE]])</f>
        <v>314</v>
      </c>
      <c r="AN37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79" spans="1:40" x14ac:dyDescent="0.3">
      <c r="A379" t="str">
        <f>IF(Rel_2026[[#This Row],[Zero]]=0,"Zero",IF(Rel_2026[[#This Row],[Pontuação]]&gt;=10,"Sim",IF(Rel_2026[[#This Row],[Pontuação]]&gt;=5,"Próximo","Não")))</f>
        <v>Sim</v>
      </c>
      <c r="B379" t="str">
        <f>IF(Rel_2026[[#This Row],[Zero]]=0,"Zero",IF(Rel_2026[[#This Row],[Pontuação2]]&gt;=10,"Sim",IF(Rel_2026[[#This Row],[Pontuação2]]&gt;=5,"Próximo","Não")))</f>
        <v>Sim</v>
      </c>
      <c r="C379" t="str">
        <f>IFERROR(VLOOKUP(Rel_2026[[#This Row],[chave_loja]],Responsavel!A:B,2,FALSE),"EUCLIDES")</f>
        <v>JACK</v>
      </c>
      <c r="D379" t="str">
        <f>LEFT(Rel_2026[[#This Row],[ag_pacb]],4)</f>
        <v>5795</v>
      </c>
      <c r="E379">
        <v>419043</v>
      </c>
      <c r="F379" t="s">
        <v>973</v>
      </c>
      <c r="G379" t="s">
        <v>1255</v>
      </c>
      <c r="H379" s="1">
        <v>45973</v>
      </c>
      <c r="I379" t="s">
        <v>107</v>
      </c>
      <c r="J379" t="s">
        <v>938</v>
      </c>
      <c r="K379" s="1">
        <v>45947</v>
      </c>
      <c r="L379" s="1">
        <v>46218</v>
      </c>
      <c r="M379" t="s">
        <v>109</v>
      </c>
      <c r="N379" s="1">
        <v>46254</v>
      </c>
      <c r="O379">
        <v>692</v>
      </c>
      <c r="P379">
        <v>3</v>
      </c>
      <c r="Q379">
        <v>3</v>
      </c>
      <c r="R379">
        <v>3</v>
      </c>
      <c r="S379">
        <v>0</v>
      </c>
      <c r="T379">
        <v>1000</v>
      </c>
      <c r="U379">
        <v>15000</v>
      </c>
      <c r="V379">
        <v>15000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3</v>
      </c>
      <c r="AG379">
        <v>0</v>
      </c>
      <c r="AH379" t="s">
        <v>26</v>
      </c>
      <c r="AI379" t="s">
        <v>27</v>
      </c>
      <c r="AJ379" s="1"/>
      <c r="AK379" t="s">
        <v>28</v>
      </c>
      <c r="AL37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46</v>
      </c>
      <c r="AM379">
        <f>SUM(Rel_2026[[#This Row],[qtd_TrxContabil]:[VLR_EXP_SORTE]])</f>
        <v>31704</v>
      </c>
      <c r="AN37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55</v>
      </c>
    </row>
    <row r="380" spans="1:40" x14ac:dyDescent="0.3">
      <c r="A380" t="str">
        <f>IF(Rel_2026[[#This Row],[Zero]]=0,"Zero",IF(Rel_2026[[#This Row],[Pontuação]]&gt;=10,"Sim",IF(Rel_2026[[#This Row],[Pontuação]]&gt;=5,"Próximo","Não")))</f>
        <v>Sim</v>
      </c>
      <c r="B380" t="str">
        <f>IF(Rel_2026[[#This Row],[Zero]]=0,"Zero",IF(Rel_2026[[#This Row],[Pontuação2]]&gt;=10,"Sim",IF(Rel_2026[[#This Row],[Pontuação2]]&gt;=5,"Próximo","Não")))</f>
        <v>Sim</v>
      </c>
      <c r="C380" t="str">
        <f>IFERROR(VLOOKUP(Rel_2026[[#This Row],[chave_loja]],Responsavel!A:B,2,FALSE),"EUCLIDES")</f>
        <v>PAULO</v>
      </c>
      <c r="D380" t="str">
        <f>LEFT(Rel_2026[[#This Row],[ag_pacb]],4)</f>
        <v>0937</v>
      </c>
      <c r="E380">
        <v>171937</v>
      </c>
      <c r="F380" t="s">
        <v>1152</v>
      </c>
      <c r="G380" t="s">
        <v>1153</v>
      </c>
      <c r="H380" s="1">
        <v>45127</v>
      </c>
      <c r="I380" t="s">
        <v>107</v>
      </c>
      <c r="J380" t="s">
        <v>1125</v>
      </c>
      <c r="K380" s="1">
        <v>43502</v>
      </c>
      <c r="L380" s="1">
        <v>45225</v>
      </c>
      <c r="M380" t="s">
        <v>109</v>
      </c>
      <c r="N380" s="1">
        <v>46254</v>
      </c>
      <c r="O380">
        <v>1125</v>
      </c>
      <c r="P380">
        <v>5</v>
      </c>
      <c r="Q380">
        <v>0</v>
      </c>
      <c r="R380">
        <v>5</v>
      </c>
      <c r="S380">
        <v>0</v>
      </c>
      <c r="T380">
        <v>6980</v>
      </c>
      <c r="U380">
        <v>73372</v>
      </c>
      <c r="V380">
        <v>73372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  <c r="AE380">
        <v>0</v>
      </c>
      <c r="AF380">
        <v>5</v>
      </c>
      <c r="AG380">
        <v>25</v>
      </c>
      <c r="AH380" t="s">
        <v>38</v>
      </c>
      <c r="AI380" t="s">
        <v>27</v>
      </c>
      <c r="AJ380" s="1"/>
      <c r="AK380" t="s">
        <v>28</v>
      </c>
      <c r="AL38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160</v>
      </c>
      <c r="AM380">
        <f>SUM(Rel_2026[[#This Row],[qtd_TrxContabil]:[VLR_EXP_SORTE]])</f>
        <v>154891</v>
      </c>
      <c r="AN38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175</v>
      </c>
    </row>
    <row r="381" spans="1:40" x14ac:dyDescent="0.3">
      <c r="A381" t="str">
        <f>IF(Rel_2026[[#This Row],[Zero]]=0,"Zero",IF(Rel_2026[[#This Row],[Pontuação]]&gt;=10,"Sim",IF(Rel_2026[[#This Row],[Pontuação]]&gt;=5,"Próximo","Não")))</f>
        <v>Não</v>
      </c>
      <c r="B381" t="str">
        <f>IF(Rel_2026[[#This Row],[Zero]]=0,"Zero",IF(Rel_2026[[#This Row],[Pontuação2]]&gt;=10,"Sim",IF(Rel_2026[[#This Row],[Pontuação2]]&gt;=5,"Próximo","Não")))</f>
        <v>Não</v>
      </c>
      <c r="C381" t="str">
        <f>IFERROR(VLOOKUP(Rel_2026[[#This Row],[chave_loja]],Responsavel!A:B,2,FALSE),"EUCLIDES")</f>
        <v>IVAN</v>
      </c>
      <c r="D381" t="str">
        <f>LEFT(Rel_2026[[#This Row],[ag_pacb]],4)</f>
        <v>0295</v>
      </c>
      <c r="E381">
        <v>204258</v>
      </c>
      <c r="F381" t="s">
        <v>1272</v>
      </c>
      <c r="G381" t="s">
        <v>1273</v>
      </c>
      <c r="H381" s="1">
        <v>45196</v>
      </c>
      <c r="I381" t="s">
        <v>23</v>
      </c>
      <c r="J381" t="s">
        <v>802</v>
      </c>
      <c r="K381" s="1">
        <v>44091</v>
      </c>
      <c r="L381" s="1">
        <v>46073</v>
      </c>
      <c r="M381" t="s">
        <v>32</v>
      </c>
      <c r="N381" s="1">
        <v>46254</v>
      </c>
      <c r="O381">
        <v>384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 t="s">
        <v>26</v>
      </c>
      <c r="AI381" t="s">
        <v>27</v>
      </c>
      <c r="AJ381" s="1"/>
      <c r="AK381" t="s">
        <v>28</v>
      </c>
      <c r="AL38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381">
        <f>SUM(Rel_2026[[#This Row],[qtd_TrxContabil]:[VLR_EXP_SORTE]])</f>
        <v>385</v>
      </c>
      <c r="AN38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</row>
    <row r="382" spans="1:40" x14ac:dyDescent="0.3">
      <c r="A382" t="str">
        <f>IF(Rel_2026[[#This Row],[Zero]]=0,"Zero",IF(Rel_2026[[#This Row],[Pontuação]]&gt;=10,"Sim",IF(Rel_2026[[#This Row],[Pontuação]]&gt;=5,"Próximo","Não")))</f>
        <v>Sim</v>
      </c>
      <c r="B382" t="str">
        <f>IF(Rel_2026[[#This Row],[Zero]]=0,"Zero",IF(Rel_2026[[#This Row],[Pontuação2]]&gt;=10,"Sim",IF(Rel_2026[[#This Row],[Pontuação2]]&gt;=5,"Próximo","Não")))</f>
        <v>Sim</v>
      </c>
      <c r="C382" t="str">
        <f>IFERROR(VLOOKUP(Rel_2026[[#This Row],[chave_loja]],Responsavel!A:B,2,FALSE),"EUCLIDES")</f>
        <v>ROSSY</v>
      </c>
      <c r="D382" t="str">
        <f>LEFT(Rel_2026[[#This Row],[ag_pacb]],4)</f>
        <v>0405</v>
      </c>
      <c r="E382">
        <v>13799</v>
      </c>
      <c r="F382" t="s">
        <v>805</v>
      </c>
      <c r="G382" t="s">
        <v>806</v>
      </c>
      <c r="H382" s="1">
        <v>44413</v>
      </c>
      <c r="I382" t="s">
        <v>107</v>
      </c>
      <c r="J382" t="s">
        <v>109</v>
      </c>
      <c r="K382" s="1">
        <v>42237</v>
      </c>
      <c r="L382" s="1">
        <v>45661</v>
      </c>
      <c r="M382" t="s">
        <v>109</v>
      </c>
      <c r="N382" s="1">
        <v>46254</v>
      </c>
      <c r="O382">
        <v>1012</v>
      </c>
      <c r="P382">
        <v>8</v>
      </c>
      <c r="Q382">
        <v>3</v>
      </c>
      <c r="R382">
        <v>5</v>
      </c>
      <c r="S382">
        <v>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8</v>
      </c>
      <c r="AG382">
        <v>0</v>
      </c>
      <c r="AH382" t="s">
        <v>26</v>
      </c>
      <c r="AI382" t="s">
        <v>27</v>
      </c>
      <c r="AJ382" s="1"/>
      <c r="AK382" t="s">
        <v>28</v>
      </c>
      <c r="AL38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36</v>
      </c>
      <c r="AM382">
        <f>SUM(Rel_2026[[#This Row],[qtd_TrxContabil]:[VLR_EXP_SORTE]])</f>
        <v>1039</v>
      </c>
      <c r="AN38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51</v>
      </c>
    </row>
    <row r="383" spans="1:40" x14ac:dyDescent="0.3">
      <c r="A383" t="str">
        <f>IF(Rel_2026[[#This Row],[Zero]]=0,"Zero",IF(Rel_2026[[#This Row],[Pontuação]]&gt;=10,"Sim",IF(Rel_2026[[#This Row],[Pontuação]]&gt;=5,"Próximo","Não")))</f>
        <v>Sim</v>
      </c>
      <c r="B383" t="str">
        <f>IF(Rel_2026[[#This Row],[Zero]]=0,"Zero",IF(Rel_2026[[#This Row],[Pontuação2]]&gt;=10,"Sim",IF(Rel_2026[[#This Row],[Pontuação2]]&gt;=5,"Próximo","Não")))</f>
        <v>Sim</v>
      </c>
      <c r="C383" t="str">
        <f>IFERROR(VLOOKUP(Rel_2026[[#This Row],[chave_loja]],Responsavel!A:B,2,FALSE),"EUCLIDES")</f>
        <v>JUNIOR</v>
      </c>
      <c r="D383" t="str">
        <f>LEFT(Rel_2026[[#This Row],[ag_pacb]],4)</f>
        <v>0684</v>
      </c>
      <c r="E383">
        <v>156699</v>
      </c>
      <c r="F383" t="s">
        <v>426</v>
      </c>
      <c r="G383" t="s">
        <v>427</v>
      </c>
      <c r="H383" s="1">
        <v>45141</v>
      </c>
      <c r="I383" t="s">
        <v>23</v>
      </c>
      <c r="J383" t="s">
        <v>162</v>
      </c>
      <c r="K383" s="1">
        <v>43067</v>
      </c>
      <c r="L383" s="1">
        <v>46037</v>
      </c>
      <c r="M383" t="s">
        <v>32</v>
      </c>
      <c r="N383" s="1">
        <v>46254</v>
      </c>
      <c r="O383">
        <v>4735</v>
      </c>
      <c r="P383">
        <v>2</v>
      </c>
      <c r="Q383">
        <v>1</v>
      </c>
      <c r="R383">
        <v>1</v>
      </c>
      <c r="S383">
        <v>0</v>
      </c>
      <c r="T383">
        <v>13909</v>
      </c>
      <c r="U383">
        <v>0</v>
      </c>
      <c r="V383">
        <v>0</v>
      </c>
      <c r="W383">
        <v>0</v>
      </c>
      <c r="X383">
        <v>0</v>
      </c>
      <c r="Y383">
        <v>11031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450</v>
      </c>
      <c r="AH383" t="s">
        <v>38</v>
      </c>
      <c r="AI383" t="s">
        <v>27</v>
      </c>
      <c r="AJ383" s="1"/>
      <c r="AK383" t="s">
        <v>28</v>
      </c>
      <c r="AL38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180</v>
      </c>
      <c r="AM383">
        <f>SUM(Rel_2026[[#This Row],[qtd_TrxContabil]:[VLR_EXP_SORTE]])</f>
        <v>30129</v>
      </c>
      <c r="AN38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183</v>
      </c>
    </row>
    <row r="384" spans="1:40" x14ac:dyDescent="0.3">
      <c r="A384" t="str">
        <f>IF(Rel_2026[[#This Row],[Zero]]=0,"Zero",IF(Rel_2026[[#This Row],[Pontuação]]&gt;=10,"Sim",IF(Rel_2026[[#This Row],[Pontuação]]&gt;=5,"Próximo","Não")))</f>
        <v>Não</v>
      </c>
      <c r="B384" t="str">
        <f>IF(Rel_2026[[#This Row],[Zero]]=0,"Zero",IF(Rel_2026[[#This Row],[Pontuação2]]&gt;=10,"Sim",IF(Rel_2026[[#This Row],[Pontuação2]]&gt;=5,"Próximo","Não")))</f>
        <v>Não</v>
      </c>
      <c r="C384" t="str">
        <f>IFERROR(VLOOKUP(Rel_2026[[#This Row],[chave_loja]],Responsavel!A:B,2,FALSE),"EUCLIDES")</f>
        <v>ALEX SIQUEIRA</v>
      </c>
      <c r="D384" t="str">
        <f>LEFT(Rel_2026[[#This Row],[ag_pacb]],4)</f>
        <v>0752</v>
      </c>
      <c r="E384">
        <v>416512</v>
      </c>
      <c r="F384" t="s">
        <v>686</v>
      </c>
      <c r="G384" t="s">
        <v>685</v>
      </c>
      <c r="H384" s="1">
        <v>45906</v>
      </c>
      <c r="I384" t="s">
        <v>23</v>
      </c>
      <c r="J384" t="s">
        <v>117</v>
      </c>
      <c r="K384" s="1">
        <v>45897</v>
      </c>
      <c r="L384" s="1">
        <v>45946</v>
      </c>
      <c r="M384" t="s">
        <v>109</v>
      </c>
      <c r="N384" s="1">
        <v>46254</v>
      </c>
      <c r="O384">
        <v>297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 t="s">
        <v>38</v>
      </c>
      <c r="AI384" t="s">
        <v>27</v>
      </c>
      <c r="AJ384" s="1"/>
      <c r="AK384" t="s">
        <v>28</v>
      </c>
      <c r="AL38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84">
        <f>SUM(Rel_2026[[#This Row],[qtd_TrxContabil]:[VLR_EXP_SORTE]])</f>
        <v>297</v>
      </c>
      <c r="AN38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85" spans="1:40" x14ac:dyDescent="0.3">
      <c r="A385" t="str">
        <f>IF(Rel_2026[[#This Row],[Zero]]=0,"Zero",IF(Rel_2026[[#This Row],[Pontuação]]&gt;=10,"Sim",IF(Rel_2026[[#This Row],[Pontuação]]&gt;=5,"Próximo","Não")))</f>
        <v>Não</v>
      </c>
      <c r="B385" t="str">
        <f>IF(Rel_2026[[#This Row],[Zero]]=0,"Zero",IF(Rel_2026[[#This Row],[Pontuação2]]&gt;=10,"Sim",IF(Rel_2026[[#This Row],[Pontuação2]]&gt;=5,"Próximo","Não")))</f>
        <v>Não</v>
      </c>
      <c r="C385" t="str">
        <f>IFERROR(VLOOKUP(Rel_2026[[#This Row],[chave_loja]],Responsavel!A:B,2,FALSE),"EUCLIDES")</f>
        <v>CÉLIO</v>
      </c>
      <c r="D385" t="str">
        <f>LEFT(Rel_2026[[#This Row],[ag_pacb]],4)</f>
        <v>0645</v>
      </c>
      <c r="E385">
        <v>424704</v>
      </c>
      <c r="F385" t="s">
        <v>1329</v>
      </c>
      <c r="G385" t="s">
        <v>1330</v>
      </c>
      <c r="H385" s="1">
        <v>46189</v>
      </c>
      <c r="I385" t="s">
        <v>23</v>
      </c>
      <c r="J385" t="s">
        <v>24</v>
      </c>
      <c r="K385" s="1">
        <v>46183</v>
      </c>
      <c r="L385" s="1">
        <v>46196</v>
      </c>
      <c r="M385" t="s">
        <v>32</v>
      </c>
      <c r="N385" s="1">
        <v>46251</v>
      </c>
      <c r="O385">
        <v>17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 t="s">
        <v>26</v>
      </c>
      <c r="AI385" t="s">
        <v>27</v>
      </c>
      <c r="AJ385" s="1"/>
      <c r="AK385" t="s">
        <v>28</v>
      </c>
      <c r="AL38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85">
        <f>SUM(Rel_2026[[#This Row],[qtd_TrxContabil]:[VLR_EXP_SORTE]])</f>
        <v>17</v>
      </c>
      <c r="AN38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86" spans="1:40" x14ac:dyDescent="0.3">
      <c r="A386" t="str">
        <f>IF(Rel_2026[[#This Row],[Zero]]=0,"Zero",IF(Rel_2026[[#This Row],[Pontuação]]&gt;=10,"Sim",IF(Rel_2026[[#This Row],[Pontuação]]&gt;=5,"Próximo","Não")))</f>
        <v>Sim</v>
      </c>
      <c r="B386" t="str">
        <f>IF(Rel_2026[[#This Row],[Zero]]=0,"Zero",IF(Rel_2026[[#This Row],[Pontuação2]]&gt;=10,"Sim",IF(Rel_2026[[#This Row],[Pontuação2]]&gt;=5,"Próximo","Não")))</f>
        <v>Sim</v>
      </c>
      <c r="C386" t="str">
        <f>IFERROR(VLOOKUP(Rel_2026[[#This Row],[chave_loja]],Responsavel!A:B,2,FALSE),"EUCLIDES")</f>
        <v>IVAN</v>
      </c>
      <c r="D386" t="str">
        <f>LEFT(Rel_2026[[#This Row],[ag_pacb]],4)</f>
        <v>0716</v>
      </c>
      <c r="E386">
        <v>227528</v>
      </c>
      <c r="F386" t="s">
        <v>465</v>
      </c>
      <c r="G386" t="s">
        <v>466</v>
      </c>
      <c r="H386" s="1">
        <v>45917</v>
      </c>
      <c r="I386" t="s">
        <v>23</v>
      </c>
      <c r="J386" t="s">
        <v>178</v>
      </c>
      <c r="K386" s="1">
        <v>45306</v>
      </c>
      <c r="L386" s="1">
        <v>44652</v>
      </c>
      <c r="M386" t="s">
        <v>25</v>
      </c>
      <c r="N386" s="1">
        <v>46251</v>
      </c>
      <c r="O386">
        <v>12</v>
      </c>
      <c r="P386">
        <v>5</v>
      </c>
      <c r="Q386">
        <v>5</v>
      </c>
      <c r="R386">
        <v>5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 t="s">
        <v>26</v>
      </c>
      <c r="AI386" t="s">
        <v>27</v>
      </c>
      <c r="AJ386" s="1"/>
      <c r="AK386" t="s">
        <v>28</v>
      </c>
      <c r="AL38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35</v>
      </c>
      <c r="AM386">
        <f>SUM(Rel_2026[[#This Row],[qtd_TrxContabil]:[VLR_EXP_SORTE]])</f>
        <v>28</v>
      </c>
      <c r="AN38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50</v>
      </c>
    </row>
    <row r="387" spans="1:40" x14ac:dyDescent="0.3">
      <c r="A387" t="str">
        <f>IF(Rel_2026[[#This Row],[Zero]]=0,"Zero",IF(Rel_2026[[#This Row],[Pontuação]]&gt;=10,"Sim",IF(Rel_2026[[#This Row],[Pontuação]]&gt;=5,"Próximo","Não")))</f>
        <v>Próximo</v>
      </c>
      <c r="B387" t="str">
        <f>IF(Rel_2026[[#This Row],[Zero]]=0,"Zero",IF(Rel_2026[[#This Row],[Pontuação2]]&gt;=10,"Sim",IF(Rel_2026[[#This Row],[Pontuação2]]&gt;=5,"Próximo","Não")))</f>
        <v>Sim</v>
      </c>
      <c r="C387" t="str">
        <f>IFERROR(VLOOKUP(Rel_2026[[#This Row],[chave_loja]],Responsavel!A:B,2,FALSE),"EUCLIDES")</f>
        <v>NYCOLLAS</v>
      </c>
      <c r="D387" t="str">
        <f>LEFT(Rel_2026[[#This Row],[ag_pacb]],4)</f>
        <v>0719</v>
      </c>
      <c r="E387">
        <v>401445</v>
      </c>
      <c r="F387" t="s">
        <v>1359</v>
      </c>
      <c r="G387" t="s">
        <v>1360</v>
      </c>
      <c r="H387" s="1">
        <v>45751</v>
      </c>
      <c r="I387" t="s">
        <v>23</v>
      </c>
      <c r="J387" t="s">
        <v>1215</v>
      </c>
      <c r="K387" s="1">
        <v>45345</v>
      </c>
      <c r="L387" s="1">
        <v>45365</v>
      </c>
      <c r="M387" t="s">
        <v>32</v>
      </c>
      <c r="N387" s="1">
        <v>46252</v>
      </c>
      <c r="O387">
        <v>9</v>
      </c>
      <c r="P387">
        <v>1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 t="s">
        <v>26</v>
      </c>
      <c r="AI387" t="s">
        <v>27</v>
      </c>
      <c r="AJ387" s="1"/>
      <c r="AK387" t="s">
        <v>28</v>
      </c>
      <c r="AL38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387">
        <f>SUM(Rel_2026[[#This Row],[qtd_TrxContabil]:[VLR_EXP_SORTE]])</f>
        <v>12</v>
      </c>
      <c r="AN38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388" spans="1:40" x14ac:dyDescent="0.3">
      <c r="A388" t="str">
        <f>IF(Rel_2026[[#This Row],[Zero]]=0,"Zero",IF(Rel_2026[[#This Row],[Pontuação]]&gt;=10,"Sim",IF(Rel_2026[[#This Row],[Pontuação]]&gt;=5,"Próximo","Não")))</f>
        <v>Sim</v>
      </c>
      <c r="B388" t="str">
        <f>IF(Rel_2026[[#This Row],[Zero]]=0,"Zero",IF(Rel_2026[[#This Row],[Pontuação2]]&gt;=10,"Sim",IF(Rel_2026[[#This Row],[Pontuação2]]&gt;=5,"Próximo","Não")))</f>
        <v>Sim</v>
      </c>
      <c r="C388" t="str">
        <f>IFERROR(VLOOKUP(Rel_2026[[#This Row],[chave_loja]],Responsavel!A:B,2,FALSE),"EUCLIDES")</f>
        <v>JUNIOR</v>
      </c>
      <c r="D388" t="str">
        <f>LEFT(Rel_2026[[#This Row],[ag_pacb]],4)</f>
        <v>1351</v>
      </c>
      <c r="E388">
        <v>404019</v>
      </c>
      <c r="F388" t="s">
        <v>1054</v>
      </c>
      <c r="G388" t="s">
        <v>1055</v>
      </c>
      <c r="H388" s="1">
        <v>45470</v>
      </c>
      <c r="I388" t="s">
        <v>23</v>
      </c>
      <c r="J388" t="s">
        <v>993</v>
      </c>
      <c r="K388" s="1">
        <v>45463</v>
      </c>
      <c r="L388" s="1">
        <v>46183</v>
      </c>
      <c r="M388" t="s">
        <v>32</v>
      </c>
      <c r="N388" s="1">
        <v>46254</v>
      </c>
      <c r="O388">
        <v>178</v>
      </c>
      <c r="P388">
        <v>3</v>
      </c>
      <c r="Q388">
        <v>1</v>
      </c>
      <c r="R388">
        <v>3</v>
      </c>
      <c r="S388">
        <v>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</v>
      </c>
      <c r="AC388">
        <v>0</v>
      </c>
      <c r="AD388">
        <v>0</v>
      </c>
      <c r="AE388">
        <v>0</v>
      </c>
      <c r="AF388">
        <v>3</v>
      </c>
      <c r="AG388">
        <v>0</v>
      </c>
      <c r="AH388" t="s">
        <v>26</v>
      </c>
      <c r="AI388" t="s">
        <v>27</v>
      </c>
      <c r="AJ388" s="1"/>
      <c r="AK388" t="s">
        <v>28</v>
      </c>
      <c r="AL38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</v>
      </c>
      <c r="AM388">
        <f>SUM(Rel_2026[[#This Row],[qtd_TrxContabil]:[VLR_EXP_SORTE]])</f>
        <v>192</v>
      </c>
      <c r="AN38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22</v>
      </c>
    </row>
    <row r="389" spans="1:40" x14ac:dyDescent="0.3">
      <c r="A389" t="str">
        <f>IF(Rel_2026[[#This Row],[Zero]]=0,"Zero",IF(Rel_2026[[#This Row],[Pontuação]]&gt;=10,"Sim",IF(Rel_2026[[#This Row],[Pontuação]]&gt;=5,"Próximo","Não")))</f>
        <v>Sim</v>
      </c>
      <c r="B389" t="str">
        <f>IF(Rel_2026[[#This Row],[Zero]]=0,"Zero",IF(Rel_2026[[#This Row],[Pontuação2]]&gt;=10,"Sim",IF(Rel_2026[[#This Row],[Pontuação2]]&gt;=5,"Próximo","Não")))</f>
        <v>Sim</v>
      </c>
      <c r="C389" t="str">
        <f>IFERROR(VLOOKUP(Rel_2026[[#This Row],[chave_loja]],Responsavel!A:B,2,FALSE),"EUCLIDES")</f>
        <v>CÉLIO</v>
      </c>
      <c r="D389" t="str">
        <f>LEFT(Rel_2026[[#This Row],[ag_pacb]],4)</f>
        <v>0649</v>
      </c>
      <c r="E389">
        <v>424192</v>
      </c>
      <c r="F389" t="s">
        <v>1431</v>
      </c>
      <c r="G389" t="s">
        <v>1432</v>
      </c>
      <c r="H389" s="1">
        <v>46171</v>
      </c>
      <c r="I389" t="s">
        <v>23</v>
      </c>
      <c r="J389" t="s">
        <v>24</v>
      </c>
      <c r="K389" s="1">
        <v>46157</v>
      </c>
      <c r="L389" s="1">
        <v>46184</v>
      </c>
      <c r="M389" t="s">
        <v>32</v>
      </c>
      <c r="N389" s="1">
        <v>46254</v>
      </c>
      <c r="O389">
        <v>18</v>
      </c>
      <c r="P389">
        <v>7</v>
      </c>
      <c r="Q389">
        <v>0</v>
      </c>
      <c r="R389">
        <v>3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6</v>
      </c>
      <c r="AG389">
        <v>0</v>
      </c>
      <c r="AH389" t="s">
        <v>26</v>
      </c>
      <c r="AI389" t="s">
        <v>27</v>
      </c>
      <c r="AJ389" s="1"/>
      <c r="AK389" t="s">
        <v>28</v>
      </c>
      <c r="AL38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389">
        <f>SUM(Rel_2026[[#This Row],[qtd_TrxContabil]:[VLR_EXP_SORTE]])</f>
        <v>36</v>
      </c>
      <c r="AN38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</row>
    <row r="390" spans="1:40" x14ac:dyDescent="0.3">
      <c r="A390" t="str">
        <f>IF(Rel_2026[[#This Row],[Zero]]=0,"Zero",IF(Rel_2026[[#This Row],[Pontuação]]&gt;=10,"Sim",IF(Rel_2026[[#This Row],[Pontuação]]&gt;=5,"Próximo","Não")))</f>
        <v>Sim</v>
      </c>
      <c r="B390" t="str">
        <f>IF(Rel_2026[[#This Row],[Zero]]=0,"Zero",IF(Rel_2026[[#This Row],[Pontuação2]]&gt;=10,"Sim",IF(Rel_2026[[#This Row],[Pontuação2]]&gt;=5,"Próximo","Não")))</f>
        <v>Sim</v>
      </c>
      <c r="C390" t="str">
        <f>IFERROR(VLOOKUP(Rel_2026[[#This Row],[chave_loja]],Responsavel!A:B,2,FALSE),"EUCLIDES")</f>
        <v>IVAN</v>
      </c>
      <c r="D390" t="str">
        <f>LEFT(Rel_2026[[#This Row],[ag_pacb]],4)</f>
        <v>0767</v>
      </c>
      <c r="E390">
        <v>416448</v>
      </c>
      <c r="F390" t="s">
        <v>59</v>
      </c>
      <c r="G390" t="s">
        <v>60</v>
      </c>
      <c r="H390" s="1">
        <v>45908</v>
      </c>
      <c r="I390" t="s">
        <v>23</v>
      </c>
      <c r="J390" t="s">
        <v>61</v>
      </c>
      <c r="K390" s="1">
        <v>45896</v>
      </c>
      <c r="L390" s="1">
        <v>45912</v>
      </c>
      <c r="M390" t="s">
        <v>25</v>
      </c>
      <c r="N390" s="1">
        <v>46246</v>
      </c>
      <c r="O390">
        <v>0</v>
      </c>
      <c r="P390">
        <v>5</v>
      </c>
      <c r="Q390">
        <v>0</v>
      </c>
      <c r="R390">
        <v>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3</v>
      </c>
      <c r="AG390">
        <v>0</v>
      </c>
      <c r="AH390" t="s">
        <v>26</v>
      </c>
      <c r="AI390" t="s">
        <v>27</v>
      </c>
      <c r="AJ390" s="1"/>
      <c r="AK390" t="s">
        <v>28</v>
      </c>
      <c r="AL39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15</v>
      </c>
      <c r="AM390">
        <f>SUM(Rel_2026[[#This Row],[qtd_TrxContabil]:[VLR_EXP_SORTE]])</f>
        <v>11</v>
      </c>
      <c r="AN39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</row>
    <row r="391" spans="1:40" x14ac:dyDescent="0.3">
      <c r="A391" t="str">
        <f>IF(Rel_2026[[#This Row],[Zero]]=0,"Zero",IF(Rel_2026[[#This Row],[Pontuação]]&gt;=10,"Sim",IF(Rel_2026[[#This Row],[Pontuação]]&gt;=5,"Próximo","Não")))</f>
        <v>Sim</v>
      </c>
      <c r="B391" t="str">
        <f>IF(Rel_2026[[#This Row],[Zero]]=0,"Zero",IF(Rel_2026[[#This Row],[Pontuação2]]&gt;=10,"Sim",IF(Rel_2026[[#This Row],[Pontuação2]]&gt;=5,"Próximo","Não")))</f>
        <v>Sim</v>
      </c>
      <c r="C391" t="str">
        <f>IFERROR(VLOOKUP(Rel_2026[[#This Row],[chave_loja]],Responsavel!A:B,2,FALSE),"EUCLIDES")</f>
        <v>JUNIOR</v>
      </c>
      <c r="D391" t="str">
        <f>LEFT(Rel_2026[[#This Row],[ag_pacb]],4)</f>
        <v>5367</v>
      </c>
      <c r="E391">
        <v>132628</v>
      </c>
      <c r="F391" t="s">
        <v>512</v>
      </c>
      <c r="G391" t="s">
        <v>513</v>
      </c>
      <c r="H391" s="1">
        <v>45134</v>
      </c>
      <c r="I391" t="s">
        <v>23</v>
      </c>
      <c r="J391" t="s">
        <v>96</v>
      </c>
      <c r="K391" s="1">
        <v>42143</v>
      </c>
      <c r="L391" s="1">
        <v>46154</v>
      </c>
      <c r="M391" t="s">
        <v>32</v>
      </c>
      <c r="N391" s="1">
        <v>46254</v>
      </c>
      <c r="O391">
        <v>2041</v>
      </c>
      <c r="P391">
        <v>3</v>
      </c>
      <c r="Q391">
        <v>3</v>
      </c>
      <c r="R391">
        <v>3</v>
      </c>
      <c r="S391">
        <v>0</v>
      </c>
      <c r="T391">
        <v>0</v>
      </c>
      <c r="U391">
        <v>113833</v>
      </c>
      <c r="V391">
        <v>113833</v>
      </c>
      <c r="W391">
        <v>0</v>
      </c>
      <c r="X391">
        <v>0</v>
      </c>
      <c r="Y391">
        <v>2787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3</v>
      </c>
      <c r="AG391">
        <v>0</v>
      </c>
      <c r="AH391" t="s">
        <v>38</v>
      </c>
      <c r="AI391" t="s">
        <v>27</v>
      </c>
      <c r="AJ391" s="1"/>
      <c r="AK391" t="s">
        <v>28</v>
      </c>
      <c r="AL39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141</v>
      </c>
      <c r="AM391">
        <f>SUM(Rel_2026[[#This Row],[qtd_TrxContabil]:[VLR_EXP_SORTE]])</f>
        <v>232506</v>
      </c>
      <c r="AN39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150</v>
      </c>
    </row>
    <row r="392" spans="1:40" x14ac:dyDescent="0.3">
      <c r="A392" t="str">
        <f>IF(Rel_2026[[#This Row],[Zero]]=0,"Zero",IF(Rel_2026[[#This Row],[Pontuação]]&gt;=10,"Sim",IF(Rel_2026[[#This Row],[Pontuação]]&gt;=5,"Próximo","Não")))</f>
        <v>Próximo</v>
      </c>
      <c r="B392" t="str">
        <f>IF(Rel_2026[[#This Row],[Zero]]=0,"Zero",IF(Rel_2026[[#This Row],[Pontuação2]]&gt;=10,"Sim",IF(Rel_2026[[#This Row],[Pontuação2]]&gt;=5,"Próximo","Não")))</f>
        <v>Sim</v>
      </c>
      <c r="C392" t="str">
        <f>IFERROR(VLOOKUP(Rel_2026[[#This Row],[chave_loja]],Responsavel!A:B,2,FALSE),"EUCLIDES")</f>
        <v>NYCOLLAS</v>
      </c>
      <c r="D392" t="str">
        <f>LEFT(Rel_2026[[#This Row],[ag_pacb]],4)</f>
        <v>5443</v>
      </c>
      <c r="E392">
        <v>167933</v>
      </c>
      <c r="F392" t="s">
        <v>314</v>
      </c>
      <c r="G392" t="s">
        <v>315</v>
      </c>
      <c r="H392" s="1">
        <v>45198</v>
      </c>
      <c r="I392" t="s">
        <v>23</v>
      </c>
      <c r="J392" t="s">
        <v>260</v>
      </c>
      <c r="K392" s="1">
        <v>43370</v>
      </c>
      <c r="L392" s="1">
        <v>45035</v>
      </c>
      <c r="M392" t="s">
        <v>32</v>
      </c>
      <c r="N392" s="1">
        <v>46253</v>
      </c>
      <c r="O392">
        <v>34</v>
      </c>
      <c r="P392">
        <v>1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 t="s">
        <v>26</v>
      </c>
      <c r="AI392" t="s">
        <v>27</v>
      </c>
      <c r="AJ392" s="1"/>
      <c r="AK392" t="s">
        <v>28</v>
      </c>
      <c r="AL39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392">
        <f>SUM(Rel_2026[[#This Row],[qtd_TrxContabil]:[VLR_EXP_SORTE]])</f>
        <v>38</v>
      </c>
      <c r="AN39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393" spans="1:40" x14ac:dyDescent="0.3">
      <c r="A393" t="str">
        <f>IF(Rel_2026[[#This Row],[Zero]]=0,"Zero",IF(Rel_2026[[#This Row],[Pontuação]]&gt;=10,"Sim",IF(Rel_2026[[#This Row],[Pontuação]]&gt;=5,"Próximo","Não")))</f>
        <v>Sim</v>
      </c>
      <c r="B393" t="str">
        <f>IF(Rel_2026[[#This Row],[Zero]]=0,"Zero",IF(Rel_2026[[#This Row],[Pontuação2]]&gt;=10,"Sim",IF(Rel_2026[[#This Row],[Pontuação2]]&gt;=5,"Próximo","Não")))</f>
        <v>Sim</v>
      </c>
      <c r="C393" t="str">
        <f>IFERROR(VLOOKUP(Rel_2026[[#This Row],[chave_loja]],Responsavel!A:B,2,FALSE),"EUCLIDES")</f>
        <v>JACK</v>
      </c>
      <c r="D393" t="str">
        <f>LEFT(Rel_2026[[#This Row],[ag_pacb]],4)</f>
        <v>5795</v>
      </c>
      <c r="E393">
        <v>408109</v>
      </c>
      <c r="F393" t="s">
        <v>961</v>
      </c>
      <c r="G393" t="s">
        <v>962</v>
      </c>
      <c r="H393" s="1">
        <v>45632</v>
      </c>
      <c r="I393" t="s">
        <v>107</v>
      </c>
      <c r="J393" t="s">
        <v>908</v>
      </c>
      <c r="K393" s="1">
        <v>45622</v>
      </c>
      <c r="L393" s="1">
        <v>46135</v>
      </c>
      <c r="M393" t="s">
        <v>109</v>
      </c>
      <c r="N393" s="1">
        <v>46254</v>
      </c>
      <c r="O393">
        <v>630</v>
      </c>
      <c r="P393">
        <v>8</v>
      </c>
      <c r="Q393">
        <v>3</v>
      </c>
      <c r="R393">
        <v>0</v>
      </c>
      <c r="S393">
        <v>0</v>
      </c>
      <c r="T393">
        <v>710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8</v>
      </c>
      <c r="AG393">
        <v>0</v>
      </c>
      <c r="AH393" t="s">
        <v>38</v>
      </c>
      <c r="AI393" t="s">
        <v>27</v>
      </c>
      <c r="AJ393" s="1"/>
      <c r="AK393" t="s">
        <v>28</v>
      </c>
      <c r="AL39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43</v>
      </c>
      <c r="AM393">
        <f>SUM(Rel_2026[[#This Row],[qtd_TrxContabil]:[VLR_EXP_SORTE]])</f>
        <v>1359</v>
      </c>
      <c r="AN39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43</v>
      </c>
    </row>
    <row r="394" spans="1:40" x14ac:dyDescent="0.3">
      <c r="A394" t="str">
        <f>IF(Rel_2026[[#This Row],[Zero]]=0,"Zero",IF(Rel_2026[[#This Row],[Pontuação]]&gt;=10,"Sim",IF(Rel_2026[[#This Row],[Pontuação]]&gt;=5,"Próximo","Não")))</f>
        <v>Não</v>
      </c>
      <c r="B394" t="str">
        <f>IF(Rel_2026[[#This Row],[Zero]]=0,"Zero",IF(Rel_2026[[#This Row],[Pontuação2]]&gt;=10,"Sim",IF(Rel_2026[[#This Row],[Pontuação2]]&gt;=5,"Próximo","Não")))</f>
        <v>Não</v>
      </c>
      <c r="C394" t="str">
        <f>IFERROR(VLOOKUP(Rel_2026[[#This Row],[chave_loja]],Responsavel!A:B,2,FALSE),"EUCLIDES")</f>
        <v>ISMAEL</v>
      </c>
      <c r="D394" t="str">
        <f>LEFT(Rel_2026[[#This Row],[ag_pacb]],4)</f>
        <v>5365</v>
      </c>
      <c r="E394">
        <v>416572</v>
      </c>
      <c r="F394" t="s">
        <v>1065</v>
      </c>
      <c r="G394" t="s">
        <v>1066</v>
      </c>
      <c r="H394" s="1">
        <v>45916</v>
      </c>
      <c r="I394" t="s">
        <v>23</v>
      </c>
      <c r="J394" t="s">
        <v>253</v>
      </c>
      <c r="K394" s="1">
        <v>45897</v>
      </c>
      <c r="L394" s="1">
        <v>46035</v>
      </c>
      <c r="M394" t="s">
        <v>25</v>
      </c>
      <c r="N394" s="1">
        <v>46254</v>
      </c>
      <c r="O394">
        <v>192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 t="s">
        <v>38</v>
      </c>
      <c r="AI394" t="s">
        <v>27</v>
      </c>
      <c r="AJ394" s="1"/>
      <c r="AK394" t="s">
        <v>28</v>
      </c>
      <c r="AL39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394">
        <f>SUM(Rel_2026[[#This Row],[qtd_TrxContabil]:[VLR_EXP_SORTE]])</f>
        <v>192</v>
      </c>
      <c r="AN39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395" spans="1:40" x14ac:dyDescent="0.3">
      <c r="A395" t="str">
        <f>IF(Rel_2026[[#This Row],[Zero]]=0,"Zero",IF(Rel_2026[[#This Row],[Pontuação]]&gt;=10,"Sim",IF(Rel_2026[[#This Row],[Pontuação]]&gt;=5,"Próximo","Não")))</f>
        <v>Sim</v>
      </c>
      <c r="B395" t="str">
        <f>IF(Rel_2026[[#This Row],[Zero]]=0,"Zero",IF(Rel_2026[[#This Row],[Pontuação2]]&gt;=10,"Sim",IF(Rel_2026[[#This Row],[Pontuação2]]&gt;=5,"Próximo","Não")))</f>
        <v>Sim</v>
      </c>
      <c r="C395" t="str">
        <f>IFERROR(VLOOKUP(Rel_2026[[#This Row],[chave_loja]],Responsavel!A:B,2,FALSE),"EUCLIDES")</f>
        <v>JACK</v>
      </c>
      <c r="D395" t="str">
        <f>LEFT(Rel_2026[[#This Row],[ag_pacb]],4)</f>
        <v>5806</v>
      </c>
      <c r="E395">
        <v>407900</v>
      </c>
      <c r="F395" t="s">
        <v>959</v>
      </c>
      <c r="G395" t="s">
        <v>960</v>
      </c>
      <c r="H395" s="1">
        <v>45901</v>
      </c>
      <c r="I395" t="s">
        <v>107</v>
      </c>
      <c r="J395" t="s">
        <v>917</v>
      </c>
      <c r="K395" s="1">
        <v>45610</v>
      </c>
      <c r="L395" s="1">
        <v>45639</v>
      </c>
      <c r="M395" t="s">
        <v>109</v>
      </c>
      <c r="N395" s="1">
        <v>46254</v>
      </c>
      <c r="O395">
        <v>307</v>
      </c>
      <c r="P395">
        <v>0</v>
      </c>
      <c r="Q395">
        <v>0</v>
      </c>
      <c r="R395">
        <v>0</v>
      </c>
      <c r="S395">
        <v>0</v>
      </c>
      <c r="T395">
        <v>1000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 t="s">
        <v>38</v>
      </c>
      <c r="AI395" t="s">
        <v>27</v>
      </c>
      <c r="AJ395" s="1"/>
      <c r="AK395" t="s">
        <v>28</v>
      </c>
      <c r="AL39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395">
        <f>SUM(Rel_2026[[#This Row],[qtd_TrxContabil]:[VLR_EXP_SORTE]])</f>
        <v>1307</v>
      </c>
      <c r="AN39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396" spans="1:40" x14ac:dyDescent="0.3">
      <c r="A396" t="str">
        <f>IF(Rel_2026[[#This Row],[Zero]]=0,"Zero",IF(Rel_2026[[#This Row],[Pontuação]]&gt;=10,"Sim",IF(Rel_2026[[#This Row],[Pontuação]]&gt;=5,"Próximo","Não")))</f>
        <v>Sim</v>
      </c>
      <c r="B396" t="str">
        <f>IF(Rel_2026[[#This Row],[Zero]]=0,"Zero",IF(Rel_2026[[#This Row],[Pontuação2]]&gt;=10,"Sim",IF(Rel_2026[[#This Row],[Pontuação2]]&gt;=5,"Próximo","Não")))</f>
        <v>Sim</v>
      </c>
      <c r="C396" t="str">
        <f>IFERROR(VLOOKUP(Rel_2026[[#This Row],[chave_loja]],Responsavel!A:B,2,FALSE),"EUCLIDES")</f>
        <v>CÉLIO</v>
      </c>
      <c r="D396" t="str">
        <f>LEFT(Rel_2026[[#This Row],[ag_pacb]],4)</f>
        <v>1579</v>
      </c>
      <c r="E396">
        <v>39480</v>
      </c>
      <c r="F396" t="s">
        <v>290</v>
      </c>
      <c r="G396" t="s">
        <v>291</v>
      </c>
      <c r="H396" s="1">
        <v>44181</v>
      </c>
      <c r="I396" t="s">
        <v>23</v>
      </c>
      <c r="J396" t="s">
        <v>292</v>
      </c>
      <c r="K396" s="1">
        <v>42208</v>
      </c>
      <c r="L396" s="1">
        <v>45470</v>
      </c>
      <c r="M396" t="s">
        <v>32</v>
      </c>
      <c r="N396" s="1">
        <v>46254</v>
      </c>
      <c r="O396">
        <v>1098</v>
      </c>
      <c r="P396">
        <v>0</v>
      </c>
      <c r="Q396">
        <v>0</v>
      </c>
      <c r="R396">
        <v>0</v>
      </c>
      <c r="S396">
        <v>0</v>
      </c>
      <c r="T396">
        <v>9650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 t="s">
        <v>26</v>
      </c>
      <c r="AI396" t="s">
        <v>27</v>
      </c>
      <c r="AJ396" s="1"/>
      <c r="AK396" t="s">
        <v>28</v>
      </c>
      <c r="AL39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97</v>
      </c>
      <c r="AM396">
        <f>SUM(Rel_2026[[#This Row],[qtd_TrxContabil]:[VLR_EXP_SORTE]])</f>
        <v>10748</v>
      </c>
      <c r="AN39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97</v>
      </c>
    </row>
    <row r="397" spans="1:40" x14ac:dyDescent="0.3">
      <c r="A397" t="str">
        <f>IF(Rel_2026[[#This Row],[Zero]]=0,"Zero",IF(Rel_2026[[#This Row],[Pontuação]]&gt;=10,"Sim",IF(Rel_2026[[#This Row],[Pontuação]]&gt;=5,"Próximo","Não")))</f>
        <v>Sim</v>
      </c>
      <c r="B397" t="str">
        <f>IF(Rel_2026[[#This Row],[Zero]]=0,"Zero",IF(Rel_2026[[#This Row],[Pontuação2]]&gt;=10,"Sim",IF(Rel_2026[[#This Row],[Pontuação2]]&gt;=5,"Próximo","Não")))</f>
        <v>Sim</v>
      </c>
      <c r="C397" t="str">
        <f>IFERROR(VLOOKUP(Rel_2026[[#This Row],[chave_loja]],Responsavel!A:B,2,FALSE),"EUCLIDES")</f>
        <v>JACK</v>
      </c>
      <c r="D397" t="str">
        <f>LEFT(Rel_2026[[#This Row],[ag_pacb]],4)</f>
        <v>5808</v>
      </c>
      <c r="E397">
        <v>118558</v>
      </c>
      <c r="F397" t="s">
        <v>862</v>
      </c>
      <c r="G397" t="s">
        <v>863</v>
      </c>
      <c r="H397" s="1">
        <v>44141</v>
      </c>
      <c r="I397" t="s">
        <v>107</v>
      </c>
      <c r="J397" t="s">
        <v>845</v>
      </c>
      <c r="K397" s="1">
        <v>44085</v>
      </c>
      <c r="L397" s="1">
        <v>45587</v>
      </c>
      <c r="M397" t="s">
        <v>109</v>
      </c>
      <c r="N397" s="1">
        <v>46254</v>
      </c>
      <c r="O397">
        <v>1808</v>
      </c>
      <c r="P397">
        <v>4</v>
      </c>
      <c r="Q397">
        <v>4</v>
      </c>
      <c r="R397">
        <v>0</v>
      </c>
      <c r="S397">
        <v>0</v>
      </c>
      <c r="T397">
        <v>1500</v>
      </c>
      <c r="U397">
        <v>15233</v>
      </c>
      <c r="V397">
        <v>15233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3</v>
      </c>
      <c r="AF397">
        <v>5</v>
      </c>
      <c r="AG397">
        <v>0</v>
      </c>
      <c r="AH397" t="s">
        <v>38</v>
      </c>
      <c r="AI397" t="s">
        <v>27</v>
      </c>
      <c r="AJ397" s="1"/>
      <c r="AK397" t="s">
        <v>28</v>
      </c>
      <c r="AL39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62</v>
      </c>
      <c r="AM397">
        <f>SUM(Rel_2026[[#This Row],[qtd_TrxContabil]:[VLR_EXP_SORTE]])</f>
        <v>33791</v>
      </c>
      <c r="AN39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62</v>
      </c>
    </row>
    <row r="398" spans="1:40" x14ac:dyDescent="0.3">
      <c r="A398" t="str">
        <f>IF(Rel_2026[[#This Row],[Zero]]=0,"Zero",IF(Rel_2026[[#This Row],[Pontuação]]&gt;=10,"Sim",IF(Rel_2026[[#This Row],[Pontuação]]&gt;=5,"Próximo","Não")))</f>
        <v>Não</v>
      </c>
      <c r="B398" t="str">
        <f>IF(Rel_2026[[#This Row],[Zero]]=0,"Zero",IF(Rel_2026[[#This Row],[Pontuação2]]&gt;=10,"Sim",IF(Rel_2026[[#This Row],[Pontuação2]]&gt;=5,"Próximo","Não")))</f>
        <v>Próximo</v>
      </c>
      <c r="C398" t="str">
        <f>IFERROR(VLOOKUP(Rel_2026[[#This Row],[chave_loja]],Responsavel!A:B,2,FALSE),"EUCLIDES")</f>
        <v>JOSELITO</v>
      </c>
      <c r="D398" t="str">
        <f>LEFT(Rel_2026[[#This Row],[ag_pacb]],4)</f>
        <v>0685</v>
      </c>
      <c r="E398">
        <v>156918</v>
      </c>
      <c r="F398" t="s">
        <v>740</v>
      </c>
      <c r="G398" t="s">
        <v>741</v>
      </c>
      <c r="H398" s="1">
        <v>44127</v>
      </c>
      <c r="I398" t="s">
        <v>23</v>
      </c>
      <c r="J398" t="s">
        <v>552</v>
      </c>
      <c r="K398" s="1">
        <v>45306</v>
      </c>
      <c r="L398" s="1">
        <v>46253</v>
      </c>
      <c r="M398" t="s">
        <v>25</v>
      </c>
      <c r="N398" s="1">
        <v>46254</v>
      </c>
      <c r="O398">
        <v>2743</v>
      </c>
      <c r="P398">
        <v>1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 t="s">
        <v>26</v>
      </c>
      <c r="AI398" t="s">
        <v>27</v>
      </c>
      <c r="AJ398" s="1"/>
      <c r="AK398" t="s">
        <v>28</v>
      </c>
      <c r="AL39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398">
        <f>SUM(Rel_2026[[#This Row],[qtd_TrxContabil]:[VLR_EXP_SORTE]])</f>
        <v>2745</v>
      </c>
      <c r="AN39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399" spans="1:40" x14ac:dyDescent="0.3">
      <c r="A399" t="str">
        <f>IF(Rel_2026[[#This Row],[Zero]]=0,"Zero",IF(Rel_2026[[#This Row],[Pontuação]]&gt;=10,"Sim",IF(Rel_2026[[#This Row],[Pontuação]]&gt;=5,"Próximo","Não")))</f>
        <v>Próximo</v>
      </c>
      <c r="B399" t="str">
        <f>IF(Rel_2026[[#This Row],[Zero]]=0,"Zero",IF(Rel_2026[[#This Row],[Pontuação2]]&gt;=10,"Sim",IF(Rel_2026[[#This Row],[Pontuação2]]&gt;=5,"Próximo","Não")))</f>
        <v>Sim</v>
      </c>
      <c r="C399" t="str">
        <f>IFERROR(VLOOKUP(Rel_2026[[#This Row],[chave_loja]],Responsavel!A:B,2,FALSE),"EUCLIDES")</f>
        <v>IVAN</v>
      </c>
      <c r="D399" t="str">
        <f>LEFT(Rel_2026[[#This Row],[ag_pacb]],4)</f>
        <v>0765</v>
      </c>
      <c r="E399">
        <v>406832</v>
      </c>
      <c r="F399" t="s">
        <v>1037</v>
      </c>
      <c r="G399" t="s">
        <v>1038</v>
      </c>
      <c r="H399" s="1">
        <v>45579</v>
      </c>
      <c r="I399" t="s">
        <v>23</v>
      </c>
      <c r="J399" t="s">
        <v>1002</v>
      </c>
      <c r="K399" s="1">
        <v>45573</v>
      </c>
      <c r="L399" s="1">
        <v>45588</v>
      </c>
      <c r="M399" t="s">
        <v>25</v>
      </c>
      <c r="N399" s="1">
        <v>46254</v>
      </c>
      <c r="O399">
        <v>241</v>
      </c>
      <c r="P399">
        <v>1</v>
      </c>
      <c r="Q399">
        <v>1</v>
      </c>
      <c r="R399">
        <v>1</v>
      </c>
      <c r="S399">
        <v>0</v>
      </c>
      <c r="T399">
        <v>200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 t="s">
        <v>26</v>
      </c>
      <c r="AI399" t="s">
        <v>27</v>
      </c>
      <c r="AJ399" s="1"/>
      <c r="AK399" t="s">
        <v>28</v>
      </c>
      <c r="AL39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</v>
      </c>
      <c r="AM399">
        <f>SUM(Rel_2026[[#This Row],[qtd_TrxContabil]:[VLR_EXP_SORTE]])</f>
        <v>445</v>
      </c>
      <c r="AN39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</row>
    <row r="400" spans="1:40" x14ac:dyDescent="0.3">
      <c r="A400" t="str">
        <f>IF(Rel_2026[[#This Row],[Zero]]=0,"Zero",IF(Rel_2026[[#This Row],[Pontuação]]&gt;=10,"Sim",IF(Rel_2026[[#This Row],[Pontuação]]&gt;=5,"Próximo","Não")))</f>
        <v>Próximo</v>
      </c>
      <c r="B400" t="str">
        <f>IF(Rel_2026[[#This Row],[Zero]]=0,"Zero",IF(Rel_2026[[#This Row],[Pontuação2]]&gt;=10,"Sim",IF(Rel_2026[[#This Row],[Pontuação2]]&gt;=5,"Próximo","Não")))</f>
        <v>Sim</v>
      </c>
      <c r="C400" t="str">
        <f>IFERROR(VLOOKUP(Rel_2026[[#This Row],[chave_loja]],Responsavel!A:B,2,FALSE),"EUCLIDES")</f>
        <v>JUNIOR</v>
      </c>
      <c r="D400" t="str">
        <f>LEFT(Rel_2026[[#This Row],[ag_pacb]],4)</f>
        <v>1351</v>
      </c>
      <c r="E400">
        <v>413281</v>
      </c>
      <c r="F400" t="s">
        <v>324</v>
      </c>
      <c r="G400" t="s">
        <v>325</v>
      </c>
      <c r="H400" s="1">
        <v>45825</v>
      </c>
      <c r="I400" t="s">
        <v>23</v>
      </c>
      <c r="J400" t="s">
        <v>239</v>
      </c>
      <c r="K400" s="1">
        <v>45803</v>
      </c>
      <c r="L400" s="1">
        <v>46126</v>
      </c>
      <c r="M400" t="s">
        <v>32</v>
      </c>
      <c r="N400" s="1">
        <v>46252</v>
      </c>
      <c r="O400">
        <v>794</v>
      </c>
      <c r="P400">
        <v>1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 t="s">
        <v>26</v>
      </c>
      <c r="AI400" t="s">
        <v>27</v>
      </c>
      <c r="AJ400" s="1"/>
      <c r="AK400" t="s">
        <v>28</v>
      </c>
      <c r="AL40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400">
        <f>SUM(Rel_2026[[#This Row],[qtd_TrxContabil]:[VLR_EXP_SORTE]])</f>
        <v>798</v>
      </c>
      <c r="AN40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401" spans="1:40" x14ac:dyDescent="0.3">
      <c r="A401" t="str">
        <f>IF(Rel_2026[[#This Row],[Zero]]=0,"Zero",IF(Rel_2026[[#This Row],[Pontuação]]&gt;=10,"Sim",IF(Rel_2026[[#This Row],[Pontuação]]&gt;=5,"Próximo","Não")))</f>
        <v>Não</v>
      </c>
      <c r="B401" t="str">
        <f>IF(Rel_2026[[#This Row],[Zero]]=0,"Zero",IF(Rel_2026[[#This Row],[Pontuação2]]&gt;=10,"Sim",IF(Rel_2026[[#This Row],[Pontuação2]]&gt;=5,"Próximo","Não")))</f>
        <v>Próximo</v>
      </c>
      <c r="C401" t="str">
        <f>IFERROR(VLOOKUP(Rel_2026[[#This Row],[chave_loja]],Responsavel!A:B,2,FALSE),"EUCLIDES")</f>
        <v>WASTHSON</v>
      </c>
      <c r="D401" t="str">
        <f>LEFT(Rel_2026[[#This Row],[ag_pacb]],4)</f>
        <v>0702</v>
      </c>
      <c r="E401">
        <v>415797</v>
      </c>
      <c r="F401" t="s">
        <v>152</v>
      </c>
      <c r="G401" t="s">
        <v>153</v>
      </c>
      <c r="H401" s="1">
        <v>45888</v>
      </c>
      <c r="I401" t="s">
        <v>23</v>
      </c>
      <c r="J401" t="s">
        <v>114</v>
      </c>
      <c r="K401" s="1">
        <v>45883</v>
      </c>
      <c r="L401" s="1">
        <v>45909</v>
      </c>
      <c r="M401" t="s">
        <v>32</v>
      </c>
      <c r="N401" s="1">
        <v>46254</v>
      </c>
      <c r="O401">
        <v>644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 t="s">
        <v>26</v>
      </c>
      <c r="AI401" t="s">
        <v>27</v>
      </c>
      <c r="AJ401" s="1"/>
      <c r="AK401" t="s">
        <v>28</v>
      </c>
      <c r="AL40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401">
        <f>SUM(Rel_2026[[#This Row],[qtd_TrxContabil]:[VLR_EXP_SORTE]])</f>
        <v>646</v>
      </c>
      <c r="AN40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402" spans="1:40" x14ac:dyDescent="0.3">
      <c r="A402" t="str">
        <f>IF(Rel_2026[[#This Row],[Zero]]=0,"Zero",IF(Rel_2026[[#This Row],[Pontuação]]&gt;=10,"Sim",IF(Rel_2026[[#This Row],[Pontuação]]&gt;=5,"Próximo","Não")))</f>
        <v>Não</v>
      </c>
      <c r="B402" t="str">
        <f>IF(Rel_2026[[#This Row],[Zero]]=0,"Zero",IF(Rel_2026[[#This Row],[Pontuação2]]&gt;=10,"Sim",IF(Rel_2026[[#This Row],[Pontuação2]]&gt;=5,"Próximo","Não")))</f>
        <v>Não</v>
      </c>
      <c r="C402" t="str">
        <f>IFERROR(VLOOKUP(Rel_2026[[#This Row],[chave_loja]],Responsavel!A:B,2,FALSE),"EUCLIDES")</f>
        <v>JUNIOR</v>
      </c>
      <c r="D402" t="str">
        <f>LEFT(Rel_2026[[#This Row],[ag_pacb]],4)</f>
        <v>1351</v>
      </c>
      <c r="E402">
        <v>84575</v>
      </c>
      <c r="F402" t="s">
        <v>154</v>
      </c>
      <c r="G402" t="s">
        <v>984</v>
      </c>
      <c r="H402" s="1">
        <v>45198</v>
      </c>
      <c r="I402" t="s">
        <v>23</v>
      </c>
      <c r="J402" t="s">
        <v>485</v>
      </c>
      <c r="K402" s="1">
        <v>42237</v>
      </c>
      <c r="L402" s="1">
        <v>45589</v>
      </c>
      <c r="M402" t="s">
        <v>32</v>
      </c>
      <c r="N402" s="1">
        <v>46254</v>
      </c>
      <c r="O402">
        <v>389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 t="s">
        <v>26</v>
      </c>
      <c r="AI402" t="s">
        <v>27</v>
      </c>
      <c r="AJ402" s="1"/>
      <c r="AK402" t="s">
        <v>28</v>
      </c>
      <c r="AL40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02">
        <f>SUM(Rel_2026[[#This Row],[qtd_TrxContabil]:[VLR_EXP_SORTE]])</f>
        <v>389</v>
      </c>
      <c r="AN40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03" spans="1:40" x14ac:dyDescent="0.3">
      <c r="A403" t="str">
        <f>IF(Rel_2026[[#This Row],[Zero]]=0,"Zero",IF(Rel_2026[[#This Row],[Pontuação]]&gt;=10,"Sim",IF(Rel_2026[[#This Row],[Pontuação]]&gt;=5,"Próximo","Não")))</f>
        <v>Não</v>
      </c>
      <c r="B403" t="str">
        <f>IF(Rel_2026[[#This Row],[Zero]]=0,"Zero",IF(Rel_2026[[#This Row],[Pontuação2]]&gt;=10,"Sim",IF(Rel_2026[[#This Row],[Pontuação2]]&gt;=5,"Próximo","Não")))</f>
        <v>Não</v>
      </c>
      <c r="C403" t="str">
        <f>IFERROR(VLOOKUP(Rel_2026[[#This Row],[chave_loja]],Responsavel!A:B,2,FALSE),"EUCLIDES")</f>
        <v>JUNIOR</v>
      </c>
      <c r="D403" t="str">
        <f>LEFT(Rel_2026[[#This Row],[ag_pacb]],4)</f>
        <v>1351</v>
      </c>
      <c r="E403">
        <v>166720</v>
      </c>
      <c r="F403" t="s">
        <v>752</v>
      </c>
      <c r="G403" t="s">
        <v>753</v>
      </c>
      <c r="H403" s="1">
        <v>45890</v>
      </c>
      <c r="I403" t="s">
        <v>23</v>
      </c>
      <c r="J403" t="s">
        <v>239</v>
      </c>
      <c r="K403" s="1">
        <v>43326</v>
      </c>
      <c r="L403" s="1">
        <v>45923</v>
      </c>
      <c r="M403" t="s">
        <v>32</v>
      </c>
      <c r="N403" s="1">
        <v>46254</v>
      </c>
      <c r="O403">
        <v>1281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 t="s">
        <v>38</v>
      </c>
      <c r="AI403" t="s">
        <v>27</v>
      </c>
      <c r="AJ403" s="1"/>
      <c r="AK403" t="s">
        <v>28</v>
      </c>
      <c r="AL40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03">
        <f>SUM(Rel_2026[[#This Row],[qtd_TrxContabil]:[VLR_EXP_SORTE]])</f>
        <v>1281</v>
      </c>
      <c r="AN40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04" spans="1:40" x14ac:dyDescent="0.3">
      <c r="A404" t="str">
        <f>IF(Rel_2026[[#This Row],[Zero]]=0,"Zero",IF(Rel_2026[[#This Row],[Pontuação]]&gt;=10,"Sim",IF(Rel_2026[[#This Row],[Pontuação]]&gt;=5,"Próximo","Não")))</f>
        <v>Zero</v>
      </c>
      <c r="B404" t="str">
        <f>IF(Rel_2026[[#This Row],[Zero]]=0,"Zero",IF(Rel_2026[[#This Row],[Pontuação2]]&gt;=10,"Sim",IF(Rel_2026[[#This Row],[Pontuação2]]&gt;=5,"Próximo","Não")))</f>
        <v>Zero</v>
      </c>
      <c r="C404" t="str">
        <f>IFERROR(VLOOKUP(Rel_2026[[#This Row],[chave_loja]],Responsavel!A:B,2,FALSE),"EUCLIDES")</f>
        <v>ISMAEL</v>
      </c>
      <c r="D404" t="str">
        <f>LEFT(Rel_2026[[#This Row],[ag_pacb]],4)</f>
        <v>1302</v>
      </c>
      <c r="E404">
        <v>186079</v>
      </c>
      <c r="F404" t="s">
        <v>711</v>
      </c>
      <c r="G404" t="s">
        <v>712</v>
      </c>
      <c r="H404" s="1">
        <v>44217</v>
      </c>
      <c r="I404" t="s">
        <v>23</v>
      </c>
      <c r="J404" t="s">
        <v>45</v>
      </c>
      <c r="K404" s="1">
        <v>45306</v>
      </c>
      <c r="L404" s="1">
        <v>46093</v>
      </c>
      <c r="M404" t="s">
        <v>32</v>
      </c>
      <c r="N404" s="1">
        <v>46225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 t="s">
        <v>26</v>
      </c>
      <c r="AI404" t="s">
        <v>27</v>
      </c>
      <c r="AJ404" s="1"/>
      <c r="AK404" t="s">
        <v>28</v>
      </c>
      <c r="AL40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04">
        <f>SUM(Rel_2026[[#This Row],[qtd_TrxContabil]:[VLR_EXP_SORTE]])</f>
        <v>0</v>
      </c>
      <c r="AN40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05" spans="1:40" x14ac:dyDescent="0.3">
      <c r="A405" t="str">
        <f>IF(Rel_2026[[#This Row],[Zero]]=0,"Zero",IF(Rel_2026[[#This Row],[Pontuação]]&gt;=10,"Sim",IF(Rel_2026[[#This Row],[Pontuação]]&gt;=5,"Próximo","Não")))</f>
        <v>Sim</v>
      </c>
      <c r="B405" t="str">
        <f>IF(Rel_2026[[#This Row],[Zero]]=0,"Zero",IF(Rel_2026[[#This Row],[Pontuação2]]&gt;=10,"Sim",IF(Rel_2026[[#This Row],[Pontuação2]]&gt;=5,"Próximo","Não")))</f>
        <v>Sim</v>
      </c>
      <c r="C405" t="str">
        <f>IFERROR(VLOOKUP(Rel_2026[[#This Row],[chave_loja]],Responsavel!A:B,2,FALSE),"EUCLIDES")</f>
        <v>CÉLIO</v>
      </c>
      <c r="D405" t="str">
        <f>LEFT(Rel_2026[[#This Row],[ag_pacb]],4)</f>
        <v>0649</v>
      </c>
      <c r="E405">
        <v>422150</v>
      </c>
      <c r="F405" t="s">
        <v>1177</v>
      </c>
      <c r="G405" t="s">
        <v>1178</v>
      </c>
      <c r="H405" s="1">
        <v>46105</v>
      </c>
      <c r="I405" t="s">
        <v>23</v>
      </c>
      <c r="J405" t="s">
        <v>24</v>
      </c>
      <c r="K405" s="1">
        <v>46049</v>
      </c>
      <c r="L405" s="1">
        <v>46240</v>
      </c>
      <c r="M405" t="s">
        <v>32</v>
      </c>
      <c r="N405" s="1">
        <v>46254</v>
      </c>
      <c r="O405">
        <v>61</v>
      </c>
      <c r="P405">
        <v>32</v>
      </c>
      <c r="Q405">
        <v>20</v>
      </c>
      <c r="R405">
        <v>31</v>
      </c>
      <c r="S405">
        <v>3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4</v>
      </c>
      <c r="AC405">
        <v>0</v>
      </c>
      <c r="AD405">
        <v>0</v>
      </c>
      <c r="AE405">
        <v>0</v>
      </c>
      <c r="AF405">
        <v>32</v>
      </c>
      <c r="AG405">
        <v>0</v>
      </c>
      <c r="AH405" t="s">
        <v>26</v>
      </c>
      <c r="AI405" t="s">
        <v>27</v>
      </c>
      <c r="AJ405" s="1"/>
      <c r="AK405" t="s">
        <v>28</v>
      </c>
      <c r="AL40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176</v>
      </c>
      <c r="AM405">
        <f>SUM(Rel_2026[[#This Row],[qtd_TrxContabil]:[VLR_EXP_SORTE]])</f>
        <v>183</v>
      </c>
      <c r="AN40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269</v>
      </c>
    </row>
    <row r="406" spans="1:40" x14ac:dyDescent="0.3">
      <c r="A406" t="str">
        <f>IF(Rel_2026[[#This Row],[Zero]]=0,"Zero",IF(Rel_2026[[#This Row],[Pontuação]]&gt;=10,"Sim",IF(Rel_2026[[#This Row],[Pontuação]]&gt;=5,"Próximo","Não")))</f>
        <v>Próximo</v>
      </c>
      <c r="B406" t="str">
        <f>IF(Rel_2026[[#This Row],[Zero]]=0,"Zero",IF(Rel_2026[[#This Row],[Pontuação2]]&gt;=10,"Sim",IF(Rel_2026[[#This Row],[Pontuação2]]&gt;=5,"Próximo","Não")))</f>
        <v>Sim</v>
      </c>
      <c r="C406" t="str">
        <f>IFERROR(VLOOKUP(Rel_2026[[#This Row],[chave_loja]],Responsavel!A:B,2,FALSE),"EUCLIDES")</f>
        <v>ALEX SIQUEIRA</v>
      </c>
      <c r="D406" t="str">
        <f>LEFT(Rel_2026[[#This Row],[ag_pacb]],4)</f>
        <v>0726</v>
      </c>
      <c r="E406">
        <v>422116</v>
      </c>
      <c r="F406" t="s">
        <v>1139</v>
      </c>
      <c r="G406" t="s">
        <v>1140</v>
      </c>
      <c r="H406" s="1">
        <v>46050</v>
      </c>
      <c r="I406" t="s">
        <v>23</v>
      </c>
      <c r="J406" t="s">
        <v>192</v>
      </c>
      <c r="K406" s="1">
        <v>46046</v>
      </c>
      <c r="L406" s="1">
        <v>46059</v>
      </c>
      <c r="M406" t="s">
        <v>109</v>
      </c>
      <c r="N406" s="1">
        <v>46254</v>
      </c>
      <c r="O406">
        <v>42</v>
      </c>
      <c r="P406">
        <v>1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 t="s">
        <v>26</v>
      </c>
      <c r="AI406" t="s">
        <v>27</v>
      </c>
      <c r="AJ406" s="1"/>
      <c r="AK406" t="s">
        <v>28</v>
      </c>
      <c r="AL40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406">
        <f>SUM(Rel_2026[[#This Row],[qtd_TrxContabil]:[VLR_EXP_SORTE]])</f>
        <v>45</v>
      </c>
      <c r="AN40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407" spans="1:40" x14ac:dyDescent="0.3">
      <c r="A407" t="str">
        <f>IF(Rel_2026[[#This Row],[Zero]]=0,"Zero",IF(Rel_2026[[#This Row],[Pontuação]]&gt;=10,"Sim",IF(Rel_2026[[#This Row],[Pontuação]]&gt;=5,"Próximo","Não")))</f>
        <v>Não</v>
      </c>
      <c r="B407" t="str">
        <f>IF(Rel_2026[[#This Row],[Zero]]=0,"Zero",IF(Rel_2026[[#This Row],[Pontuação2]]&gt;=10,"Sim",IF(Rel_2026[[#This Row],[Pontuação2]]&gt;=5,"Próximo","Não")))</f>
        <v>Próximo</v>
      </c>
      <c r="C407" t="str">
        <f>IFERROR(VLOOKUP(Rel_2026[[#This Row],[chave_loja]],Responsavel!A:B,2,FALSE),"EUCLIDES")</f>
        <v>ROSSY</v>
      </c>
      <c r="D407" t="str">
        <f>LEFT(Rel_2026[[#This Row],[ag_pacb]],4)</f>
        <v>5798</v>
      </c>
      <c r="E407">
        <v>130816</v>
      </c>
      <c r="F407" t="s">
        <v>868</v>
      </c>
      <c r="G407" t="s">
        <v>870</v>
      </c>
      <c r="H407" s="1">
        <v>44372</v>
      </c>
      <c r="I407" t="s">
        <v>107</v>
      </c>
      <c r="J407" t="s">
        <v>850</v>
      </c>
      <c r="K407" s="1">
        <v>45306</v>
      </c>
      <c r="L407" s="1">
        <v>46196</v>
      </c>
      <c r="M407" t="s">
        <v>109</v>
      </c>
      <c r="N407" s="1">
        <v>46253</v>
      </c>
      <c r="O407">
        <v>168</v>
      </c>
      <c r="P407">
        <v>1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 t="s">
        <v>26</v>
      </c>
      <c r="AI407" t="s">
        <v>27</v>
      </c>
      <c r="AJ407" s="1"/>
      <c r="AK407" t="s">
        <v>28</v>
      </c>
      <c r="AL40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407">
        <f>SUM(Rel_2026[[#This Row],[qtd_TrxContabil]:[VLR_EXP_SORTE]])</f>
        <v>170</v>
      </c>
      <c r="AN40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408" spans="1:40" x14ac:dyDescent="0.3">
      <c r="A408" t="str">
        <f>IF(Rel_2026[[#This Row],[Zero]]=0,"Zero",IF(Rel_2026[[#This Row],[Pontuação]]&gt;=10,"Sim",IF(Rel_2026[[#This Row],[Pontuação]]&gt;=5,"Próximo","Não")))</f>
        <v>Não</v>
      </c>
      <c r="B408" t="str">
        <f>IF(Rel_2026[[#This Row],[Zero]]=0,"Zero",IF(Rel_2026[[#This Row],[Pontuação2]]&gt;=10,"Sim",IF(Rel_2026[[#This Row],[Pontuação2]]&gt;=5,"Próximo","Não")))</f>
        <v>Não</v>
      </c>
      <c r="C408" t="str">
        <f>IFERROR(VLOOKUP(Rel_2026[[#This Row],[chave_loja]],Responsavel!A:B,2,FALSE),"EUCLIDES")</f>
        <v>PAULO</v>
      </c>
      <c r="D408" t="str">
        <f>LEFT(Rel_2026[[#This Row],[ag_pacb]],4)</f>
        <v>0937</v>
      </c>
      <c r="E408">
        <v>161347</v>
      </c>
      <c r="F408" t="s">
        <v>1114</v>
      </c>
      <c r="G408" t="s">
        <v>1115</v>
      </c>
      <c r="H408" s="1">
        <v>44229</v>
      </c>
      <c r="I408" t="s">
        <v>107</v>
      </c>
      <c r="J408" t="s">
        <v>1116</v>
      </c>
      <c r="K408" s="1">
        <v>44014</v>
      </c>
      <c r="L408" s="1">
        <v>44959</v>
      </c>
      <c r="M408" t="s">
        <v>109</v>
      </c>
      <c r="N408" s="1">
        <v>46254</v>
      </c>
      <c r="O408">
        <v>819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 t="s">
        <v>38</v>
      </c>
      <c r="AI408" t="s">
        <v>27</v>
      </c>
      <c r="AJ408" s="1"/>
      <c r="AK408" t="s">
        <v>28</v>
      </c>
      <c r="AL40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08">
        <f>SUM(Rel_2026[[#This Row],[qtd_TrxContabil]:[VLR_EXP_SORTE]])</f>
        <v>819</v>
      </c>
      <c r="AN40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09" spans="1:40" x14ac:dyDescent="0.3">
      <c r="A409" t="str">
        <f>IF(Rel_2026[[#This Row],[Zero]]=0,"Zero",IF(Rel_2026[[#This Row],[Pontuação]]&gt;=10,"Sim",IF(Rel_2026[[#This Row],[Pontuação]]&gt;=5,"Próximo","Não")))</f>
        <v>Não</v>
      </c>
      <c r="B409" t="str">
        <f>IF(Rel_2026[[#This Row],[Zero]]=0,"Zero",IF(Rel_2026[[#This Row],[Pontuação2]]&gt;=10,"Sim",IF(Rel_2026[[#This Row],[Pontuação2]]&gt;=5,"Próximo","Não")))</f>
        <v>Não</v>
      </c>
      <c r="C409" t="str">
        <f>IFERROR(VLOOKUP(Rel_2026[[#This Row],[chave_loja]],Responsavel!A:B,2,FALSE),"EUCLIDES")</f>
        <v>ISMAEL</v>
      </c>
      <c r="D409" t="str">
        <f>LEFT(Rel_2026[[#This Row],[ag_pacb]],4)</f>
        <v>5365</v>
      </c>
      <c r="E409">
        <v>37308</v>
      </c>
      <c r="F409" t="s">
        <v>1363</v>
      </c>
      <c r="G409" t="s">
        <v>1364</v>
      </c>
      <c r="H409" s="1">
        <v>44820</v>
      </c>
      <c r="I409" t="s">
        <v>23</v>
      </c>
      <c r="J409" t="s">
        <v>175</v>
      </c>
      <c r="K409" s="1">
        <v>42164</v>
      </c>
      <c r="L409" s="1">
        <v>44847</v>
      </c>
      <c r="M409" t="s">
        <v>25</v>
      </c>
      <c r="N409" s="1">
        <v>46254</v>
      </c>
      <c r="O409">
        <v>20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 t="s">
        <v>26</v>
      </c>
      <c r="AI409" t="s">
        <v>27</v>
      </c>
      <c r="AJ409" s="1"/>
      <c r="AK409" t="s">
        <v>28</v>
      </c>
      <c r="AL40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09">
        <f>SUM(Rel_2026[[#This Row],[qtd_TrxContabil]:[VLR_EXP_SORTE]])</f>
        <v>20</v>
      </c>
      <c r="AN40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10" spans="1:40" x14ac:dyDescent="0.3">
      <c r="A410" t="str">
        <f>IF(Rel_2026[[#This Row],[Zero]]=0,"Zero",IF(Rel_2026[[#This Row],[Pontuação]]&gt;=10,"Sim",IF(Rel_2026[[#This Row],[Pontuação]]&gt;=5,"Próximo","Não")))</f>
        <v>Próximo</v>
      </c>
      <c r="B410" t="str">
        <f>IF(Rel_2026[[#This Row],[Zero]]=0,"Zero",IF(Rel_2026[[#This Row],[Pontuação2]]&gt;=10,"Sim",IF(Rel_2026[[#This Row],[Pontuação2]]&gt;=5,"Próximo","Não")))</f>
        <v>Sim</v>
      </c>
      <c r="C410" t="str">
        <f>IFERROR(VLOOKUP(Rel_2026[[#This Row],[chave_loja]],Responsavel!A:B,2,FALSE),"EUCLIDES")</f>
        <v>JUNIOR</v>
      </c>
      <c r="D410" t="str">
        <f>LEFT(Rel_2026[[#This Row],[ag_pacb]],4)</f>
        <v>1351</v>
      </c>
      <c r="E410">
        <v>182179</v>
      </c>
      <c r="F410" t="s">
        <v>999</v>
      </c>
      <c r="G410" t="s">
        <v>1000</v>
      </c>
      <c r="H410" s="1">
        <v>45561</v>
      </c>
      <c r="I410" t="s">
        <v>23</v>
      </c>
      <c r="J410" t="s">
        <v>993</v>
      </c>
      <c r="K410" s="1">
        <v>45120</v>
      </c>
      <c r="L410" s="1">
        <v>44518</v>
      </c>
      <c r="M410" t="s">
        <v>32</v>
      </c>
      <c r="N410" s="1">
        <v>46254</v>
      </c>
      <c r="O410">
        <v>440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1</v>
      </c>
      <c r="AG410">
        <v>0</v>
      </c>
      <c r="AH410" t="s">
        <v>26</v>
      </c>
      <c r="AI410" t="s">
        <v>27</v>
      </c>
      <c r="AJ410" s="1"/>
      <c r="AK410" t="s">
        <v>28</v>
      </c>
      <c r="AL4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410">
        <f>SUM(Rel_2026[[#This Row],[qtd_TrxContabil]:[VLR_EXP_SORTE]])</f>
        <v>446</v>
      </c>
      <c r="AN4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411" spans="1:40" x14ac:dyDescent="0.3">
      <c r="A411" t="str">
        <f>IF(Rel_2026[[#This Row],[Zero]]=0,"Zero",IF(Rel_2026[[#This Row],[Pontuação]]&gt;=10,"Sim",IF(Rel_2026[[#This Row],[Pontuação]]&gt;=5,"Próximo","Não")))</f>
        <v>Sim</v>
      </c>
      <c r="B411" t="str">
        <f>IF(Rel_2026[[#This Row],[Zero]]=0,"Zero",IF(Rel_2026[[#This Row],[Pontuação2]]&gt;=10,"Sim",IF(Rel_2026[[#This Row],[Pontuação2]]&gt;=5,"Próximo","Não")))</f>
        <v>Sim</v>
      </c>
      <c r="C411" t="str">
        <f>IFERROR(VLOOKUP(Rel_2026[[#This Row],[chave_loja]],Responsavel!A:B,2,FALSE),"EUCLIDES")</f>
        <v>JACK</v>
      </c>
      <c r="D411" t="str">
        <f>LEFT(Rel_2026[[#This Row],[ag_pacb]],4)</f>
        <v>5795</v>
      </c>
      <c r="E411">
        <v>204297</v>
      </c>
      <c r="F411" t="s">
        <v>927</v>
      </c>
      <c r="G411" t="s">
        <v>928</v>
      </c>
      <c r="H411" s="1">
        <v>44154</v>
      </c>
      <c r="I411" t="s">
        <v>107</v>
      </c>
      <c r="J411" t="s">
        <v>890</v>
      </c>
      <c r="K411" s="1">
        <v>44099</v>
      </c>
      <c r="L411" s="1">
        <v>44767</v>
      </c>
      <c r="M411" t="s">
        <v>109</v>
      </c>
      <c r="N411" s="1">
        <v>46254</v>
      </c>
      <c r="O411">
        <v>1704</v>
      </c>
      <c r="P411">
        <v>11</v>
      </c>
      <c r="Q411">
        <v>2</v>
      </c>
      <c r="R411">
        <v>2</v>
      </c>
      <c r="S411">
        <v>0</v>
      </c>
      <c r="T411">
        <v>551</v>
      </c>
      <c r="U411">
        <v>51155</v>
      </c>
      <c r="V411">
        <v>51155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 t="s">
        <v>38</v>
      </c>
      <c r="AI411" t="s">
        <v>27</v>
      </c>
      <c r="AJ411" s="1"/>
      <c r="AK411" t="s">
        <v>28</v>
      </c>
      <c r="AL4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98</v>
      </c>
      <c r="AM411">
        <f>SUM(Rel_2026[[#This Row],[qtd_TrxContabil]:[VLR_EXP_SORTE]])</f>
        <v>104580</v>
      </c>
      <c r="AN4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104</v>
      </c>
    </row>
    <row r="412" spans="1:40" x14ac:dyDescent="0.3">
      <c r="A412" t="str">
        <f>IF(Rel_2026[[#This Row],[Zero]]=0,"Zero",IF(Rel_2026[[#This Row],[Pontuação]]&gt;=10,"Sim",IF(Rel_2026[[#This Row],[Pontuação]]&gt;=5,"Próximo","Não")))</f>
        <v>Sim</v>
      </c>
      <c r="B412" t="str">
        <f>IF(Rel_2026[[#This Row],[Zero]]=0,"Zero",IF(Rel_2026[[#This Row],[Pontuação2]]&gt;=10,"Sim",IF(Rel_2026[[#This Row],[Pontuação2]]&gt;=5,"Próximo","Não")))</f>
        <v>Sim</v>
      </c>
      <c r="C412" t="str">
        <f>IFERROR(VLOOKUP(Rel_2026[[#This Row],[chave_loja]],Responsavel!A:B,2,FALSE),"EUCLIDES")</f>
        <v>ALEX SIQUEIRA</v>
      </c>
      <c r="D412" t="str">
        <f>LEFT(Rel_2026[[#This Row],[ag_pacb]],4)</f>
        <v>0752</v>
      </c>
      <c r="E412">
        <v>239577</v>
      </c>
      <c r="F412" t="s">
        <v>1414</v>
      </c>
      <c r="G412" t="s">
        <v>1415</v>
      </c>
      <c r="H412" s="1">
        <v>46169</v>
      </c>
      <c r="I412" t="s">
        <v>23</v>
      </c>
      <c r="J412" t="s">
        <v>1416</v>
      </c>
      <c r="K412" s="1">
        <v>45306</v>
      </c>
      <c r="L412" s="1">
        <v>46184</v>
      </c>
      <c r="M412" t="s">
        <v>109</v>
      </c>
      <c r="N412" s="1">
        <v>46254</v>
      </c>
      <c r="O412">
        <v>1075</v>
      </c>
      <c r="P412">
        <v>1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5262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 t="s">
        <v>26</v>
      </c>
      <c r="AI412" t="s">
        <v>27</v>
      </c>
      <c r="AJ412" s="1"/>
      <c r="AK412" t="s">
        <v>28</v>
      </c>
      <c r="AL4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  <c r="AM412">
        <f>SUM(Rel_2026[[#This Row],[qtd_TrxContabil]:[VLR_EXP_SORTE]])</f>
        <v>6340</v>
      </c>
      <c r="AN4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</row>
    <row r="413" spans="1:40" x14ac:dyDescent="0.3">
      <c r="A413" t="str">
        <f>IF(Rel_2026[[#This Row],[Zero]]=0,"Zero",IF(Rel_2026[[#This Row],[Pontuação]]&gt;=10,"Sim",IF(Rel_2026[[#This Row],[Pontuação]]&gt;=5,"Próximo","Não")))</f>
        <v>Próximo</v>
      </c>
      <c r="B413" t="str">
        <f>IF(Rel_2026[[#This Row],[Zero]]=0,"Zero",IF(Rel_2026[[#This Row],[Pontuação2]]&gt;=10,"Sim",IF(Rel_2026[[#This Row],[Pontuação2]]&gt;=5,"Próximo","Não")))</f>
        <v>Sim</v>
      </c>
      <c r="C413" t="str">
        <f>IFERROR(VLOOKUP(Rel_2026[[#This Row],[chave_loja]],Responsavel!A:B,2,FALSE),"EUCLIDES")</f>
        <v>IVAN</v>
      </c>
      <c r="D413" t="str">
        <f>LEFT(Rel_2026[[#This Row],[ag_pacb]],4)</f>
        <v>5449</v>
      </c>
      <c r="E413">
        <v>423949</v>
      </c>
      <c r="F413" t="s">
        <v>1262</v>
      </c>
      <c r="G413" t="s">
        <v>1263</v>
      </c>
      <c r="H413" s="1">
        <v>46153</v>
      </c>
      <c r="I413" t="s">
        <v>23</v>
      </c>
      <c r="J413" t="s">
        <v>88</v>
      </c>
      <c r="K413" s="1">
        <v>46143</v>
      </c>
      <c r="L413" s="1">
        <v>46161</v>
      </c>
      <c r="M413" t="s">
        <v>25</v>
      </c>
      <c r="N413" s="1">
        <v>46254</v>
      </c>
      <c r="O413">
        <v>84</v>
      </c>
      <c r="P413">
        <v>1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 t="s">
        <v>26</v>
      </c>
      <c r="AI413" t="s">
        <v>27</v>
      </c>
      <c r="AJ413" s="1"/>
      <c r="AK413" t="s">
        <v>28</v>
      </c>
      <c r="AL4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413">
        <f>SUM(Rel_2026[[#This Row],[qtd_TrxContabil]:[VLR_EXP_SORTE]])</f>
        <v>87</v>
      </c>
      <c r="AN4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414" spans="1:40" x14ac:dyDescent="0.3">
      <c r="A414" t="str">
        <f>IF(Rel_2026[[#This Row],[Zero]]=0,"Zero",IF(Rel_2026[[#This Row],[Pontuação]]&gt;=10,"Sim",IF(Rel_2026[[#This Row],[Pontuação]]&gt;=5,"Próximo","Não")))</f>
        <v>Não</v>
      </c>
      <c r="B414" t="str">
        <f>IF(Rel_2026[[#This Row],[Zero]]=0,"Zero",IF(Rel_2026[[#This Row],[Pontuação2]]&gt;=10,"Sim",IF(Rel_2026[[#This Row],[Pontuação2]]&gt;=5,"Próximo","Não")))</f>
        <v>Não</v>
      </c>
      <c r="C414" t="str">
        <f>IFERROR(VLOOKUP(Rel_2026[[#This Row],[chave_loja]],Responsavel!A:B,2,FALSE),"EUCLIDES")</f>
        <v>GIL</v>
      </c>
      <c r="D414" t="str">
        <f>LEFT(Rel_2026[[#This Row],[ag_pacb]],4)</f>
        <v>0715</v>
      </c>
      <c r="E414">
        <v>251152</v>
      </c>
      <c r="F414" t="s">
        <v>449</v>
      </c>
      <c r="G414" t="s">
        <v>450</v>
      </c>
      <c r="H414" s="1">
        <v>45184</v>
      </c>
      <c r="I414" t="s">
        <v>23</v>
      </c>
      <c r="J414" t="s">
        <v>141</v>
      </c>
      <c r="K414" s="1">
        <v>45306</v>
      </c>
      <c r="L414" s="1">
        <v>45196</v>
      </c>
      <c r="M414" t="s">
        <v>32</v>
      </c>
      <c r="N414" s="1">
        <v>46254</v>
      </c>
      <c r="O414">
        <v>211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 t="s">
        <v>26</v>
      </c>
      <c r="AI414" t="s">
        <v>27</v>
      </c>
      <c r="AJ414" s="1"/>
      <c r="AK414" t="s">
        <v>28</v>
      </c>
      <c r="AL4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14">
        <f>SUM(Rel_2026[[#This Row],[qtd_TrxContabil]:[VLR_EXP_SORTE]])</f>
        <v>211</v>
      </c>
      <c r="AN4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15" spans="1:40" x14ac:dyDescent="0.3">
      <c r="A415" t="str">
        <f>IF(Rel_2026[[#This Row],[Zero]]=0,"Zero",IF(Rel_2026[[#This Row],[Pontuação]]&gt;=10,"Sim",IF(Rel_2026[[#This Row],[Pontuação]]&gt;=5,"Próximo","Não")))</f>
        <v>Próximo</v>
      </c>
      <c r="B415" t="str">
        <f>IF(Rel_2026[[#This Row],[Zero]]=0,"Zero",IF(Rel_2026[[#This Row],[Pontuação2]]&gt;=10,"Sim",IF(Rel_2026[[#This Row],[Pontuação2]]&gt;=5,"Próximo","Não")))</f>
        <v>Próximo</v>
      </c>
      <c r="C415" t="str">
        <f>IFERROR(VLOOKUP(Rel_2026[[#This Row],[chave_loja]],Responsavel!A:B,2,FALSE),"EUCLIDES")</f>
        <v>IVAN</v>
      </c>
      <c r="D415" t="str">
        <f>LEFT(Rel_2026[[#This Row],[ag_pacb]],4)</f>
        <v>5449</v>
      </c>
      <c r="E415">
        <v>405270</v>
      </c>
      <c r="F415" t="s">
        <v>583</v>
      </c>
      <c r="G415" t="s">
        <v>584</v>
      </c>
      <c r="H415" s="1">
        <v>45666</v>
      </c>
      <c r="I415" t="s">
        <v>23</v>
      </c>
      <c r="J415" t="s">
        <v>88</v>
      </c>
      <c r="K415" s="1">
        <v>45510</v>
      </c>
      <c r="L415" s="1">
        <v>45615</v>
      </c>
      <c r="M415" t="s">
        <v>25</v>
      </c>
      <c r="N415" s="1">
        <v>46254</v>
      </c>
      <c r="O415">
        <v>984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 t="s">
        <v>38</v>
      </c>
      <c r="AI415" t="s">
        <v>27</v>
      </c>
      <c r="AJ415" s="1"/>
      <c r="AK415" t="s">
        <v>28</v>
      </c>
      <c r="AL4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  <c r="AM415">
        <f>SUM(Rel_2026[[#This Row],[qtd_TrxContabil]:[VLR_EXP_SORTE]])</f>
        <v>986</v>
      </c>
      <c r="AN4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416" spans="1:40" x14ac:dyDescent="0.3">
      <c r="A416" t="str">
        <f>IF(Rel_2026[[#This Row],[Zero]]=0,"Zero",IF(Rel_2026[[#This Row],[Pontuação]]&gt;=10,"Sim",IF(Rel_2026[[#This Row],[Pontuação]]&gt;=5,"Próximo","Não")))</f>
        <v>Não</v>
      </c>
      <c r="B416" t="str">
        <f>IF(Rel_2026[[#This Row],[Zero]]=0,"Zero",IF(Rel_2026[[#This Row],[Pontuação2]]&gt;=10,"Sim",IF(Rel_2026[[#This Row],[Pontuação2]]&gt;=5,"Próximo","Não")))</f>
        <v>Não</v>
      </c>
      <c r="C416" t="str">
        <f>IFERROR(VLOOKUP(Rel_2026[[#This Row],[chave_loja]],Responsavel!A:B,2,FALSE),"EUCLIDES")</f>
        <v>CÉLIO</v>
      </c>
      <c r="D416" t="str">
        <f>LEFT(Rel_2026[[#This Row],[ag_pacb]],4)</f>
        <v>0649</v>
      </c>
      <c r="E416">
        <v>416564</v>
      </c>
      <c r="F416" t="s">
        <v>1408</v>
      </c>
      <c r="G416" t="s">
        <v>1409</v>
      </c>
      <c r="H416" s="1">
        <v>45909</v>
      </c>
      <c r="I416" t="s">
        <v>23</v>
      </c>
      <c r="J416" t="s">
        <v>24</v>
      </c>
      <c r="K416" s="1">
        <v>45897</v>
      </c>
      <c r="L416" s="1">
        <v>45915</v>
      </c>
      <c r="M416" t="s">
        <v>32</v>
      </c>
      <c r="N416" s="1">
        <v>46240</v>
      </c>
      <c r="O416">
        <v>3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 t="s">
        <v>38</v>
      </c>
      <c r="AI416" t="s">
        <v>27</v>
      </c>
      <c r="AJ416" s="1"/>
      <c r="AK416" t="s">
        <v>28</v>
      </c>
      <c r="AL4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16">
        <f>SUM(Rel_2026[[#This Row],[qtd_TrxContabil]:[VLR_EXP_SORTE]])</f>
        <v>3</v>
      </c>
      <c r="AN4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17" spans="1:40" x14ac:dyDescent="0.3">
      <c r="A417" t="str">
        <f>IF(Rel_2026[[#This Row],[Zero]]=0,"Zero",IF(Rel_2026[[#This Row],[Pontuação]]&gt;=10,"Sim",IF(Rel_2026[[#This Row],[Pontuação]]&gt;=5,"Próximo","Não")))</f>
        <v>Não</v>
      </c>
      <c r="B417" t="str">
        <f>IF(Rel_2026[[#This Row],[Zero]]=0,"Zero",IF(Rel_2026[[#This Row],[Pontuação2]]&gt;=10,"Sim",IF(Rel_2026[[#This Row],[Pontuação2]]&gt;=5,"Próximo","Não")))</f>
        <v>Não</v>
      </c>
      <c r="C417" t="str">
        <f>IFERROR(VLOOKUP(Rel_2026[[#This Row],[chave_loja]],Responsavel!A:B,2,FALSE),"EUCLIDES")</f>
        <v>ROSSY</v>
      </c>
      <c r="D417" t="str">
        <f>LEFT(Rel_2026[[#This Row],[ag_pacb]],4)</f>
        <v>5792</v>
      </c>
      <c r="E417">
        <v>423616</v>
      </c>
      <c r="F417" t="s">
        <v>1218</v>
      </c>
      <c r="G417" t="s">
        <v>1219</v>
      </c>
      <c r="H417" s="1">
        <v>46132</v>
      </c>
      <c r="I417" t="s">
        <v>107</v>
      </c>
      <c r="J417" t="s">
        <v>848</v>
      </c>
      <c r="K417" s="1">
        <v>46128</v>
      </c>
      <c r="L417" s="1">
        <v>46155</v>
      </c>
      <c r="M417" t="s">
        <v>109</v>
      </c>
      <c r="N417" s="1">
        <v>46254</v>
      </c>
      <c r="O417">
        <v>172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 t="s">
        <v>26</v>
      </c>
      <c r="AI417" t="s">
        <v>27</v>
      </c>
      <c r="AJ417" s="1"/>
      <c r="AK417" t="s">
        <v>28</v>
      </c>
      <c r="AL4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17">
        <f>SUM(Rel_2026[[#This Row],[qtd_TrxContabil]:[VLR_EXP_SORTE]])</f>
        <v>172</v>
      </c>
      <c r="AN4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18" spans="1:40" x14ac:dyDescent="0.3">
      <c r="A418" t="str">
        <f>IF(Rel_2026[[#This Row],[Zero]]=0,"Zero",IF(Rel_2026[[#This Row],[Pontuação]]&gt;=10,"Sim",IF(Rel_2026[[#This Row],[Pontuação]]&gt;=5,"Próximo","Não")))</f>
        <v>Não</v>
      </c>
      <c r="B418" t="str">
        <f>IF(Rel_2026[[#This Row],[Zero]]=0,"Zero",IF(Rel_2026[[#This Row],[Pontuação2]]&gt;=10,"Sim",IF(Rel_2026[[#This Row],[Pontuação2]]&gt;=5,"Próximo","Não")))</f>
        <v>Não</v>
      </c>
      <c r="C418" t="str">
        <f>IFERROR(VLOOKUP(Rel_2026[[#This Row],[chave_loja]],Responsavel!A:B,2,FALSE),"EUCLIDES")</f>
        <v>NYCOLLAS</v>
      </c>
      <c r="D418" t="str">
        <f>LEFT(Rel_2026[[#This Row],[ag_pacb]],4)</f>
        <v>0719</v>
      </c>
      <c r="E418">
        <v>424107</v>
      </c>
      <c r="F418" t="s">
        <v>1337</v>
      </c>
      <c r="G418" t="s">
        <v>1338</v>
      </c>
      <c r="H418" s="1">
        <v>46160</v>
      </c>
      <c r="I418" t="s">
        <v>23</v>
      </c>
      <c r="J418" t="s">
        <v>1215</v>
      </c>
      <c r="K418" s="1">
        <v>46153</v>
      </c>
      <c r="L418" s="1"/>
      <c r="M418" t="s">
        <v>32</v>
      </c>
      <c r="N418" s="1">
        <v>46248</v>
      </c>
      <c r="O418">
        <v>46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3486</v>
      </c>
      <c r="V418">
        <v>3486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 t="s">
        <v>26</v>
      </c>
      <c r="AI418" t="s">
        <v>27</v>
      </c>
      <c r="AJ418" s="1"/>
      <c r="AK418" t="s">
        <v>28</v>
      </c>
      <c r="AL4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418">
        <f>SUM(Rel_2026[[#This Row],[qtd_TrxContabil]:[VLR_EXP_SORTE]])</f>
        <v>7018</v>
      </c>
      <c r="AN4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</row>
    <row r="419" spans="1:40" x14ac:dyDescent="0.3">
      <c r="A419" t="str">
        <f>IF(Rel_2026[[#This Row],[Zero]]=0,"Zero",IF(Rel_2026[[#This Row],[Pontuação]]&gt;=10,"Sim",IF(Rel_2026[[#This Row],[Pontuação]]&gt;=5,"Próximo","Não")))</f>
        <v>Sim</v>
      </c>
      <c r="B419" t="str">
        <f>IF(Rel_2026[[#This Row],[Zero]]=0,"Zero",IF(Rel_2026[[#This Row],[Pontuação2]]&gt;=10,"Sim",IF(Rel_2026[[#This Row],[Pontuação2]]&gt;=5,"Próximo","Não")))</f>
        <v>Sim</v>
      </c>
      <c r="C419" t="str">
        <f>IFERROR(VLOOKUP(Rel_2026[[#This Row],[chave_loja]],Responsavel!A:B,2,FALSE),"EUCLIDES")</f>
        <v>DARIO</v>
      </c>
      <c r="D419" t="str">
        <f>LEFT(Rel_2026[[#This Row],[ag_pacb]],4)</f>
        <v>0703</v>
      </c>
      <c r="E419">
        <v>25076</v>
      </c>
      <c r="F419" t="s">
        <v>322</v>
      </c>
      <c r="G419" t="s">
        <v>323</v>
      </c>
      <c r="H419" s="1">
        <v>45124</v>
      </c>
      <c r="I419" t="s">
        <v>23</v>
      </c>
      <c r="J419" t="s">
        <v>126</v>
      </c>
      <c r="K419" s="1">
        <v>42706</v>
      </c>
      <c r="L419" s="1">
        <v>44792</v>
      </c>
      <c r="M419" t="s">
        <v>25</v>
      </c>
      <c r="N419" s="1">
        <v>46254</v>
      </c>
      <c r="O419">
        <v>2156</v>
      </c>
      <c r="P419">
        <v>19</v>
      </c>
      <c r="Q419">
        <v>0</v>
      </c>
      <c r="R419">
        <v>19</v>
      </c>
      <c r="S419">
        <v>2</v>
      </c>
      <c r="T419">
        <v>1700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2</v>
      </c>
      <c r="AC419">
        <v>0</v>
      </c>
      <c r="AD419">
        <v>0</v>
      </c>
      <c r="AE419">
        <v>0</v>
      </c>
      <c r="AF419">
        <v>18</v>
      </c>
      <c r="AG419">
        <v>0</v>
      </c>
      <c r="AH419" t="s">
        <v>26</v>
      </c>
      <c r="AI419" t="s">
        <v>27</v>
      </c>
      <c r="AJ419" s="1"/>
      <c r="AK419" t="s">
        <v>28</v>
      </c>
      <c r="AL41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74</v>
      </c>
      <c r="AM419">
        <f>SUM(Rel_2026[[#This Row],[qtd_TrxContabil]:[VLR_EXP_SORTE]])</f>
        <v>3916</v>
      </c>
      <c r="AN41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131</v>
      </c>
    </row>
    <row r="420" spans="1:40" x14ac:dyDescent="0.3">
      <c r="A420" t="str">
        <f>IF(Rel_2026[[#This Row],[Zero]]=0,"Zero",IF(Rel_2026[[#This Row],[Pontuação]]&gt;=10,"Sim",IF(Rel_2026[[#This Row],[Pontuação]]&gt;=5,"Próximo","Não")))</f>
        <v>Sim</v>
      </c>
      <c r="B420" t="str">
        <f>IF(Rel_2026[[#This Row],[Zero]]=0,"Zero",IF(Rel_2026[[#This Row],[Pontuação2]]&gt;=10,"Sim",IF(Rel_2026[[#This Row],[Pontuação2]]&gt;=5,"Próximo","Não")))</f>
        <v>Sim</v>
      </c>
      <c r="C420" t="str">
        <f>IFERROR(VLOOKUP(Rel_2026[[#This Row],[chave_loja]],Responsavel!A:B,2,FALSE),"EUCLIDES")</f>
        <v>ISMAEL</v>
      </c>
      <c r="D420" t="str">
        <f>LEFT(Rel_2026[[#This Row],[ag_pacb]],4)</f>
        <v>5365</v>
      </c>
      <c r="E420">
        <v>63779</v>
      </c>
      <c r="F420" t="s">
        <v>1203</v>
      </c>
      <c r="G420" t="s">
        <v>1204</v>
      </c>
      <c r="H420" s="1">
        <v>45132</v>
      </c>
      <c r="I420" t="s">
        <v>23</v>
      </c>
      <c r="J420" t="s">
        <v>175</v>
      </c>
      <c r="K420" s="1">
        <v>42144</v>
      </c>
      <c r="L420" s="1">
        <v>45470</v>
      </c>
      <c r="M420" t="s">
        <v>25</v>
      </c>
      <c r="N420" s="1">
        <v>46254</v>
      </c>
      <c r="O420">
        <v>501</v>
      </c>
      <c r="P420">
        <v>2</v>
      </c>
      <c r="Q420">
        <v>2</v>
      </c>
      <c r="R420">
        <v>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 t="s">
        <v>26</v>
      </c>
      <c r="AI420" t="s">
        <v>27</v>
      </c>
      <c r="AJ420" s="1"/>
      <c r="AK420" t="s">
        <v>28</v>
      </c>
      <c r="AL42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420">
        <f>SUM(Rel_2026[[#This Row],[qtd_TrxContabil]:[VLR_EXP_SORTE]])</f>
        <v>507</v>
      </c>
      <c r="AN42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421" spans="1:40" x14ac:dyDescent="0.3">
      <c r="A421" t="str">
        <f>IF(Rel_2026[[#This Row],[Zero]]=0,"Zero",IF(Rel_2026[[#This Row],[Pontuação]]&gt;=10,"Sim",IF(Rel_2026[[#This Row],[Pontuação]]&gt;=5,"Próximo","Não")))</f>
        <v>Próximo</v>
      </c>
      <c r="B421" t="str">
        <f>IF(Rel_2026[[#This Row],[Zero]]=0,"Zero",IF(Rel_2026[[#This Row],[Pontuação2]]&gt;=10,"Sim",IF(Rel_2026[[#This Row],[Pontuação2]]&gt;=5,"Próximo","Não")))</f>
        <v>Sim</v>
      </c>
      <c r="C421" t="str">
        <f>IFERROR(VLOOKUP(Rel_2026[[#This Row],[chave_loja]],Responsavel!A:B,2,FALSE),"EUCLIDES")</f>
        <v>ROSSY</v>
      </c>
      <c r="D421" t="str">
        <f>LEFT(Rel_2026[[#This Row],[ag_pacb]],4)</f>
        <v>5798</v>
      </c>
      <c r="E421">
        <v>171924</v>
      </c>
      <c r="F421" t="s">
        <v>909</v>
      </c>
      <c r="G421" t="s">
        <v>910</v>
      </c>
      <c r="H421" s="1">
        <v>44278</v>
      </c>
      <c r="I421" t="s">
        <v>107</v>
      </c>
      <c r="J421" t="s">
        <v>832</v>
      </c>
      <c r="K421" s="1">
        <v>43452</v>
      </c>
      <c r="L421" s="1">
        <v>46253</v>
      </c>
      <c r="M421" t="s">
        <v>109</v>
      </c>
      <c r="N421" s="1">
        <v>46254</v>
      </c>
      <c r="O421">
        <v>321</v>
      </c>
      <c r="P421">
        <v>1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 t="s">
        <v>38</v>
      </c>
      <c r="AI421" t="s">
        <v>27</v>
      </c>
      <c r="AJ421" s="1"/>
      <c r="AK421" t="s">
        <v>28</v>
      </c>
      <c r="AL42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421">
        <f>SUM(Rel_2026[[#This Row],[qtd_TrxContabil]:[VLR_EXP_SORTE]])</f>
        <v>324</v>
      </c>
      <c r="AN42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422" spans="1:40" x14ac:dyDescent="0.3">
      <c r="A422" t="str">
        <f>IF(Rel_2026[[#This Row],[Zero]]=0,"Zero",IF(Rel_2026[[#This Row],[Pontuação]]&gt;=10,"Sim",IF(Rel_2026[[#This Row],[Pontuação]]&gt;=5,"Próximo","Não")))</f>
        <v>Sim</v>
      </c>
      <c r="B422" t="str">
        <f>IF(Rel_2026[[#This Row],[Zero]]=0,"Zero",IF(Rel_2026[[#This Row],[Pontuação2]]&gt;=10,"Sim",IF(Rel_2026[[#This Row],[Pontuação2]]&gt;=5,"Próximo","Não")))</f>
        <v>Sim</v>
      </c>
      <c r="C422" t="str">
        <f>IFERROR(VLOOKUP(Rel_2026[[#This Row],[chave_loja]],Responsavel!A:B,2,FALSE),"EUCLIDES")</f>
        <v>ALEX SIQUEIRA</v>
      </c>
      <c r="D422" t="str">
        <f>LEFT(Rel_2026[[#This Row],[ag_pacb]],4)</f>
        <v>0752</v>
      </c>
      <c r="E422">
        <v>221261</v>
      </c>
      <c r="F422" t="s">
        <v>336</v>
      </c>
      <c r="G422" t="s">
        <v>337</v>
      </c>
      <c r="H422" s="1">
        <v>44480</v>
      </c>
      <c r="I422" t="s">
        <v>23</v>
      </c>
      <c r="J422" t="s">
        <v>338</v>
      </c>
      <c r="K422" s="1">
        <v>44439</v>
      </c>
      <c r="L422" s="1">
        <v>46248</v>
      </c>
      <c r="M422" t="s">
        <v>109</v>
      </c>
      <c r="N422" s="1">
        <v>46254</v>
      </c>
      <c r="O422">
        <v>565</v>
      </c>
      <c r="P422">
        <v>1</v>
      </c>
      <c r="Q422">
        <v>1</v>
      </c>
      <c r="R422">
        <v>1</v>
      </c>
      <c r="S422">
        <v>0</v>
      </c>
      <c r="T422">
        <v>0</v>
      </c>
      <c r="U422">
        <v>33866</v>
      </c>
      <c r="V422">
        <v>33866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0</v>
      </c>
      <c r="AC422">
        <v>2</v>
      </c>
      <c r="AD422">
        <v>0</v>
      </c>
      <c r="AE422">
        <v>15</v>
      </c>
      <c r="AF422">
        <v>1</v>
      </c>
      <c r="AG422">
        <v>5</v>
      </c>
      <c r="AH422" t="s">
        <v>38</v>
      </c>
      <c r="AI422" t="s">
        <v>27</v>
      </c>
      <c r="AJ422" s="1"/>
      <c r="AK422" t="s">
        <v>28</v>
      </c>
      <c r="AL42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61</v>
      </c>
      <c r="AM422">
        <f>SUM(Rel_2026[[#This Row],[qtd_TrxContabil]:[VLR_EXP_SORTE]])</f>
        <v>68326</v>
      </c>
      <c r="AN42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64</v>
      </c>
    </row>
    <row r="423" spans="1:40" x14ac:dyDescent="0.3">
      <c r="A423" t="str">
        <f>IF(Rel_2026[[#This Row],[Zero]]=0,"Zero",IF(Rel_2026[[#This Row],[Pontuação]]&gt;=10,"Sim",IF(Rel_2026[[#This Row],[Pontuação]]&gt;=5,"Próximo","Não")))</f>
        <v>Sim</v>
      </c>
      <c r="B423" t="str">
        <f>IF(Rel_2026[[#This Row],[Zero]]=0,"Zero",IF(Rel_2026[[#This Row],[Pontuação2]]&gt;=10,"Sim",IF(Rel_2026[[#This Row],[Pontuação2]]&gt;=5,"Próximo","Não")))</f>
        <v>Sim</v>
      </c>
      <c r="C423" t="str">
        <f>IFERROR(VLOOKUP(Rel_2026[[#This Row],[chave_loja]],Responsavel!A:B,2,FALSE),"EUCLIDES")</f>
        <v>ROSSY</v>
      </c>
      <c r="D423" t="str">
        <f>LEFT(Rel_2026[[#This Row],[ag_pacb]],4)</f>
        <v>5792</v>
      </c>
      <c r="E423">
        <v>161094</v>
      </c>
      <c r="F423" t="s">
        <v>900</v>
      </c>
      <c r="G423" t="s">
        <v>901</v>
      </c>
      <c r="H423" s="1">
        <v>44154</v>
      </c>
      <c r="I423" t="s">
        <v>107</v>
      </c>
      <c r="J423" t="s">
        <v>902</v>
      </c>
      <c r="K423" s="1">
        <v>43042</v>
      </c>
      <c r="L423" s="1">
        <v>46253</v>
      </c>
      <c r="M423" t="s">
        <v>109</v>
      </c>
      <c r="N423" s="1">
        <v>46254</v>
      </c>
      <c r="O423">
        <v>943</v>
      </c>
      <c r="P423">
        <v>0</v>
      </c>
      <c r="Q423">
        <v>0</v>
      </c>
      <c r="R423">
        <v>0</v>
      </c>
      <c r="S423">
        <v>0</v>
      </c>
      <c r="T423">
        <v>1070</v>
      </c>
      <c r="U423">
        <v>8520</v>
      </c>
      <c r="V423">
        <v>8520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 t="s">
        <v>38</v>
      </c>
      <c r="AI423" t="s">
        <v>27</v>
      </c>
      <c r="AJ423" s="1"/>
      <c r="AK423" t="s">
        <v>28</v>
      </c>
      <c r="AL42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  <c r="AM423">
        <f>SUM(Rel_2026[[#This Row],[qtd_TrxContabil]:[VLR_EXP_SORTE]])</f>
        <v>19053</v>
      </c>
      <c r="AN42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424" spans="1:40" x14ac:dyDescent="0.3">
      <c r="A424" t="str">
        <f>IF(Rel_2026[[#This Row],[Zero]]=0,"Zero",IF(Rel_2026[[#This Row],[Pontuação]]&gt;=10,"Sim",IF(Rel_2026[[#This Row],[Pontuação]]&gt;=5,"Próximo","Não")))</f>
        <v>Sim</v>
      </c>
      <c r="B424" t="str">
        <f>IF(Rel_2026[[#This Row],[Zero]]=0,"Zero",IF(Rel_2026[[#This Row],[Pontuação2]]&gt;=10,"Sim",IF(Rel_2026[[#This Row],[Pontuação2]]&gt;=5,"Próximo","Não")))</f>
        <v>Sim</v>
      </c>
      <c r="C424" t="str">
        <f>IFERROR(VLOOKUP(Rel_2026[[#This Row],[chave_loja]],Responsavel!A:B,2,FALSE),"EUCLIDES")</f>
        <v>NYCOLLAS</v>
      </c>
      <c r="D424" t="str">
        <f>LEFT(Rel_2026[[#This Row],[ag_pacb]],4)</f>
        <v>0719</v>
      </c>
      <c r="E424">
        <v>174834</v>
      </c>
      <c r="F424" t="s">
        <v>597</v>
      </c>
      <c r="G424" t="s">
        <v>598</v>
      </c>
      <c r="H424" s="1">
        <v>45163</v>
      </c>
      <c r="I424" t="s">
        <v>23</v>
      </c>
      <c r="J424" t="s">
        <v>1215</v>
      </c>
      <c r="K424" s="1">
        <v>43600</v>
      </c>
      <c r="L424" s="1">
        <v>45342</v>
      </c>
      <c r="M424" t="s">
        <v>32</v>
      </c>
      <c r="N424" s="1">
        <v>46254</v>
      </c>
      <c r="O424">
        <v>1407</v>
      </c>
      <c r="P424">
        <v>2</v>
      </c>
      <c r="Q424">
        <v>0</v>
      </c>
      <c r="R424">
        <v>2</v>
      </c>
      <c r="S424">
        <v>1</v>
      </c>
      <c r="T424">
        <v>400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2</v>
      </c>
      <c r="AG424">
        <v>0</v>
      </c>
      <c r="AH424" t="s">
        <v>38</v>
      </c>
      <c r="AI424" t="s">
        <v>27</v>
      </c>
      <c r="AJ424" s="1"/>
      <c r="AK424" t="s">
        <v>28</v>
      </c>
      <c r="AL42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424">
        <f>SUM(Rel_2026[[#This Row],[qtd_TrxContabil]:[VLR_EXP_SORTE]])</f>
        <v>1815</v>
      </c>
      <c r="AN42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16</v>
      </c>
    </row>
    <row r="425" spans="1:40" x14ac:dyDescent="0.3">
      <c r="A425" t="str">
        <f>IF(Rel_2026[[#This Row],[Zero]]=0,"Zero",IF(Rel_2026[[#This Row],[Pontuação]]&gt;=10,"Sim",IF(Rel_2026[[#This Row],[Pontuação]]&gt;=5,"Próximo","Não")))</f>
        <v>Sim</v>
      </c>
      <c r="B425" t="str">
        <f>IF(Rel_2026[[#This Row],[Zero]]=0,"Zero",IF(Rel_2026[[#This Row],[Pontuação2]]&gt;=10,"Sim",IF(Rel_2026[[#This Row],[Pontuação2]]&gt;=5,"Próximo","Não")))</f>
        <v>Sim</v>
      </c>
      <c r="C425" t="str">
        <f>IFERROR(VLOOKUP(Rel_2026[[#This Row],[chave_loja]],Responsavel!A:B,2,FALSE),"EUCLIDES")</f>
        <v>WASTHSON</v>
      </c>
      <c r="D425" t="str">
        <f>LEFT(Rel_2026[[#This Row],[ag_pacb]],4)</f>
        <v>0458</v>
      </c>
      <c r="E425">
        <v>175067</v>
      </c>
      <c r="F425" t="s">
        <v>994</v>
      </c>
      <c r="G425" t="s">
        <v>995</v>
      </c>
      <c r="H425" s="1">
        <v>44789</v>
      </c>
      <c r="I425" t="s">
        <v>23</v>
      </c>
      <c r="J425" t="s">
        <v>226</v>
      </c>
      <c r="K425" s="1">
        <v>43721</v>
      </c>
      <c r="L425" s="1">
        <v>45608</v>
      </c>
      <c r="M425" t="s">
        <v>32</v>
      </c>
      <c r="N425" s="1">
        <v>46254</v>
      </c>
      <c r="O425">
        <v>703</v>
      </c>
      <c r="P425">
        <v>8</v>
      </c>
      <c r="Q425">
        <v>0</v>
      </c>
      <c r="R425">
        <v>6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7</v>
      </c>
      <c r="AG425">
        <v>0</v>
      </c>
      <c r="AH425" t="s">
        <v>26</v>
      </c>
      <c r="AI425" t="s">
        <v>27</v>
      </c>
      <c r="AJ425" s="1"/>
      <c r="AK425" t="s">
        <v>28</v>
      </c>
      <c r="AL42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  <c r="AM425">
        <f>SUM(Rel_2026[[#This Row],[qtd_TrxContabil]:[VLR_EXP_SORTE]])</f>
        <v>724</v>
      </c>
      <c r="AN42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42</v>
      </c>
    </row>
    <row r="426" spans="1:40" x14ac:dyDescent="0.3">
      <c r="A426" t="str">
        <f>IF(Rel_2026[[#This Row],[Zero]]=0,"Zero",IF(Rel_2026[[#This Row],[Pontuação]]&gt;=10,"Sim",IF(Rel_2026[[#This Row],[Pontuação]]&gt;=5,"Próximo","Não")))</f>
        <v>Próximo</v>
      </c>
      <c r="B426" t="str">
        <f>IF(Rel_2026[[#This Row],[Zero]]=0,"Zero",IF(Rel_2026[[#This Row],[Pontuação2]]&gt;=10,"Sim",IF(Rel_2026[[#This Row],[Pontuação2]]&gt;=5,"Próximo","Não")))</f>
        <v>Sim</v>
      </c>
      <c r="C426" t="str">
        <f>IFERROR(VLOOKUP(Rel_2026[[#This Row],[chave_loja]],Responsavel!A:B,2,FALSE),"EUCLIDES")</f>
        <v>ALEX SIQUEIRA</v>
      </c>
      <c r="D426" t="str">
        <f>LEFT(Rel_2026[[#This Row],[ag_pacb]],4)</f>
        <v>0458</v>
      </c>
      <c r="E426">
        <v>218083</v>
      </c>
      <c r="F426" t="s">
        <v>399</v>
      </c>
      <c r="G426" t="s">
        <v>400</v>
      </c>
      <c r="H426" s="1">
        <v>45174</v>
      </c>
      <c r="I426" t="s">
        <v>23</v>
      </c>
      <c r="J426" t="s">
        <v>250</v>
      </c>
      <c r="K426" s="1">
        <v>44308</v>
      </c>
      <c r="L426" s="1">
        <v>44337</v>
      </c>
      <c r="M426" t="s">
        <v>32</v>
      </c>
      <c r="N426" s="1">
        <v>46253</v>
      </c>
      <c r="O426">
        <v>14</v>
      </c>
      <c r="P426">
        <v>1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 t="s">
        <v>26</v>
      </c>
      <c r="AI426" t="s">
        <v>27</v>
      </c>
      <c r="AJ426" s="1"/>
      <c r="AK426" t="s">
        <v>28</v>
      </c>
      <c r="AL42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426">
        <f>SUM(Rel_2026[[#This Row],[qtd_TrxContabil]:[VLR_EXP_SORTE]])</f>
        <v>17</v>
      </c>
      <c r="AN42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427" spans="1:40" x14ac:dyDescent="0.3">
      <c r="A427" t="str">
        <f>IF(Rel_2026[[#This Row],[Zero]]=0,"Zero",IF(Rel_2026[[#This Row],[Pontuação]]&gt;=10,"Sim",IF(Rel_2026[[#This Row],[Pontuação]]&gt;=5,"Próximo","Não")))</f>
        <v>Zero</v>
      </c>
      <c r="B427" t="str">
        <f>IF(Rel_2026[[#This Row],[Zero]]=0,"Zero",IF(Rel_2026[[#This Row],[Pontuação2]]&gt;=10,"Sim",IF(Rel_2026[[#This Row],[Pontuação2]]&gt;=5,"Próximo","Não")))</f>
        <v>Zero</v>
      </c>
      <c r="C427" t="str">
        <f>IFERROR(VLOOKUP(Rel_2026[[#This Row],[chave_loja]],Responsavel!A:B,2,FALSE),"EUCLIDES")</f>
        <v>JUNIOR</v>
      </c>
      <c r="D427" t="str">
        <f>LEFT(Rel_2026[[#This Row],[ag_pacb]],4)</f>
        <v>2245</v>
      </c>
      <c r="E427">
        <v>232104</v>
      </c>
      <c r="F427" t="s">
        <v>1307</v>
      </c>
      <c r="G427" t="s">
        <v>1308</v>
      </c>
      <c r="H427" s="1">
        <v>45862</v>
      </c>
      <c r="I427" t="s">
        <v>23</v>
      </c>
      <c r="J427" t="s">
        <v>162</v>
      </c>
      <c r="K427" s="1">
        <v>44830</v>
      </c>
      <c r="L427" s="1">
        <v>44747</v>
      </c>
      <c r="M427" t="s">
        <v>32</v>
      </c>
      <c r="N427" s="1">
        <v>46226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 t="s">
        <v>26</v>
      </c>
      <c r="AI427" t="s">
        <v>27</v>
      </c>
      <c r="AJ427" s="1"/>
      <c r="AK427" t="s">
        <v>28</v>
      </c>
      <c r="AL42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27">
        <f>SUM(Rel_2026[[#This Row],[qtd_TrxContabil]:[VLR_EXP_SORTE]])</f>
        <v>0</v>
      </c>
      <c r="AN42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28" spans="1:40" x14ac:dyDescent="0.3">
      <c r="A428" t="str">
        <f>IF(Rel_2026[[#This Row],[Zero]]=0,"Zero",IF(Rel_2026[[#This Row],[Pontuação]]&gt;=10,"Sim",IF(Rel_2026[[#This Row],[Pontuação]]&gt;=5,"Próximo","Não")))</f>
        <v>Não</v>
      </c>
      <c r="B428" t="str">
        <f>IF(Rel_2026[[#This Row],[Zero]]=0,"Zero",IF(Rel_2026[[#This Row],[Pontuação2]]&gt;=10,"Sim",IF(Rel_2026[[#This Row],[Pontuação2]]&gt;=5,"Próximo","Não")))</f>
        <v>Não</v>
      </c>
      <c r="C428" t="str">
        <f>IFERROR(VLOOKUP(Rel_2026[[#This Row],[chave_loja]],Responsavel!A:B,2,FALSE),"EUCLIDES")</f>
        <v>IVAN</v>
      </c>
      <c r="D428" t="str">
        <f>LEFT(Rel_2026[[#This Row],[ag_pacb]],4)</f>
        <v>0765</v>
      </c>
      <c r="E428">
        <v>244445</v>
      </c>
      <c r="F428" t="s">
        <v>1030</v>
      </c>
      <c r="G428" t="s">
        <v>1031</v>
      </c>
      <c r="H428" s="1">
        <v>45007</v>
      </c>
      <c r="I428" t="s">
        <v>23</v>
      </c>
      <c r="J428" t="s">
        <v>1013</v>
      </c>
      <c r="K428" s="1">
        <v>45306</v>
      </c>
      <c r="L428" s="1">
        <v>45027</v>
      </c>
      <c r="M428" t="s">
        <v>25</v>
      </c>
      <c r="N428" s="1">
        <v>46254</v>
      </c>
      <c r="O428">
        <v>1265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 t="s">
        <v>26</v>
      </c>
      <c r="AI428" t="s">
        <v>27</v>
      </c>
      <c r="AJ428" s="1"/>
      <c r="AK428" t="s">
        <v>28</v>
      </c>
      <c r="AL42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28">
        <f>SUM(Rel_2026[[#This Row],[qtd_TrxContabil]:[VLR_EXP_SORTE]])</f>
        <v>1265</v>
      </c>
      <c r="AN42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29" spans="1:40" x14ac:dyDescent="0.3">
      <c r="A429" t="str">
        <f>IF(Rel_2026[[#This Row],[Zero]]=0,"Zero",IF(Rel_2026[[#This Row],[Pontuação]]&gt;=10,"Sim",IF(Rel_2026[[#This Row],[Pontuação]]&gt;=5,"Próximo","Não")))</f>
        <v>Não</v>
      </c>
      <c r="B429" t="str">
        <f>IF(Rel_2026[[#This Row],[Zero]]=0,"Zero",IF(Rel_2026[[#This Row],[Pontuação2]]&gt;=10,"Sim",IF(Rel_2026[[#This Row],[Pontuação2]]&gt;=5,"Próximo","Não")))</f>
        <v>Não</v>
      </c>
      <c r="C429" t="str">
        <f>IFERROR(VLOOKUP(Rel_2026[[#This Row],[chave_loja]],Responsavel!A:B,2,FALSE),"EUCLIDES")</f>
        <v>CÉLIO</v>
      </c>
      <c r="D429" t="str">
        <f>LEFT(Rel_2026[[#This Row],[ag_pacb]],4)</f>
        <v>2572</v>
      </c>
      <c r="E429">
        <v>408758</v>
      </c>
      <c r="F429" t="s">
        <v>1241</v>
      </c>
      <c r="G429" t="s">
        <v>1242</v>
      </c>
      <c r="H429" s="1">
        <v>45660</v>
      </c>
      <c r="I429" t="s">
        <v>23</v>
      </c>
      <c r="J429" t="s">
        <v>24</v>
      </c>
      <c r="K429" s="1">
        <v>45646</v>
      </c>
      <c r="L429" s="1">
        <v>45672</v>
      </c>
      <c r="M429" t="s">
        <v>25</v>
      </c>
      <c r="N429" s="1">
        <v>46247</v>
      </c>
      <c r="O429">
        <v>7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 t="s">
        <v>38</v>
      </c>
      <c r="AI429" t="s">
        <v>27</v>
      </c>
      <c r="AJ429" s="1"/>
      <c r="AK429" t="s">
        <v>28</v>
      </c>
      <c r="AL42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29">
        <f>SUM(Rel_2026[[#This Row],[qtd_TrxContabil]:[VLR_EXP_SORTE]])</f>
        <v>7</v>
      </c>
      <c r="AN42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30" spans="1:40" x14ac:dyDescent="0.3">
      <c r="A430" t="str">
        <f>IF(Rel_2026[[#This Row],[Zero]]=0,"Zero",IF(Rel_2026[[#This Row],[Pontuação]]&gt;=10,"Sim",IF(Rel_2026[[#This Row],[Pontuação]]&gt;=5,"Próximo","Não")))</f>
        <v>Sim</v>
      </c>
      <c r="B430" t="str">
        <f>IF(Rel_2026[[#This Row],[Zero]]=0,"Zero",IF(Rel_2026[[#This Row],[Pontuação2]]&gt;=10,"Sim",IF(Rel_2026[[#This Row],[Pontuação2]]&gt;=5,"Próximo","Não")))</f>
        <v>Sim</v>
      </c>
      <c r="C430" t="str">
        <f>IFERROR(VLOOKUP(Rel_2026[[#This Row],[chave_loja]],Responsavel!A:B,2,FALSE),"EUCLIDES")</f>
        <v>GIL</v>
      </c>
      <c r="D430" t="str">
        <f>LEFT(Rel_2026[[#This Row],[ag_pacb]],4)</f>
        <v>5387</v>
      </c>
      <c r="E430">
        <v>414812</v>
      </c>
      <c r="F430" t="s">
        <v>358</v>
      </c>
      <c r="G430" t="s">
        <v>359</v>
      </c>
      <c r="H430" s="1">
        <v>45861</v>
      </c>
      <c r="I430" t="s">
        <v>23</v>
      </c>
      <c r="J430" t="s">
        <v>74</v>
      </c>
      <c r="K430" s="1">
        <v>45854</v>
      </c>
      <c r="L430" s="1">
        <v>45876</v>
      </c>
      <c r="M430" t="s">
        <v>32</v>
      </c>
      <c r="N430" s="1">
        <v>46254</v>
      </c>
      <c r="O430">
        <v>56</v>
      </c>
      <c r="P430">
        <v>2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 t="s">
        <v>26</v>
      </c>
      <c r="AI430" t="s">
        <v>27</v>
      </c>
      <c r="AJ430" s="1"/>
      <c r="AK430" t="s">
        <v>28</v>
      </c>
      <c r="AL43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430">
        <f>SUM(Rel_2026[[#This Row],[qtd_TrxContabil]:[VLR_EXP_SORTE]])</f>
        <v>61</v>
      </c>
      <c r="AN43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</v>
      </c>
    </row>
    <row r="431" spans="1:40" x14ac:dyDescent="0.3">
      <c r="A431" t="str">
        <f>IF(Rel_2026[[#This Row],[Zero]]=0,"Zero",IF(Rel_2026[[#This Row],[Pontuação]]&gt;=10,"Sim",IF(Rel_2026[[#This Row],[Pontuação]]&gt;=5,"Próximo","Não")))</f>
        <v>Sim</v>
      </c>
      <c r="B431" t="str">
        <f>IF(Rel_2026[[#This Row],[Zero]]=0,"Zero",IF(Rel_2026[[#This Row],[Pontuação2]]&gt;=10,"Sim",IF(Rel_2026[[#This Row],[Pontuação2]]&gt;=5,"Próximo","Não")))</f>
        <v>Sim</v>
      </c>
      <c r="C431" t="str">
        <f>IFERROR(VLOOKUP(Rel_2026[[#This Row],[chave_loja]],Responsavel!A:B,2,FALSE),"EUCLIDES")</f>
        <v>JACK</v>
      </c>
      <c r="D431" t="str">
        <f>LEFT(Rel_2026[[#This Row],[ag_pacb]],4)</f>
        <v>5806</v>
      </c>
      <c r="E431">
        <v>422858</v>
      </c>
      <c r="F431" t="s">
        <v>1175</v>
      </c>
      <c r="G431" t="s">
        <v>1176</v>
      </c>
      <c r="H431" s="1">
        <v>46105</v>
      </c>
      <c r="I431" t="s">
        <v>107</v>
      </c>
      <c r="J431" t="s">
        <v>894</v>
      </c>
      <c r="K431" s="1">
        <v>46092</v>
      </c>
      <c r="L431" s="1">
        <v>46134</v>
      </c>
      <c r="M431" t="s">
        <v>109</v>
      </c>
      <c r="N431" s="1">
        <v>46254</v>
      </c>
      <c r="O431">
        <v>32</v>
      </c>
      <c r="P431">
        <v>2</v>
      </c>
      <c r="Q431">
        <v>2</v>
      </c>
      <c r="R431">
        <v>2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</v>
      </c>
      <c r="AG431">
        <v>0</v>
      </c>
      <c r="AH431" t="s">
        <v>26</v>
      </c>
      <c r="AI431" t="s">
        <v>27</v>
      </c>
      <c r="AJ431" s="1"/>
      <c r="AK431" t="s">
        <v>28</v>
      </c>
      <c r="AL43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431">
        <f>SUM(Rel_2026[[#This Row],[qtd_TrxContabil]:[VLR_EXP_SORTE]])</f>
        <v>40</v>
      </c>
      <c r="AN43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432" spans="1:40" x14ac:dyDescent="0.3">
      <c r="A432" t="str">
        <f>IF(Rel_2026[[#This Row],[Zero]]=0,"Zero",IF(Rel_2026[[#This Row],[Pontuação]]&gt;=10,"Sim",IF(Rel_2026[[#This Row],[Pontuação]]&gt;=5,"Próximo","Não")))</f>
        <v>Não</v>
      </c>
      <c r="B432" t="str">
        <f>IF(Rel_2026[[#This Row],[Zero]]=0,"Zero",IF(Rel_2026[[#This Row],[Pontuação2]]&gt;=10,"Sim",IF(Rel_2026[[#This Row],[Pontuação2]]&gt;=5,"Próximo","Não")))</f>
        <v>Não</v>
      </c>
      <c r="C432" t="str">
        <f>IFERROR(VLOOKUP(Rel_2026[[#This Row],[chave_loja]],Responsavel!A:B,2,FALSE),"EUCLIDES")</f>
        <v>GIL</v>
      </c>
      <c r="D432" t="str">
        <f>LEFT(Rel_2026[[#This Row],[ag_pacb]],4)</f>
        <v>0715</v>
      </c>
      <c r="E432">
        <v>91943</v>
      </c>
      <c r="F432" t="s">
        <v>270</v>
      </c>
      <c r="G432" t="s">
        <v>271</v>
      </c>
      <c r="H432" s="1">
        <v>44166</v>
      </c>
      <c r="I432" t="s">
        <v>23</v>
      </c>
      <c r="J432" t="s">
        <v>240</v>
      </c>
      <c r="K432" s="1">
        <v>42187</v>
      </c>
      <c r="L432" s="1">
        <v>45467</v>
      </c>
      <c r="M432" t="s">
        <v>32</v>
      </c>
      <c r="N432" s="1">
        <v>46254</v>
      </c>
      <c r="O432">
        <v>1171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 t="s">
        <v>38</v>
      </c>
      <c r="AI432" t="s">
        <v>27</v>
      </c>
      <c r="AJ432" s="1"/>
      <c r="AK432" t="s">
        <v>28</v>
      </c>
      <c r="AL43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32">
        <f>SUM(Rel_2026[[#This Row],[qtd_TrxContabil]:[VLR_EXP_SORTE]])</f>
        <v>1171</v>
      </c>
      <c r="AN43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33" spans="1:40" x14ac:dyDescent="0.3">
      <c r="A433" t="str">
        <f>IF(Rel_2026[[#This Row],[Zero]]=0,"Zero",IF(Rel_2026[[#This Row],[Pontuação]]&gt;=10,"Sim",IF(Rel_2026[[#This Row],[Pontuação]]&gt;=5,"Próximo","Não")))</f>
        <v>Não</v>
      </c>
      <c r="B433" t="str">
        <f>IF(Rel_2026[[#This Row],[Zero]]=0,"Zero",IF(Rel_2026[[#This Row],[Pontuação2]]&gt;=10,"Sim",IF(Rel_2026[[#This Row],[Pontuação2]]&gt;=5,"Próximo","Não")))</f>
        <v>Não</v>
      </c>
      <c r="C433" t="str">
        <f>IFERROR(VLOOKUP(Rel_2026[[#This Row],[chave_loja]],Responsavel!A:B,2,FALSE),"EUCLIDES")</f>
        <v>JOSELITO</v>
      </c>
      <c r="D433" t="str">
        <f>LEFT(Rel_2026[[#This Row],[ag_pacb]],4)</f>
        <v>0685</v>
      </c>
      <c r="E433">
        <v>160515</v>
      </c>
      <c r="F433" t="s">
        <v>214</v>
      </c>
      <c r="G433" t="s">
        <v>215</v>
      </c>
      <c r="H433" s="1">
        <v>44127</v>
      </c>
      <c r="I433" t="s">
        <v>23</v>
      </c>
      <c r="J433" t="s">
        <v>216</v>
      </c>
      <c r="K433" s="1">
        <v>43003</v>
      </c>
      <c r="L433" s="1">
        <v>44740</v>
      </c>
      <c r="M433" t="s">
        <v>25</v>
      </c>
      <c r="N433" s="1">
        <v>46254</v>
      </c>
      <c r="O433">
        <v>181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 t="s">
        <v>26</v>
      </c>
      <c r="AI433" t="s">
        <v>27</v>
      </c>
      <c r="AJ433" s="1"/>
      <c r="AK433" t="s">
        <v>28</v>
      </c>
      <c r="AL43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33">
        <f>SUM(Rel_2026[[#This Row],[qtd_TrxContabil]:[VLR_EXP_SORTE]])</f>
        <v>181</v>
      </c>
      <c r="AN43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34" spans="1:40" x14ac:dyDescent="0.3">
      <c r="A434" t="str">
        <f>IF(Rel_2026[[#This Row],[Zero]]=0,"Zero",IF(Rel_2026[[#This Row],[Pontuação]]&gt;=10,"Sim",IF(Rel_2026[[#This Row],[Pontuação]]&gt;=5,"Próximo","Não")))</f>
        <v>Zero</v>
      </c>
      <c r="B434" t="str">
        <f>IF(Rel_2026[[#This Row],[Zero]]=0,"Zero",IF(Rel_2026[[#This Row],[Pontuação2]]&gt;=10,"Sim",IF(Rel_2026[[#This Row],[Pontuação2]]&gt;=5,"Próximo","Não")))</f>
        <v>Zero</v>
      </c>
      <c r="C434" t="str">
        <f>IFERROR(VLOOKUP(Rel_2026[[#This Row],[chave_loja]],Responsavel!A:B,2,FALSE),"EUCLIDES")</f>
        <v>NYCOLLAS</v>
      </c>
      <c r="D434" t="str">
        <f>LEFT(Rel_2026[[#This Row],[ag_pacb]],4)</f>
        <v>5446</v>
      </c>
      <c r="E434">
        <v>414571</v>
      </c>
      <c r="F434" t="s">
        <v>1280</v>
      </c>
      <c r="G434" t="s">
        <v>1281</v>
      </c>
      <c r="H434" s="1">
        <v>45852</v>
      </c>
      <c r="I434" t="s">
        <v>23</v>
      </c>
      <c r="J434" t="s">
        <v>97</v>
      </c>
      <c r="K434" s="1">
        <v>45843</v>
      </c>
      <c r="L434" s="1">
        <v>45868</v>
      </c>
      <c r="M434" t="s">
        <v>32</v>
      </c>
      <c r="N434" s="1">
        <v>46233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 t="s">
        <v>26</v>
      </c>
      <c r="AI434" t="s">
        <v>27</v>
      </c>
      <c r="AJ434" s="1"/>
      <c r="AK434" t="s">
        <v>28</v>
      </c>
      <c r="AL43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34">
        <f>SUM(Rel_2026[[#This Row],[qtd_TrxContabil]:[VLR_EXP_SORTE]])</f>
        <v>0</v>
      </c>
      <c r="AN43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35" spans="1:40" x14ac:dyDescent="0.3">
      <c r="A435" t="str">
        <f>IF(Rel_2026[[#This Row],[Zero]]=0,"Zero",IF(Rel_2026[[#This Row],[Pontuação]]&gt;=10,"Sim",IF(Rel_2026[[#This Row],[Pontuação]]&gt;=5,"Próximo","Não")))</f>
        <v>Não</v>
      </c>
      <c r="B435" t="str">
        <f>IF(Rel_2026[[#This Row],[Zero]]=0,"Zero",IF(Rel_2026[[#This Row],[Pontuação2]]&gt;=10,"Sim",IF(Rel_2026[[#This Row],[Pontuação2]]&gt;=5,"Próximo","Não")))</f>
        <v>Não</v>
      </c>
      <c r="C435" t="str">
        <f>IFERROR(VLOOKUP(Rel_2026[[#This Row],[chave_loja]],Responsavel!A:B,2,FALSE),"EUCLIDES")</f>
        <v>ALEX SIQUEIRA</v>
      </c>
      <c r="D435" t="str">
        <f>LEFT(Rel_2026[[#This Row],[ag_pacb]],4)</f>
        <v>0458</v>
      </c>
      <c r="E435">
        <v>176543</v>
      </c>
      <c r="F435" t="s">
        <v>516</v>
      </c>
      <c r="G435" t="s">
        <v>517</v>
      </c>
      <c r="H435" s="1">
        <v>45427</v>
      </c>
      <c r="I435" t="s">
        <v>23</v>
      </c>
      <c r="J435" t="s">
        <v>250</v>
      </c>
      <c r="K435" s="1">
        <v>43745</v>
      </c>
      <c r="L435" s="1">
        <v>45506</v>
      </c>
      <c r="M435" t="s">
        <v>32</v>
      </c>
      <c r="N435" s="1">
        <v>46254</v>
      </c>
      <c r="O435">
        <v>406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 t="s">
        <v>38</v>
      </c>
      <c r="AI435" t="s">
        <v>27</v>
      </c>
      <c r="AJ435" s="1"/>
      <c r="AK435" t="s">
        <v>28</v>
      </c>
      <c r="AL43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35">
        <f>SUM(Rel_2026[[#This Row],[qtd_TrxContabil]:[VLR_EXP_SORTE]])</f>
        <v>406</v>
      </c>
      <c r="AN43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36" spans="1:40" x14ac:dyDescent="0.3">
      <c r="A436" t="str">
        <f>IF(Rel_2026[[#This Row],[Zero]]=0,"Zero",IF(Rel_2026[[#This Row],[Pontuação]]&gt;=10,"Sim",IF(Rel_2026[[#This Row],[Pontuação]]&gt;=5,"Próximo","Não")))</f>
        <v>Não</v>
      </c>
      <c r="B436" t="str">
        <f>IF(Rel_2026[[#This Row],[Zero]]=0,"Zero",IF(Rel_2026[[#This Row],[Pontuação2]]&gt;=10,"Sim",IF(Rel_2026[[#This Row],[Pontuação2]]&gt;=5,"Próximo","Não")))</f>
        <v>Não</v>
      </c>
      <c r="C436" t="str">
        <f>IFERROR(VLOOKUP(Rel_2026[[#This Row],[chave_loja]],Responsavel!A:B,2,FALSE),"EUCLIDES")</f>
        <v>ISMAEL</v>
      </c>
      <c r="D436" t="str">
        <f>LEFT(Rel_2026[[#This Row],[ag_pacb]],4)</f>
        <v>0704</v>
      </c>
      <c r="E436">
        <v>248658</v>
      </c>
      <c r="F436" t="s">
        <v>264</v>
      </c>
      <c r="G436" t="s">
        <v>265</v>
      </c>
      <c r="H436" s="1">
        <v>45093</v>
      </c>
      <c r="I436" t="s">
        <v>23</v>
      </c>
      <c r="J436" t="s">
        <v>266</v>
      </c>
      <c r="K436" s="1">
        <v>45306</v>
      </c>
      <c r="L436" s="1">
        <v>45104</v>
      </c>
      <c r="M436" t="s">
        <v>25</v>
      </c>
      <c r="N436" s="1">
        <v>46254</v>
      </c>
      <c r="O436">
        <v>548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 t="s">
        <v>26</v>
      </c>
      <c r="AI436" t="s">
        <v>27</v>
      </c>
      <c r="AJ436" s="1"/>
      <c r="AK436" t="s">
        <v>28</v>
      </c>
      <c r="AL43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36">
        <f>SUM(Rel_2026[[#This Row],[qtd_TrxContabil]:[VLR_EXP_SORTE]])</f>
        <v>548</v>
      </c>
      <c r="AN43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37" spans="1:40" x14ac:dyDescent="0.3">
      <c r="A437" t="str">
        <f>IF(Rel_2026[[#This Row],[Zero]]=0,"Zero",IF(Rel_2026[[#This Row],[Pontuação]]&gt;=10,"Sim",IF(Rel_2026[[#This Row],[Pontuação]]&gt;=5,"Próximo","Não")))</f>
        <v>Sim</v>
      </c>
      <c r="B437" t="str">
        <f>IF(Rel_2026[[#This Row],[Zero]]=0,"Zero",IF(Rel_2026[[#This Row],[Pontuação2]]&gt;=10,"Sim",IF(Rel_2026[[#This Row],[Pontuação2]]&gt;=5,"Próximo","Não")))</f>
        <v>Sim</v>
      </c>
      <c r="C437" t="str">
        <f>IFERROR(VLOOKUP(Rel_2026[[#This Row],[chave_loja]],Responsavel!A:B,2,FALSE),"EUCLIDES")</f>
        <v>GIL</v>
      </c>
      <c r="D437" t="str">
        <f>LEFT(Rel_2026[[#This Row],[ag_pacb]],4)</f>
        <v>0715</v>
      </c>
      <c r="E437">
        <v>249940</v>
      </c>
      <c r="F437" t="s">
        <v>595</v>
      </c>
      <c r="G437" t="s">
        <v>596</v>
      </c>
      <c r="H437" s="1">
        <v>45169</v>
      </c>
      <c r="I437" t="s">
        <v>23</v>
      </c>
      <c r="J437" t="s">
        <v>141</v>
      </c>
      <c r="K437" s="1">
        <v>45306</v>
      </c>
      <c r="L437" s="1">
        <v>45154</v>
      </c>
      <c r="M437" t="s">
        <v>32</v>
      </c>
      <c r="N437" s="1">
        <v>46254</v>
      </c>
      <c r="O437">
        <v>1316</v>
      </c>
      <c r="P437">
        <v>6</v>
      </c>
      <c r="Q437">
        <v>5</v>
      </c>
      <c r="R437">
        <v>6</v>
      </c>
      <c r="S437">
        <v>4</v>
      </c>
      <c r="T437">
        <v>350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4</v>
      </c>
      <c r="AC437">
        <v>0</v>
      </c>
      <c r="AD437">
        <v>1</v>
      </c>
      <c r="AE437">
        <v>3</v>
      </c>
      <c r="AF437">
        <v>6</v>
      </c>
      <c r="AG437">
        <v>0</v>
      </c>
      <c r="AH437" t="s">
        <v>26</v>
      </c>
      <c r="AI437" t="s">
        <v>27</v>
      </c>
      <c r="AJ437" s="1"/>
      <c r="AK437" t="s">
        <v>28</v>
      </c>
      <c r="AL43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46</v>
      </c>
      <c r="AM437">
        <f>SUM(Rel_2026[[#This Row],[qtd_TrxContabil]:[VLR_EXP_SORTE]])</f>
        <v>1701</v>
      </c>
      <c r="AN43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64</v>
      </c>
    </row>
    <row r="438" spans="1:40" x14ac:dyDescent="0.3">
      <c r="A438" t="str">
        <f>IF(Rel_2026[[#This Row],[Zero]]=0,"Zero",IF(Rel_2026[[#This Row],[Pontuação]]&gt;=10,"Sim",IF(Rel_2026[[#This Row],[Pontuação]]&gt;=5,"Próximo","Não")))</f>
        <v>Não</v>
      </c>
      <c r="B438" t="str">
        <f>IF(Rel_2026[[#This Row],[Zero]]=0,"Zero",IF(Rel_2026[[#This Row],[Pontuação2]]&gt;=10,"Sim",IF(Rel_2026[[#This Row],[Pontuação2]]&gt;=5,"Próximo","Não")))</f>
        <v>Não</v>
      </c>
      <c r="C438" t="str">
        <f>IFERROR(VLOOKUP(Rel_2026[[#This Row],[chave_loja]],Responsavel!A:B,2,FALSE),"EUCLIDES")</f>
        <v>JOSELITO</v>
      </c>
      <c r="D438" t="str">
        <f>LEFT(Rel_2026[[#This Row],[ag_pacb]],4)</f>
        <v>0685</v>
      </c>
      <c r="E438">
        <v>251446</v>
      </c>
      <c r="F438" t="s">
        <v>720</v>
      </c>
      <c r="G438" t="s">
        <v>721</v>
      </c>
      <c r="H438" s="1">
        <v>45208</v>
      </c>
      <c r="I438" t="s">
        <v>23</v>
      </c>
      <c r="J438" t="s">
        <v>211</v>
      </c>
      <c r="K438" s="1">
        <v>45306</v>
      </c>
      <c r="L438" s="1">
        <v>46226</v>
      </c>
      <c r="M438" t="s">
        <v>25</v>
      </c>
      <c r="N438" s="1">
        <v>46254</v>
      </c>
      <c r="O438">
        <v>645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 t="s">
        <v>26</v>
      </c>
      <c r="AI438" t="s">
        <v>27</v>
      </c>
      <c r="AJ438" s="1"/>
      <c r="AK438" t="s">
        <v>28</v>
      </c>
      <c r="AL43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438">
        <f>SUM(Rel_2026[[#This Row],[qtd_TrxContabil]:[VLR_EXP_SORTE]])</f>
        <v>646</v>
      </c>
      <c r="AN43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</row>
    <row r="439" spans="1:40" x14ac:dyDescent="0.3">
      <c r="A439" t="str">
        <f>IF(Rel_2026[[#This Row],[Zero]]=0,"Zero",IF(Rel_2026[[#This Row],[Pontuação]]&gt;=10,"Sim",IF(Rel_2026[[#This Row],[Pontuação]]&gt;=5,"Próximo","Não")))</f>
        <v>Sim</v>
      </c>
      <c r="B439" t="str">
        <f>IF(Rel_2026[[#This Row],[Zero]]=0,"Zero",IF(Rel_2026[[#This Row],[Pontuação2]]&gt;=10,"Sim",IF(Rel_2026[[#This Row],[Pontuação2]]&gt;=5,"Próximo","Não")))</f>
        <v>Sim</v>
      </c>
      <c r="C439" t="str">
        <f>IFERROR(VLOOKUP(Rel_2026[[#This Row],[chave_loja]],Responsavel!A:B,2,FALSE),"EUCLIDES")</f>
        <v>ISMAEL</v>
      </c>
      <c r="D439" t="str">
        <f>LEFT(Rel_2026[[#This Row],[ag_pacb]],4)</f>
        <v>1302</v>
      </c>
      <c r="E439">
        <v>404529</v>
      </c>
      <c r="F439" t="s">
        <v>738</v>
      </c>
      <c r="G439" t="s">
        <v>739</v>
      </c>
      <c r="H439" s="1">
        <v>45568</v>
      </c>
      <c r="I439" t="s">
        <v>23</v>
      </c>
      <c r="J439" t="s">
        <v>121</v>
      </c>
      <c r="K439" s="1">
        <v>45479</v>
      </c>
      <c r="L439" s="1">
        <v>45583</v>
      </c>
      <c r="M439" t="s">
        <v>32</v>
      </c>
      <c r="N439" s="1">
        <v>46254</v>
      </c>
      <c r="O439">
        <v>631</v>
      </c>
      <c r="P439">
        <v>1</v>
      </c>
      <c r="Q439">
        <v>1</v>
      </c>
      <c r="R439">
        <v>1</v>
      </c>
      <c r="S439">
        <v>0</v>
      </c>
      <c r="T439">
        <v>750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 t="s">
        <v>26</v>
      </c>
      <c r="AI439" t="s">
        <v>27</v>
      </c>
      <c r="AJ439" s="1"/>
      <c r="AK439" t="s">
        <v>28</v>
      </c>
      <c r="AL43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15</v>
      </c>
      <c r="AM439">
        <f>SUM(Rel_2026[[#This Row],[qtd_TrxContabil]:[VLR_EXP_SORTE]])</f>
        <v>1384</v>
      </c>
      <c r="AN43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</row>
    <row r="440" spans="1:40" x14ac:dyDescent="0.3">
      <c r="A440" t="str">
        <f>IF(Rel_2026[[#This Row],[Zero]]=0,"Zero",IF(Rel_2026[[#This Row],[Pontuação]]&gt;=10,"Sim",IF(Rel_2026[[#This Row],[Pontuação]]&gt;=5,"Próximo","Não")))</f>
        <v>Sim</v>
      </c>
      <c r="B440" t="str">
        <f>IF(Rel_2026[[#This Row],[Zero]]=0,"Zero",IF(Rel_2026[[#This Row],[Pontuação2]]&gt;=10,"Sim",IF(Rel_2026[[#This Row],[Pontuação2]]&gt;=5,"Próximo","Não")))</f>
        <v>Sim</v>
      </c>
      <c r="C440" t="str">
        <f>IFERROR(VLOOKUP(Rel_2026[[#This Row],[chave_loja]],Responsavel!A:B,2,FALSE),"EUCLIDES")</f>
        <v>CÉLIO</v>
      </c>
      <c r="D440" t="str">
        <f>LEFT(Rel_2026[[#This Row],[ag_pacb]],4)</f>
        <v>0693</v>
      </c>
      <c r="E440">
        <v>164541</v>
      </c>
      <c r="F440" t="s">
        <v>688</v>
      </c>
      <c r="G440" t="s">
        <v>687</v>
      </c>
      <c r="H440" s="1">
        <v>44097</v>
      </c>
      <c r="I440" t="s">
        <v>23</v>
      </c>
      <c r="J440" t="s">
        <v>118</v>
      </c>
      <c r="K440" s="1">
        <v>45306</v>
      </c>
      <c r="L440" s="1">
        <v>45622</v>
      </c>
      <c r="M440" t="s">
        <v>32</v>
      </c>
      <c r="N440" s="1">
        <v>46254</v>
      </c>
      <c r="O440">
        <v>1200</v>
      </c>
      <c r="P440">
        <v>6</v>
      </c>
      <c r="Q440">
        <v>0</v>
      </c>
      <c r="R440">
        <v>5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 t="s">
        <v>26</v>
      </c>
      <c r="AI440" t="s">
        <v>27</v>
      </c>
      <c r="AJ440" s="1"/>
      <c r="AK440" t="s">
        <v>28</v>
      </c>
      <c r="AL44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  <c r="AM440">
        <f>SUM(Rel_2026[[#This Row],[qtd_TrxContabil]:[VLR_EXP_SORTE]])</f>
        <v>1211</v>
      </c>
      <c r="AN44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33</v>
      </c>
    </row>
    <row r="441" spans="1:40" x14ac:dyDescent="0.3">
      <c r="A441" t="str">
        <f>IF(Rel_2026[[#This Row],[Zero]]=0,"Zero",IF(Rel_2026[[#This Row],[Pontuação]]&gt;=10,"Sim",IF(Rel_2026[[#This Row],[Pontuação]]&gt;=5,"Próximo","Não")))</f>
        <v>Sim</v>
      </c>
      <c r="B441" t="str">
        <f>IF(Rel_2026[[#This Row],[Zero]]=0,"Zero",IF(Rel_2026[[#This Row],[Pontuação2]]&gt;=10,"Sim",IF(Rel_2026[[#This Row],[Pontuação2]]&gt;=5,"Próximo","Não")))</f>
        <v>Sim</v>
      </c>
      <c r="C441" t="str">
        <f>IFERROR(VLOOKUP(Rel_2026[[#This Row],[chave_loja]],Responsavel!A:B,2,FALSE),"EUCLIDES")</f>
        <v>CÉLIO</v>
      </c>
      <c r="D441" t="str">
        <f>LEFT(Rel_2026[[#This Row],[ag_pacb]],4)</f>
        <v>2608</v>
      </c>
      <c r="E441">
        <v>226362</v>
      </c>
      <c r="F441" t="s">
        <v>136</v>
      </c>
      <c r="G441" t="s">
        <v>137</v>
      </c>
      <c r="H441" s="1">
        <v>44496</v>
      </c>
      <c r="I441" t="s">
        <v>23</v>
      </c>
      <c r="J441" t="s">
        <v>24</v>
      </c>
      <c r="K441" s="1">
        <v>44516</v>
      </c>
      <c r="L441" s="1">
        <v>44503</v>
      </c>
      <c r="M441" t="s">
        <v>32</v>
      </c>
      <c r="N441" s="1">
        <v>46254</v>
      </c>
      <c r="O441">
        <v>262</v>
      </c>
      <c r="P441">
        <v>14</v>
      </c>
      <c r="Q441">
        <v>3</v>
      </c>
      <c r="R441">
        <v>13</v>
      </c>
      <c r="S441">
        <v>5</v>
      </c>
      <c r="T441">
        <v>1500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4</v>
      </c>
      <c r="AC441">
        <v>0</v>
      </c>
      <c r="AD441">
        <v>10</v>
      </c>
      <c r="AE441">
        <v>0</v>
      </c>
      <c r="AF441">
        <v>12</v>
      </c>
      <c r="AG441">
        <v>0</v>
      </c>
      <c r="AH441" t="s">
        <v>26</v>
      </c>
      <c r="AI441" t="s">
        <v>27</v>
      </c>
      <c r="AJ441" s="1"/>
      <c r="AK441" t="s">
        <v>28</v>
      </c>
      <c r="AL44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79</v>
      </c>
      <c r="AM441">
        <f>SUM(Rel_2026[[#This Row],[qtd_TrxContabil]:[VLR_EXP_SORTE]])</f>
        <v>1823</v>
      </c>
      <c r="AN44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118</v>
      </c>
    </row>
    <row r="442" spans="1:40" x14ac:dyDescent="0.3">
      <c r="A442" t="str">
        <f>IF(Rel_2026[[#This Row],[Zero]]=0,"Zero",IF(Rel_2026[[#This Row],[Pontuação]]&gt;=10,"Sim",IF(Rel_2026[[#This Row],[Pontuação]]&gt;=5,"Próximo","Não")))</f>
        <v>Não</v>
      </c>
      <c r="B442" t="str">
        <f>IF(Rel_2026[[#This Row],[Zero]]=0,"Zero",IF(Rel_2026[[#This Row],[Pontuação2]]&gt;=10,"Sim",IF(Rel_2026[[#This Row],[Pontuação2]]&gt;=5,"Próximo","Não")))</f>
        <v>Não</v>
      </c>
      <c r="C442" t="str">
        <f>IFERROR(VLOOKUP(Rel_2026[[#This Row],[chave_loja]],Responsavel!A:B,2,FALSE),"EUCLIDES")</f>
        <v>JOSELITO</v>
      </c>
      <c r="D442" t="str">
        <f>LEFT(Rel_2026[[#This Row],[ag_pacb]],4)</f>
        <v>0685</v>
      </c>
      <c r="E442">
        <v>245269</v>
      </c>
      <c r="F442" t="s">
        <v>209</v>
      </c>
      <c r="G442" t="s">
        <v>210</v>
      </c>
      <c r="H442" s="1">
        <v>45187</v>
      </c>
      <c r="I442" t="s">
        <v>23</v>
      </c>
      <c r="J442" t="s">
        <v>211</v>
      </c>
      <c r="K442" s="1">
        <v>45306</v>
      </c>
      <c r="L442" s="1">
        <v>45078</v>
      </c>
      <c r="M442" t="s">
        <v>25</v>
      </c>
      <c r="N442" s="1">
        <v>46254</v>
      </c>
      <c r="O442">
        <v>2375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 t="s">
        <v>38</v>
      </c>
      <c r="AI442" t="s">
        <v>27</v>
      </c>
      <c r="AJ442" s="1"/>
      <c r="AK442" t="s">
        <v>28</v>
      </c>
      <c r="AL44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42">
        <f>SUM(Rel_2026[[#This Row],[qtd_TrxContabil]:[VLR_EXP_SORTE]])</f>
        <v>2375</v>
      </c>
      <c r="AN44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43" spans="1:40" x14ac:dyDescent="0.3">
      <c r="A443" t="str">
        <f>IF(Rel_2026[[#This Row],[Zero]]=0,"Zero",IF(Rel_2026[[#This Row],[Pontuação]]&gt;=10,"Sim",IF(Rel_2026[[#This Row],[Pontuação]]&gt;=5,"Próximo","Não")))</f>
        <v>Não</v>
      </c>
      <c r="B443" t="str">
        <f>IF(Rel_2026[[#This Row],[Zero]]=0,"Zero",IF(Rel_2026[[#This Row],[Pontuação2]]&gt;=10,"Sim",IF(Rel_2026[[#This Row],[Pontuação2]]&gt;=5,"Próximo","Não")))</f>
        <v>Não</v>
      </c>
      <c r="C443" t="str">
        <f>IFERROR(VLOOKUP(Rel_2026[[#This Row],[chave_loja]],Responsavel!A:B,2,FALSE),"EUCLIDES")</f>
        <v>IVAN</v>
      </c>
      <c r="D443" t="str">
        <f>LEFT(Rel_2026[[#This Row],[ag_pacb]],4)</f>
        <v>5449</v>
      </c>
      <c r="E443">
        <v>413933</v>
      </c>
      <c r="F443" t="s">
        <v>134</v>
      </c>
      <c r="G443" t="s">
        <v>135</v>
      </c>
      <c r="H443" s="1">
        <v>45855</v>
      </c>
      <c r="I443" t="s">
        <v>23</v>
      </c>
      <c r="J443" t="s">
        <v>88</v>
      </c>
      <c r="K443" s="1">
        <v>45818</v>
      </c>
      <c r="L443" s="1">
        <v>45866</v>
      </c>
      <c r="M443" t="s">
        <v>25</v>
      </c>
      <c r="N443" s="1">
        <v>46254</v>
      </c>
      <c r="O443">
        <v>120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 t="s">
        <v>26</v>
      </c>
      <c r="AI443" t="s">
        <v>27</v>
      </c>
      <c r="AJ443" s="1"/>
      <c r="AK443" t="s">
        <v>28</v>
      </c>
      <c r="AL44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43">
        <f>SUM(Rel_2026[[#This Row],[qtd_TrxContabil]:[VLR_EXP_SORTE]])</f>
        <v>120</v>
      </c>
      <c r="AN44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44" spans="1:40" x14ac:dyDescent="0.3">
      <c r="A444" t="str">
        <f>IF(Rel_2026[[#This Row],[Zero]]=0,"Zero",IF(Rel_2026[[#This Row],[Pontuação]]&gt;=10,"Sim",IF(Rel_2026[[#This Row],[Pontuação]]&gt;=5,"Próximo","Não")))</f>
        <v>Sim</v>
      </c>
      <c r="B444" t="str">
        <f>IF(Rel_2026[[#This Row],[Zero]]=0,"Zero",IF(Rel_2026[[#This Row],[Pontuação2]]&gt;=10,"Sim",IF(Rel_2026[[#This Row],[Pontuação2]]&gt;=5,"Próximo","Não")))</f>
        <v>Sim</v>
      </c>
      <c r="C444" t="str">
        <f>IFERROR(VLOOKUP(Rel_2026[[#This Row],[chave_loja]],Responsavel!A:B,2,FALSE),"EUCLIDES")</f>
        <v>JUNIOR</v>
      </c>
      <c r="D444" t="str">
        <f>LEFT(Rel_2026[[#This Row],[ag_pacb]],4)</f>
        <v>0684</v>
      </c>
      <c r="E444">
        <v>418869</v>
      </c>
      <c r="F444" t="s">
        <v>1110</v>
      </c>
      <c r="G444" t="s">
        <v>1111</v>
      </c>
      <c r="H444" s="1">
        <v>45948</v>
      </c>
      <c r="I444" t="s">
        <v>23</v>
      </c>
      <c r="J444" t="s">
        <v>133</v>
      </c>
      <c r="K444" s="1">
        <v>45939</v>
      </c>
      <c r="L444" s="1">
        <v>46245</v>
      </c>
      <c r="M444" t="s">
        <v>32</v>
      </c>
      <c r="N444" s="1">
        <v>46254</v>
      </c>
      <c r="O444">
        <v>106</v>
      </c>
      <c r="P444">
        <v>2</v>
      </c>
      <c r="Q444">
        <v>2</v>
      </c>
      <c r="R444">
        <v>2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2</v>
      </c>
      <c r="AG444">
        <v>0</v>
      </c>
      <c r="AH444" t="s">
        <v>26</v>
      </c>
      <c r="AI444" t="s">
        <v>27</v>
      </c>
      <c r="AJ444" s="1"/>
      <c r="AK444" t="s">
        <v>28</v>
      </c>
      <c r="AL44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444">
        <f>SUM(Rel_2026[[#This Row],[qtd_TrxContabil]:[VLR_EXP_SORTE]])</f>
        <v>116</v>
      </c>
      <c r="AN44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445" spans="1:40" x14ac:dyDescent="0.3">
      <c r="A445" t="str">
        <f>IF(Rel_2026[[#This Row],[Zero]]=0,"Zero",IF(Rel_2026[[#This Row],[Pontuação]]&gt;=10,"Sim",IF(Rel_2026[[#This Row],[Pontuação]]&gt;=5,"Próximo","Não")))</f>
        <v>Sim</v>
      </c>
      <c r="B445" t="str">
        <f>IF(Rel_2026[[#This Row],[Zero]]=0,"Zero",IF(Rel_2026[[#This Row],[Pontuação2]]&gt;=10,"Sim",IF(Rel_2026[[#This Row],[Pontuação2]]&gt;=5,"Próximo","Não")))</f>
        <v>Sim</v>
      </c>
      <c r="C445" t="str">
        <f>IFERROR(VLOOKUP(Rel_2026[[#This Row],[chave_loja]],Responsavel!A:B,2,FALSE),"EUCLIDES")</f>
        <v>ALEX SIQUEIRA</v>
      </c>
      <c r="D445" t="str">
        <f>LEFT(Rel_2026[[#This Row],[ag_pacb]],4)</f>
        <v>0752</v>
      </c>
      <c r="E445">
        <v>423001</v>
      </c>
      <c r="F445" t="s">
        <v>1172</v>
      </c>
      <c r="G445" t="s">
        <v>1173</v>
      </c>
      <c r="H445" s="1">
        <v>46101</v>
      </c>
      <c r="I445" t="s">
        <v>23</v>
      </c>
      <c r="J445" t="s">
        <v>338</v>
      </c>
      <c r="K445" s="1">
        <v>46098</v>
      </c>
      <c r="L445" s="1">
        <v>46112</v>
      </c>
      <c r="M445" t="s">
        <v>109</v>
      </c>
      <c r="N445" s="1">
        <v>46254</v>
      </c>
      <c r="O445">
        <v>91</v>
      </c>
      <c r="P445">
        <v>8</v>
      </c>
      <c r="Q445">
        <v>3</v>
      </c>
      <c r="R445">
        <v>6</v>
      </c>
      <c r="S445">
        <v>3</v>
      </c>
      <c r="T445">
        <v>0</v>
      </c>
      <c r="U445">
        <v>5027</v>
      </c>
      <c r="V445">
        <v>5027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4</v>
      </c>
      <c r="AC445">
        <v>0</v>
      </c>
      <c r="AD445">
        <v>0</v>
      </c>
      <c r="AE445">
        <v>0</v>
      </c>
      <c r="AF445">
        <v>8</v>
      </c>
      <c r="AG445">
        <v>0</v>
      </c>
      <c r="AH445" t="s">
        <v>26</v>
      </c>
      <c r="AI445" t="s">
        <v>27</v>
      </c>
      <c r="AJ445" s="1"/>
      <c r="AK445" t="s">
        <v>28</v>
      </c>
      <c r="AL44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41</v>
      </c>
      <c r="AM445">
        <f>SUM(Rel_2026[[#This Row],[qtd_TrxContabil]:[VLR_EXP_SORTE]])</f>
        <v>10177</v>
      </c>
      <c r="AN44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59</v>
      </c>
    </row>
    <row r="446" spans="1:40" x14ac:dyDescent="0.3">
      <c r="A446" t="str">
        <f>IF(Rel_2026[[#This Row],[Zero]]=0,"Zero",IF(Rel_2026[[#This Row],[Pontuação]]&gt;=10,"Sim",IF(Rel_2026[[#This Row],[Pontuação]]&gt;=5,"Próximo","Não")))</f>
        <v>Sim</v>
      </c>
      <c r="B446" t="str">
        <f>IF(Rel_2026[[#This Row],[Zero]]=0,"Zero",IF(Rel_2026[[#This Row],[Pontuação2]]&gt;=10,"Sim",IF(Rel_2026[[#This Row],[Pontuação2]]&gt;=5,"Próximo","Não")))</f>
        <v>Sim</v>
      </c>
      <c r="C446" t="str">
        <f>IFERROR(VLOOKUP(Rel_2026[[#This Row],[chave_loja]],Responsavel!A:B,2,FALSE),"EUCLIDES")</f>
        <v>CÉLIO</v>
      </c>
      <c r="D446" t="str">
        <f>LEFT(Rel_2026[[#This Row],[ag_pacb]],4)</f>
        <v>0288</v>
      </c>
      <c r="E446">
        <v>186357</v>
      </c>
      <c r="F446" t="s">
        <v>197</v>
      </c>
      <c r="G446" t="s">
        <v>278</v>
      </c>
      <c r="H446" s="1">
        <v>44544</v>
      </c>
      <c r="I446" t="s">
        <v>23</v>
      </c>
      <c r="J446" t="s">
        <v>24</v>
      </c>
      <c r="K446" s="1">
        <v>45306</v>
      </c>
      <c r="L446" s="1">
        <v>45771</v>
      </c>
      <c r="M446" t="s">
        <v>25</v>
      </c>
      <c r="N446" s="1">
        <v>46254</v>
      </c>
      <c r="O446">
        <v>660</v>
      </c>
      <c r="P446">
        <v>3</v>
      </c>
      <c r="Q446">
        <v>2</v>
      </c>
      <c r="R446">
        <v>3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2</v>
      </c>
      <c r="AG446">
        <v>0</v>
      </c>
      <c r="AH446" t="s">
        <v>26</v>
      </c>
      <c r="AI446" t="s">
        <v>27</v>
      </c>
      <c r="AJ446" s="1"/>
      <c r="AK446" t="s">
        <v>28</v>
      </c>
      <c r="AL44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</v>
      </c>
      <c r="AM446">
        <f>SUM(Rel_2026[[#This Row],[qtd_TrxContabil]:[VLR_EXP_SORTE]])</f>
        <v>670</v>
      </c>
      <c r="AN44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26</v>
      </c>
    </row>
    <row r="447" spans="1:40" x14ac:dyDescent="0.3">
      <c r="A447" t="str">
        <f>IF(Rel_2026[[#This Row],[Zero]]=0,"Zero",IF(Rel_2026[[#This Row],[Pontuação]]&gt;=10,"Sim",IF(Rel_2026[[#This Row],[Pontuação]]&gt;=5,"Próximo","Não")))</f>
        <v>Zero</v>
      </c>
      <c r="B447" t="str">
        <f>IF(Rel_2026[[#This Row],[Zero]]=0,"Zero",IF(Rel_2026[[#This Row],[Pontuação2]]&gt;=10,"Sim",IF(Rel_2026[[#This Row],[Pontuação2]]&gt;=5,"Próximo","Não")))</f>
        <v>Zero</v>
      </c>
      <c r="C447" t="str">
        <f>IFERROR(VLOOKUP(Rel_2026[[#This Row],[chave_loja]],Responsavel!A:B,2,FALSE),"EUCLIDES")</f>
        <v>CÉLIO</v>
      </c>
      <c r="D447" t="str">
        <f>LEFT(Rel_2026[[#This Row],[ag_pacb]],4)</f>
        <v>0713</v>
      </c>
      <c r="E447">
        <v>415305</v>
      </c>
      <c r="F447" t="s">
        <v>320</v>
      </c>
      <c r="G447" t="s">
        <v>321</v>
      </c>
      <c r="H447" s="1">
        <v>45880</v>
      </c>
      <c r="I447" t="s">
        <v>23</v>
      </c>
      <c r="J447" t="s">
        <v>24</v>
      </c>
      <c r="K447" s="1">
        <v>45867</v>
      </c>
      <c r="L447" s="1">
        <v>45910</v>
      </c>
      <c r="M447" t="s">
        <v>25</v>
      </c>
      <c r="N447" s="1">
        <v>46001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 t="s">
        <v>38</v>
      </c>
      <c r="AI447" t="s">
        <v>56</v>
      </c>
      <c r="AJ447" s="1">
        <v>46083</v>
      </c>
      <c r="AK447" t="s">
        <v>28</v>
      </c>
      <c r="AL44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47">
        <f>SUM(Rel_2026[[#This Row],[qtd_TrxContabil]:[VLR_EXP_SORTE]])</f>
        <v>0</v>
      </c>
      <c r="AN44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48" spans="1:40" x14ac:dyDescent="0.3">
      <c r="A448" t="str">
        <f>IF(Rel_2026[[#This Row],[Zero]]=0,"Zero",IF(Rel_2026[[#This Row],[Pontuação]]&gt;=10,"Sim",IF(Rel_2026[[#This Row],[Pontuação]]&gt;=5,"Próximo","Não")))</f>
        <v>Não</v>
      </c>
      <c r="B448" t="str">
        <f>IF(Rel_2026[[#This Row],[Zero]]=0,"Zero",IF(Rel_2026[[#This Row],[Pontuação2]]&gt;=10,"Sim",IF(Rel_2026[[#This Row],[Pontuação2]]&gt;=5,"Próximo","Não")))</f>
        <v>Não</v>
      </c>
      <c r="C448" t="str">
        <f>IFERROR(VLOOKUP(Rel_2026[[#This Row],[chave_loja]],Responsavel!A:B,2,FALSE),"EUCLIDES")</f>
        <v>NYCOLLAS</v>
      </c>
      <c r="D448" t="str">
        <f>LEFT(Rel_2026[[#This Row],[ag_pacb]],4)</f>
        <v>5443</v>
      </c>
      <c r="E448">
        <v>413637</v>
      </c>
      <c r="F448" t="s">
        <v>639</v>
      </c>
      <c r="G448" t="s">
        <v>640</v>
      </c>
      <c r="H448" s="1">
        <v>45825</v>
      </c>
      <c r="I448" t="s">
        <v>23</v>
      </c>
      <c r="J448" t="s">
        <v>260</v>
      </c>
      <c r="K448" s="1">
        <v>45811</v>
      </c>
      <c r="L448" s="1">
        <v>45841</v>
      </c>
      <c r="M448" t="s">
        <v>32</v>
      </c>
      <c r="N448" s="1">
        <v>46254</v>
      </c>
      <c r="O448">
        <v>30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 t="s">
        <v>26</v>
      </c>
      <c r="AI448" t="s">
        <v>27</v>
      </c>
      <c r="AJ448" s="1"/>
      <c r="AK448" t="s">
        <v>28</v>
      </c>
      <c r="AL44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48">
        <f>SUM(Rel_2026[[#This Row],[qtd_TrxContabil]:[VLR_EXP_SORTE]])</f>
        <v>30</v>
      </c>
      <c r="AN44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49" spans="1:40" x14ac:dyDescent="0.3">
      <c r="A449" t="str">
        <f>IF(Rel_2026[[#This Row],[Zero]]=0,"Zero",IF(Rel_2026[[#This Row],[Pontuação]]&gt;=10,"Sim",IF(Rel_2026[[#This Row],[Pontuação]]&gt;=5,"Próximo","Não")))</f>
        <v>Sim</v>
      </c>
      <c r="B449" t="str">
        <f>IF(Rel_2026[[#This Row],[Zero]]=0,"Zero",IF(Rel_2026[[#This Row],[Pontuação2]]&gt;=10,"Sim",IF(Rel_2026[[#This Row],[Pontuação2]]&gt;=5,"Próximo","Não")))</f>
        <v>Sim</v>
      </c>
      <c r="C449" t="str">
        <f>IFERROR(VLOOKUP(Rel_2026[[#This Row],[chave_loja]],Responsavel!A:B,2,FALSE),"EUCLIDES")</f>
        <v>ALEX SIQUEIRA</v>
      </c>
      <c r="D449" t="str">
        <f>LEFT(Rel_2026[[#This Row],[ag_pacb]],4)</f>
        <v>0752</v>
      </c>
      <c r="E449">
        <v>419250</v>
      </c>
      <c r="F449" t="s">
        <v>755</v>
      </c>
      <c r="G449" t="s">
        <v>756</v>
      </c>
      <c r="H449" s="1">
        <v>45986</v>
      </c>
      <c r="I449" t="s">
        <v>23</v>
      </c>
      <c r="J449" t="s">
        <v>117</v>
      </c>
      <c r="K449" s="1">
        <v>45958</v>
      </c>
      <c r="L449" s="1">
        <v>45995</v>
      </c>
      <c r="M449" t="s">
        <v>109</v>
      </c>
      <c r="N449" s="1">
        <v>46254</v>
      </c>
      <c r="O449">
        <v>185</v>
      </c>
      <c r="P449">
        <v>3</v>
      </c>
      <c r="Q449">
        <v>3</v>
      </c>
      <c r="R449">
        <v>3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2</v>
      </c>
      <c r="AG449">
        <v>0</v>
      </c>
      <c r="AH449" t="s">
        <v>26</v>
      </c>
      <c r="AI449" t="s">
        <v>27</v>
      </c>
      <c r="AJ449" s="1"/>
      <c r="AK449" t="s">
        <v>28</v>
      </c>
      <c r="AL44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449">
        <f>SUM(Rel_2026[[#This Row],[qtd_TrxContabil]:[VLR_EXP_SORTE]])</f>
        <v>196</v>
      </c>
      <c r="AN44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</row>
    <row r="450" spans="1:40" x14ac:dyDescent="0.3">
      <c r="A450" t="str">
        <f>IF(Rel_2026[[#This Row],[Zero]]=0,"Zero",IF(Rel_2026[[#This Row],[Pontuação]]&gt;=10,"Sim",IF(Rel_2026[[#This Row],[Pontuação]]&gt;=5,"Próximo","Não")))</f>
        <v>Zero</v>
      </c>
      <c r="B450" t="str">
        <f>IF(Rel_2026[[#This Row],[Zero]]=0,"Zero",IF(Rel_2026[[#This Row],[Pontuação2]]&gt;=10,"Sim",IF(Rel_2026[[#This Row],[Pontuação2]]&gt;=5,"Próximo","Não")))</f>
        <v>Zero</v>
      </c>
      <c r="C450" t="str">
        <f>IFERROR(VLOOKUP(Rel_2026[[#This Row],[chave_loja]],Responsavel!A:B,2,FALSE),"EUCLIDES")</f>
        <v>CÉLIO</v>
      </c>
      <c r="D450" t="str">
        <f>LEFT(Rel_2026[[#This Row],[ag_pacb]],4)</f>
        <v>0624</v>
      </c>
      <c r="E450">
        <v>422820</v>
      </c>
      <c r="F450" t="s">
        <v>1160</v>
      </c>
      <c r="G450" t="s">
        <v>1161</v>
      </c>
      <c r="H450" s="1">
        <v>46098</v>
      </c>
      <c r="I450" t="s">
        <v>23</v>
      </c>
      <c r="J450" t="s">
        <v>24</v>
      </c>
      <c r="K450" s="1">
        <v>46091</v>
      </c>
      <c r="L450" s="1"/>
      <c r="M450" t="s">
        <v>25</v>
      </c>
      <c r="N450" s="1">
        <v>46136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 t="s">
        <v>26</v>
      </c>
      <c r="AI450" t="s">
        <v>27</v>
      </c>
      <c r="AJ450" s="1"/>
      <c r="AK450" t="s">
        <v>28</v>
      </c>
      <c r="AL45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50">
        <f>SUM(Rel_2026[[#This Row],[qtd_TrxContabil]:[VLR_EXP_SORTE]])</f>
        <v>0</v>
      </c>
      <c r="AN45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51" spans="1:40" x14ac:dyDescent="0.3">
      <c r="A451" t="str">
        <f>IF(Rel_2026[[#This Row],[Zero]]=0,"Zero",IF(Rel_2026[[#This Row],[Pontuação]]&gt;=10,"Sim",IF(Rel_2026[[#This Row],[Pontuação]]&gt;=5,"Próximo","Não")))</f>
        <v>Sim</v>
      </c>
      <c r="B451" t="str">
        <f>IF(Rel_2026[[#This Row],[Zero]]=0,"Zero",IF(Rel_2026[[#This Row],[Pontuação2]]&gt;=10,"Sim",IF(Rel_2026[[#This Row],[Pontuação2]]&gt;=5,"Próximo","Não")))</f>
        <v>Sim</v>
      </c>
      <c r="C451" t="str">
        <f>IFERROR(VLOOKUP(Rel_2026[[#This Row],[chave_loja]],Responsavel!A:B,2,FALSE),"EUCLIDES")</f>
        <v>ALEX SIQUEIRA</v>
      </c>
      <c r="D451" t="str">
        <f>LEFT(Rel_2026[[#This Row],[ag_pacb]],4)</f>
        <v>0752</v>
      </c>
      <c r="E451">
        <v>22714</v>
      </c>
      <c r="F451" t="s">
        <v>606</v>
      </c>
      <c r="G451" t="s">
        <v>607</v>
      </c>
      <c r="H451" s="1">
        <v>44243</v>
      </c>
      <c r="I451" t="s">
        <v>23</v>
      </c>
      <c r="J451" t="s">
        <v>117</v>
      </c>
      <c r="K451" s="1">
        <v>42151</v>
      </c>
      <c r="L451" s="1">
        <v>46162</v>
      </c>
      <c r="M451" t="s">
        <v>109</v>
      </c>
      <c r="N451" s="1">
        <v>46254</v>
      </c>
      <c r="O451">
        <v>979</v>
      </c>
      <c r="P451">
        <v>8</v>
      </c>
      <c r="Q451">
        <v>1</v>
      </c>
      <c r="R451">
        <v>6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 t="s">
        <v>26</v>
      </c>
      <c r="AI451" t="s">
        <v>27</v>
      </c>
      <c r="AJ451" s="1"/>
      <c r="AK451" t="s">
        <v>28</v>
      </c>
      <c r="AL45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28</v>
      </c>
      <c r="AM451">
        <f>SUM(Rel_2026[[#This Row],[qtd_TrxContabil]:[VLR_EXP_SORTE]])</f>
        <v>994</v>
      </c>
      <c r="AN45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46</v>
      </c>
    </row>
    <row r="452" spans="1:40" x14ac:dyDescent="0.3">
      <c r="A452" t="str">
        <f>IF(Rel_2026[[#This Row],[Zero]]=0,"Zero",IF(Rel_2026[[#This Row],[Pontuação]]&gt;=10,"Sim",IF(Rel_2026[[#This Row],[Pontuação]]&gt;=5,"Próximo","Não")))</f>
        <v>Sim</v>
      </c>
      <c r="B452" t="str">
        <f>IF(Rel_2026[[#This Row],[Zero]]=0,"Zero",IF(Rel_2026[[#This Row],[Pontuação2]]&gt;=10,"Sim",IF(Rel_2026[[#This Row],[Pontuação2]]&gt;=5,"Próximo","Não")))</f>
        <v>Sim</v>
      </c>
      <c r="C452" t="str">
        <f>IFERROR(VLOOKUP(Rel_2026[[#This Row],[chave_loja]],Responsavel!A:B,2,FALSE),"EUCLIDES")</f>
        <v>JUNIOR</v>
      </c>
      <c r="D452" t="str">
        <f>LEFT(Rel_2026[[#This Row],[ag_pacb]],4)</f>
        <v>5367</v>
      </c>
      <c r="E452">
        <v>174853</v>
      </c>
      <c r="F452" t="s">
        <v>499</v>
      </c>
      <c r="G452" t="s">
        <v>500</v>
      </c>
      <c r="H452" s="1">
        <v>45155</v>
      </c>
      <c r="I452" t="s">
        <v>23</v>
      </c>
      <c r="J452" t="s">
        <v>58</v>
      </c>
      <c r="K452" s="1">
        <v>45306</v>
      </c>
      <c r="L452" s="1">
        <v>46086</v>
      </c>
      <c r="M452" t="s">
        <v>32</v>
      </c>
      <c r="N452" s="1">
        <v>46254</v>
      </c>
      <c r="O452">
        <v>1307</v>
      </c>
      <c r="P452">
        <v>0</v>
      </c>
      <c r="Q452">
        <v>0</v>
      </c>
      <c r="R452">
        <v>0</v>
      </c>
      <c r="S452">
        <v>0</v>
      </c>
      <c r="T452">
        <v>1084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 t="s">
        <v>38</v>
      </c>
      <c r="AI452" t="s">
        <v>27</v>
      </c>
      <c r="AJ452" s="1"/>
      <c r="AK452" t="s">
        <v>28</v>
      </c>
      <c r="AL45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</v>
      </c>
      <c r="AM452">
        <f>SUM(Rel_2026[[#This Row],[qtd_TrxContabil]:[VLR_EXP_SORTE]])</f>
        <v>2391</v>
      </c>
      <c r="AN45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</v>
      </c>
    </row>
    <row r="453" spans="1:40" x14ac:dyDescent="0.3">
      <c r="A453" t="str">
        <f>IF(Rel_2026[[#This Row],[Zero]]=0,"Zero",IF(Rel_2026[[#This Row],[Pontuação]]&gt;=10,"Sim",IF(Rel_2026[[#This Row],[Pontuação]]&gt;=5,"Próximo","Não")))</f>
        <v>Não</v>
      </c>
      <c r="B453" t="str">
        <f>IF(Rel_2026[[#This Row],[Zero]]=0,"Zero",IF(Rel_2026[[#This Row],[Pontuação2]]&gt;=10,"Sim",IF(Rel_2026[[#This Row],[Pontuação2]]&gt;=5,"Próximo","Não")))</f>
        <v>Não</v>
      </c>
      <c r="C453" t="str">
        <f>IFERROR(VLOOKUP(Rel_2026[[#This Row],[chave_loja]],Responsavel!A:B,2,FALSE),"EUCLIDES")</f>
        <v>WASTHSON</v>
      </c>
      <c r="D453" t="str">
        <f>LEFT(Rel_2026[[#This Row],[ag_pacb]],4)</f>
        <v>0458</v>
      </c>
      <c r="E453">
        <v>409598</v>
      </c>
      <c r="F453" t="s">
        <v>1064</v>
      </c>
      <c r="G453" t="s">
        <v>1041</v>
      </c>
      <c r="H453" s="1">
        <v>45699</v>
      </c>
      <c r="I453" t="s">
        <v>23</v>
      </c>
      <c r="J453" t="s">
        <v>759</v>
      </c>
      <c r="K453" s="1">
        <v>45695</v>
      </c>
      <c r="L453" s="1">
        <v>45729</v>
      </c>
      <c r="M453" t="s">
        <v>32</v>
      </c>
      <c r="N453" s="1">
        <v>46254</v>
      </c>
      <c r="O453">
        <v>492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 t="s">
        <v>26</v>
      </c>
      <c r="AI453" t="s">
        <v>27</v>
      </c>
      <c r="AJ453" s="1"/>
      <c r="AK453" t="s">
        <v>28</v>
      </c>
      <c r="AL45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53">
        <f>SUM(Rel_2026[[#This Row],[qtd_TrxContabil]:[VLR_EXP_SORTE]])</f>
        <v>492</v>
      </c>
      <c r="AN45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54" spans="1:40" x14ac:dyDescent="0.3">
      <c r="A454" t="str">
        <f>IF(Rel_2026[[#This Row],[Zero]]=0,"Zero",IF(Rel_2026[[#This Row],[Pontuação]]&gt;=10,"Sim",IF(Rel_2026[[#This Row],[Pontuação]]&gt;=5,"Próximo","Não")))</f>
        <v>Não</v>
      </c>
      <c r="B454" t="str">
        <f>IF(Rel_2026[[#This Row],[Zero]]=0,"Zero",IF(Rel_2026[[#This Row],[Pontuação2]]&gt;=10,"Sim",IF(Rel_2026[[#This Row],[Pontuação2]]&gt;=5,"Próximo","Não")))</f>
        <v>Não</v>
      </c>
      <c r="C454" t="str">
        <f>IFERROR(VLOOKUP(Rel_2026[[#This Row],[chave_loja]],Responsavel!A:B,2,FALSE),"EUCLIDES")</f>
        <v>DARIO</v>
      </c>
      <c r="D454" t="str">
        <f>LEFT(Rel_2026[[#This Row],[ag_pacb]],4)</f>
        <v>5438</v>
      </c>
      <c r="E454">
        <v>156827</v>
      </c>
      <c r="F454" t="s">
        <v>486</v>
      </c>
      <c r="G454" t="s">
        <v>487</v>
      </c>
      <c r="H454" s="1">
        <v>45167</v>
      </c>
      <c r="I454" t="s">
        <v>23</v>
      </c>
      <c r="J454" t="s">
        <v>442</v>
      </c>
      <c r="K454" s="1">
        <v>42825</v>
      </c>
      <c r="L454" s="1">
        <v>44852</v>
      </c>
      <c r="M454" t="s">
        <v>25</v>
      </c>
      <c r="N454" s="1">
        <v>46254</v>
      </c>
      <c r="O454">
        <v>1565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 t="s">
        <v>38</v>
      </c>
      <c r="AI454" t="s">
        <v>27</v>
      </c>
      <c r="AJ454" s="1"/>
      <c r="AK454" t="s">
        <v>28</v>
      </c>
      <c r="AL45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54">
        <f>SUM(Rel_2026[[#This Row],[qtd_TrxContabil]:[VLR_EXP_SORTE]])</f>
        <v>1565</v>
      </c>
      <c r="AN45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55" spans="1:40" x14ac:dyDescent="0.3">
      <c r="A455" t="str">
        <f>IF(Rel_2026[[#This Row],[Zero]]=0,"Zero",IF(Rel_2026[[#This Row],[Pontuação]]&gt;=10,"Sim",IF(Rel_2026[[#This Row],[Pontuação]]&gt;=5,"Próximo","Não")))</f>
        <v>Sim</v>
      </c>
      <c r="B455" t="str">
        <f>IF(Rel_2026[[#This Row],[Zero]]=0,"Zero",IF(Rel_2026[[#This Row],[Pontuação2]]&gt;=10,"Sim",IF(Rel_2026[[#This Row],[Pontuação2]]&gt;=5,"Próximo","Não")))</f>
        <v>Sim</v>
      </c>
      <c r="C455" t="str">
        <f>IFERROR(VLOOKUP(Rel_2026[[#This Row],[chave_loja]],Responsavel!A:B,2,FALSE),"EUCLIDES")</f>
        <v>JUNIOR</v>
      </c>
      <c r="D455" t="str">
        <f>LEFT(Rel_2026[[#This Row],[ag_pacb]],4)</f>
        <v>1351</v>
      </c>
      <c r="E455">
        <v>206289</v>
      </c>
      <c r="F455" t="s">
        <v>304</v>
      </c>
      <c r="G455" t="s">
        <v>1390</v>
      </c>
      <c r="H455" s="1">
        <v>44676</v>
      </c>
      <c r="I455" t="s">
        <v>23</v>
      </c>
      <c r="J455" t="s">
        <v>239</v>
      </c>
      <c r="K455" s="1">
        <v>44272</v>
      </c>
      <c r="L455" s="1">
        <v>45394</v>
      </c>
      <c r="M455" t="s">
        <v>32</v>
      </c>
      <c r="N455" s="1">
        <v>46254</v>
      </c>
      <c r="O455">
        <v>92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24000</v>
      </c>
      <c r="V455">
        <v>24000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 t="s">
        <v>26</v>
      </c>
      <c r="AI455" t="s">
        <v>27</v>
      </c>
      <c r="AJ455" s="1"/>
      <c r="AK455" t="s">
        <v>28</v>
      </c>
      <c r="AL45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  <c r="AM455">
        <f>SUM(Rel_2026[[#This Row],[qtd_TrxContabil]:[VLR_EXP_SORTE]])</f>
        <v>48092</v>
      </c>
      <c r="AN45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</row>
    <row r="456" spans="1:40" x14ac:dyDescent="0.3">
      <c r="A456" t="str">
        <f>IF(Rel_2026[[#This Row],[Zero]]=0,"Zero",IF(Rel_2026[[#This Row],[Pontuação]]&gt;=10,"Sim",IF(Rel_2026[[#This Row],[Pontuação]]&gt;=5,"Próximo","Não")))</f>
        <v>Não</v>
      </c>
      <c r="B456" t="str">
        <f>IF(Rel_2026[[#This Row],[Zero]]=0,"Zero",IF(Rel_2026[[#This Row],[Pontuação2]]&gt;=10,"Sim",IF(Rel_2026[[#This Row],[Pontuação2]]&gt;=5,"Próximo","Não")))</f>
        <v>Não</v>
      </c>
      <c r="C456" t="str">
        <f>IFERROR(VLOOKUP(Rel_2026[[#This Row],[chave_loja]],Responsavel!A:B,2,FALSE),"EUCLIDES")</f>
        <v>IVAN</v>
      </c>
      <c r="D456" t="str">
        <f>LEFT(Rel_2026[[#This Row],[ag_pacb]],4)</f>
        <v>5366</v>
      </c>
      <c r="E456">
        <v>402801</v>
      </c>
      <c r="F456" t="s">
        <v>641</v>
      </c>
      <c r="G456" t="s">
        <v>642</v>
      </c>
      <c r="H456" s="1">
        <v>45558</v>
      </c>
      <c r="I456" t="s">
        <v>23</v>
      </c>
      <c r="J456" t="s">
        <v>140</v>
      </c>
      <c r="K456" s="1">
        <v>45413</v>
      </c>
      <c r="L456" s="1">
        <v>45580</v>
      </c>
      <c r="M456" t="s">
        <v>25</v>
      </c>
      <c r="N456" s="1">
        <v>46254</v>
      </c>
      <c r="O456">
        <v>40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 t="s">
        <v>26</v>
      </c>
      <c r="AI456" t="s">
        <v>27</v>
      </c>
      <c r="AJ456" s="1"/>
      <c r="AK456" t="s">
        <v>28</v>
      </c>
      <c r="AL45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56">
        <f>SUM(Rel_2026[[#This Row],[qtd_TrxContabil]:[VLR_EXP_SORTE]])</f>
        <v>40</v>
      </c>
      <c r="AN45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57" spans="1:40" x14ac:dyDescent="0.3">
      <c r="A457" t="str">
        <f>IF(Rel_2026[[#This Row],[Zero]]=0,"Zero",IF(Rel_2026[[#This Row],[Pontuação]]&gt;=10,"Sim",IF(Rel_2026[[#This Row],[Pontuação]]&gt;=5,"Próximo","Não")))</f>
        <v>Sim</v>
      </c>
      <c r="B457" t="str">
        <f>IF(Rel_2026[[#This Row],[Zero]]=0,"Zero",IF(Rel_2026[[#This Row],[Pontuação2]]&gt;=10,"Sim",IF(Rel_2026[[#This Row],[Pontuação2]]&gt;=5,"Próximo","Não")))</f>
        <v>Sim</v>
      </c>
      <c r="C457" t="str">
        <f>IFERROR(VLOOKUP(Rel_2026[[#This Row],[chave_loja]],Responsavel!A:B,2,FALSE),"EUCLIDES")</f>
        <v>ISMAEL</v>
      </c>
      <c r="D457" t="str">
        <f>LEFT(Rel_2026[[#This Row],[ag_pacb]],4)</f>
        <v>1302</v>
      </c>
      <c r="E457">
        <v>417648</v>
      </c>
      <c r="F457" t="s">
        <v>772</v>
      </c>
      <c r="G457" t="s">
        <v>773</v>
      </c>
      <c r="H457" s="1">
        <v>46000</v>
      </c>
      <c r="I457" t="s">
        <v>23</v>
      </c>
      <c r="J457" t="s">
        <v>71</v>
      </c>
      <c r="K457" s="1">
        <v>45913</v>
      </c>
      <c r="L457" s="1">
        <v>46217</v>
      </c>
      <c r="M457" t="s">
        <v>32</v>
      </c>
      <c r="N457" s="1">
        <v>46254</v>
      </c>
      <c r="O457">
        <v>802</v>
      </c>
      <c r="P457">
        <v>5</v>
      </c>
      <c r="Q457">
        <v>3</v>
      </c>
      <c r="R457">
        <v>5</v>
      </c>
      <c r="S457">
        <v>0</v>
      </c>
      <c r="T457">
        <v>800</v>
      </c>
      <c r="U457">
        <v>31116</v>
      </c>
      <c r="V457">
        <v>31116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5</v>
      </c>
      <c r="AG457">
        <v>0</v>
      </c>
      <c r="AH457" t="s">
        <v>38</v>
      </c>
      <c r="AI457" t="s">
        <v>27</v>
      </c>
      <c r="AJ457" s="1"/>
      <c r="AK457" t="s">
        <v>28</v>
      </c>
      <c r="AL45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66</v>
      </c>
      <c r="AM457">
        <f>SUM(Rel_2026[[#This Row],[qtd_TrxContabil]:[VLR_EXP_SORTE]])</f>
        <v>63853</v>
      </c>
      <c r="AN45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81</v>
      </c>
    </row>
    <row r="458" spans="1:40" x14ac:dyDescent="0.3">
      <c r="A458" t="str">
        <f>IF(Rel_2026[[#This Row],[Zero]]=0,"Zero",IF(Rel_2026[[#This Row],[Pontuação]]&gt;=10,"Sim",IF(Rel_2026[[#This Row],[Pontuação]]&gt;=5,"Próximo","Não")))</f>
        <v>Não</v>
      </c>
      <c r="B458" t="str">
        <f>IF(Rel_2026[[#This Row],[Zero]]=0,"Zero",IF(Rel_2026[[#This Row],[Pontuação2]]&gt;=10,"Sim",IF(Rel_2026[[#This Row],[Pontuação2]]&gt;=5,"Próximo","Não")))</f>
        <v>Não</v>
      </c>
      <c r="C458" t="str">
        <f>IFERROR(VLOOKUP(Rel_2026[[#This Row],[chave_loja]],Responsavel!A:B,2,FALSE),"EUCLIDES")</f>
        <v>ISMAEL</v>
      </c>
      <c r="D458" t="str">
        <f>LEFT(Rel_2026[[#This Row],[ag_pacb]],4)</f>
        <v>5365</v>
      </c>
      <c r="E458">
        <v>164949</v>
      </c>
      <c r="F458" t="s">
        <v>1378</v>
      </c>
      <c r="G458" t="s">
        <v>1379</v>
      </c>
      <c r="H458" s="1">
        <v>45132</v>
      </c>
      <c r="I458" t="s">
        <v>23</v>
      </c>
      <c r="J458" t="s">
        <v>175</v>
      </c>
      <c r="K458" s="1">
        <v>43188</v>
      </c>
      <c r="L458" s="1">
        <v>45034</v>
      </c>
      <c r="M458" t="s">
        <v>25</v>
      </c>
      <c r="N458" s="1">
        <v>46248</v>
      </c>
      <c r="O458">
        <v>102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 t="s">
        <v>26</v>
      </c>
      <c r="AI458" t="s">
        <v>27</v>
      </c>
      <c r="AJ458" s="1"/>
      <c r="AK458" t="s">
        <v>28</v>
      </c>
      <c r="AL45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58">
        <f>SUM(Rel_2026[[#This Row],[qtd_TrxContabil]:[VLR_EXP_SORTE]])</f>
        <v>102</v>
      </c>
      <c r="AN45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59" spans="1:40" x14ac:dyDescent="0.3">
      <c r="A459" t="str">
        <f>IF(Rel_2026[[#This Row],[Zero]]=0,"Zero",IF(Rel_2026[[#This Row],[Pontuação]]&gt;=10,"Sim",IF(Rel_2026[[#This Row],[Pontuação]]&gt;=5,"Próximo","Não")))</f>
        <v>Não</v>
      </c>
      <c r="B459" t="str">
        <f>IF(Rel_2026[[#This Row],[Zero]]=0,"Zero",IF(Rel_2026[[#This Row],[Pontuação2]]&gt;=10,"Sim",IF(Rel_2026[[#This Row],[Pontuação2]]&gt;=5,"Próximo","Não")))</f>
        <v>Não</v>
      </c>
      <c r="C459" t="str">
        <f>IFERROR(VLOOKUP(Rel_2026[[#This Row],[chave_loja]],Responsavel!A:B,2,FALSE),"EUCLIDES")</f>
        <v>WASTHSON</v>
      </c>
      <c r="D459" t="str">
        <f>LEFT(Rel_2026[[#This Row],[ag_pacb]],4)</f>
        <v>0458</v>
      </c>
      <c r="E459">
        <v>229552</v>
      </c>
      <c r="F459" t="s">
        <v>1020</v>
      </c>
      <c r="G459" t="s">
        <v>1021</v>
      </c>
      <c r="H459" s="1">
        <v>44608</v>
      </c>
      <c r="I459" t="s">
        <v>23</v>
      </c>
      <c r="J459" t="s">
        <v>392</v>
      </c>
      <c r="K459" s="1">
        <v>44804</v>
      </c>
      <c r="L459" s="1">
        <v>46248</v>
      </c>
      <c r="M459" t="s">
        <v>32</v>
      </c>
      <c r="N459" s="1">
        <v>46254</v>
      </c>
      <c r="O459">
        <v>630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 t="s">
        <v>38</v>
      </c>
      <c r="AI459" t="s">
        <v>27</v>
      </c>
      <c r="AJ459" s="1"/>
      <c r="AK459" t="s">
        <v>28</v>
      </c>
      <c r="AL45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59">
        <f>SUM(Rel_2026[[#This Row],[qtd_TrxContabil]:[VLR_EXP_SORTE]])</f>
        <v>630</v>
      </c>
      <c r="AN45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60" spans="1:40" x14ac:dyDescent="0.3">
      <c r="A460" t="str">
        <f>IF(Rel_2026[[#This Row],[Zero]]=0,"Zero",IF(Rel_2026[[#This Row],[Pontuação]]&gt;=10,"Sim",IF(Rel_2026[[#This Row],[Pontuação]]&gt;=5,"Próximo","Não")))</f>
        <v>Próximo</v>
      </c>
      <c r="B460" t="str">
        <f>IF(Rel_2026[[#This Row],[Zero]]=0,"Zero",IF(Rel_2026[[#This Row],[Pontuação2]]&gt;=10,"Sim",IF(Rel_2026[[#This Row],[Pontuação2]]&gt;=5,"Próximo","Não")))</f>
        <v>Sim</v>
      </c>
      <c r="C460" t="str">
        <f>IFERROR(VLOOKUP(Rel_2026[[#This Row],[chave_loja]],Responsavel!A:B,2,FALSE),"EUCLIDES")</f>
        <v>DARIO</v>
      </c>
      <c r="D460" t="str">
        <f>LEFT(Rel_2026[[#This Row],[ag_pacb]],4)</f>
        <v>1781</v>
      </c>
      <c r="E460">
        <v>203571</v>
      </c>
      <c r="F460" t="s">
        <v>122</v>
      </c>
      <c r="G460" t="s">
        <v>123</v>
      </c>
      <c r="H460" s="1">
        <v>45182</v>
      </c>
      <c r="I460" t="s">
        <v>23</v>
      </c>
      <c r="J460" t="s">
        <v>124</v>
      </c>
      <c r="K460" s="1">
        <v>45306</v>
      </c>
      <c r="L460" s="1">
        <v>45314</v>
      </c>
      <c r="M460" t="s">
        <v>25</v>
      </c>
      <c r="N460" s="1">
        <v>46254</v>
      </c>
      <c r="O460">
        <v>2451</v>
      </c>
      <c r="P460">
        <v>1</v>
      </c>
      <c r="Q460">
        <v>1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 t="s">
        <v>26</v>
      </c>
      <c r="AI460" t="s">
        <v>27</v>
      </c>
      <c r="AJ460" s="1"/>
      <c r="AK460" t="s">
        <v>28</v>
      </c>
      <c r="AL46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460">
        <f>SUM(Rel_2026[[#This Row],[qtd_TrxContabil]:[VLR_EXP_SORTE]])</f>
        <v>2454</v>
      </c>
      <c r="AN46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461" spans="1:40" x14ac:dyDescent="0.3">
      <c r="A461" t="str">
        <f>IF(Rel_2026[[#This Row],[Zero]]=0,"Zero",IF(Rel_2026[[#This Row],[Pontuação]]&gt;=10,"Sim",IF(Rel_2026[[#This Row],[Pontuação]]&gt;=5,"Próximo","Não")))</f>
        <v>Não</v>
      </c>
      <c r="B461" t="str">
        <f>IF(Rel_2026[[#This Row],[Zero]]=0,"Zero",IF(Rel_2026[[#This Row],[Pontuação2]]&gt;=10,"Sim",IF(Rel_2026[[#This Row],[Pontuação2]]&gt;=5,"Próximo","Não")))</f>
        <v>Não</v>
      </c>
      <c r="C461" t="str">
        <f>IFERROR(VLOOKUP(Rel_2026[[#This Row],[chave_loja]],Responsavel!A:B,2,FALSE),"EUCLIDES")</f>
        <v>IVAN</v>
      </c>
      <c r="D461" t="str">
        <f>LEFT(Rel_2026[[#This Row],[ag_pacb]],4)</f>
        <v>0711</v>
      </c>
      <c r="E461">
        <v>204305</v>
      </c>
      <c r="F461" t="s">
        <v>82</v>
      </c>
      <c r="G461" t="s">
        <v>83</v>
      </c>
      <c r="H461" s="1">
        <v>45558</v>
      </c>
      <c r="I461" t="s">
        <v>23</v>
      </c>
      <c r="J461" t="s">
        <v>41</v>
      </c>
      <c r="K461" s="1">
        <v>45306</v>
      </c>
      <c r="L461" s="1">
        <v>46219</v>
      </c>
      <c r="M461" t="s">
        <v>25</v>
      </c>
      <c r="N461" s="1">
        <v>46254</v>
      </c>
      <c r="O461">
        <v>316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 t="s">
        <v>26</v>
      </c>
      <c r="AI461" t="s">
        <v>27</v>
      </c>
      <c r="AJ461" s="1"/>
      <c r="AK461" t="s">
        <v>28</v>
      </c>
      <c r="AL46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61">
        <f>SUM(Rel_2026[[#This Row],[qtd_TrxContabil]:[VLR_EXP_SORTE]])</f>
        <v>316</v>
      </c>
      <c r="AN46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62" spans="1:40" x14ac:dyDescent="0.3">
      <c r="A462" t="str">
        <f>IF(Rel_2026[[#This Row],[Zero]]=0,"Zero",IF(Rel_2026[[#This Row],[Pontuação]]&gt;=10,"Sim",IF(Rel_2026[[#This Row],[Pontuação]]&gt;=5,"Próximo","Não")))</f>
        <v>Sim</v>
      </c>
      <c r="B462" t="str">
        <f>IF(Rel_2026[[#This Row],[Zero]]=0,"Zero",IF(Rel_2026[[#This Row],[Pontuação2]]&gt;=10,"Sim",IF(Rel_2026[[#This Row],[Pontuação2]]&gt;=5,"Próximo","Não")))</f>
        <v>Sim</v>
      </c>
      <c r="C462" t="str">
        <f>IFERROR(VLOOKUP(Rel_2026[[#This Row],[chave_loja]],Responsavel!A:B,2,FALSE),"EUCLIDES")</f>
        <v>PAULO</v>
      </c>
      <c r="D462" t="str">
        <f>LEFT(Rel_2026[[#This Row],[ag_pacb]],4)</f>
        <v>0937</v>
      </c>
      <c r="E462">
        <v>231928</v>
      </c>
      <c r="F462" t="s">
        <v>1126</v>
      </c>
      <c r="G462" t="s">
        <v>1127</v>
      </c>
      <c r="H462" s="1">
        <v>44923</v>
      </c>
      <c r="I462" t="s">
        <v>107</v>
      </c>
      <c r="J462" t="s">
        <v>1128</v>
      </c>
      <c r="K462" s="1">
        <v>44837</v>
      </c>
      <c r="L462" s="1">
        <v>44834</v>
      </c>
      <c r="M462" t="s">
        <v>109</v>
      </c>
      <c r="N462" s="1">
        <v>46254</v>
      </c>
      <c r="O462">
        <v>1784</v>
      </c>
      <c r="P462">
        <v>5</v>
      </c>
      <c r="Q462">
        <v>0</v>
      </c>
      <c r="R462">
        <v>5</v>
      </c>
      <c r="S462">
        <v>0</v>
      </c>
      <c r="T462">
        <v>600</v>
      </c>
      <c r="U462">
        <v>79456</v>
      </c>
      <c r="V462">
        <v>79456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5</v>
      </c>
      <c r="AG462">
        <v>0</v>
      </c>
      <c r="AH462" t="s">
        <v>38</v>
      </c>
      <c r="AI462" t="s">
        <v>27</v>
      </c>
      <c r="AJ462" s="1"/>
      <c r="AK462" t="s">
        <v>28</v>
      </c>
      <c r="AL46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100</v>
      </c>
      <c r="AM462">
        <f>SUM(Rel_2026[[#This Row],[qtd_TrxContabil]:[VLR_EXP_SORTE]])</f>
        <v>161311</v>
      </c>
      <c r="AN46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115</v>
      </c>
    </row>
    <row r="463" spans="1:40" x14ac:dyDescent="0.3">
      <c r="A463" t="str">
        <f>IF(Rel_2026[[#This Row],[Zero]]=0,"Zero",IF(Rel_2026[[#This Row],[Pontuação]]&gt;=10,"Sim",IF(Rel_2026[[#This Row],[Pontuação]]&gt;=5,"Próximo","Não")))</f>
        <v>Sim</v>
      </c>
      <c r="B463" t="str">
        <f>IF(Rel_2026[[#This Row],[Zero]]=0,"Zero",IF(Rel_2026[[#This Row],[Pontuação2]]&gt;=10,"Sim",IF(Rel_2026[[#This Row],[Pontuação2]]&gt;=5,"Próximo","Não")))</f>
        <v>Sim</v>
      </c>
      <c r="C463" t="str">
        <f>IFERROR(VLOOKUP(Rel_2026[[#This Row],[chave_loja]],Responsavel!A:B,2,FALSE),"EUCLIDES")</f>
        <v>CÉLIO</v>
      </c>
      <c r="D463" t="str">
        <f>LEFT(Rel_2026[[#This Row],[ag_pacb]],4)</f>
        <v>0683</v>
      </c>
      <c r="E463">
        <v>243188</v>
      </c>
      <c r="F463" t="s">
        <v>602</v>
      </c>
      <c r="G463" t="s">
        <v>603</v>
      </c>
      <c r="H463" s="1">
        <v>44936</v>
      </c>
      <c r="I463" t="s">
        <v>23</v>
      </c>
      <c r="J463" t="s">
        <v>24</v>
      </c>
      <c r="K463" s="1">
        <v>45306</v>
      </c>
      <c r="L463" s="1">
        <v>44945</v>
      </c>
      <c r="M463" t="s">
        <v>32</v>
      </c>
      <c r="N463" s="1">
        <v>46254</v>
      </c>
      <c r="O463">
        <v>49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9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100</v>
      </c>
      <c r="AH463" t="s">
        <v>26</v>
      </c>
      <c r="AI463" t="s">
        <v>27</v>
      </c>
      <c r="AJ463" s="1"/>
      <c r="AK463" t="s">
        <v>28</v>
      </c>
      <c r="AL46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</v>
      </c>
      <c r="AM463">
        <f>SUM(Rel_2026[[#This Row],[qtd_TrxContabil]:[VLR_EXP_SORTE]])</f>
        <v>158</v>
      </c>
      <c r="AN46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</v>
      </c>
    </row>
    <row r="464" spans="1:40" x14ac:dyDescent="0.3">
      <c r="A464" t="str">
        <f>IF(Rel_2026[[#This Row],[Zero]]=0,"Zero",IF(Rel_2026[[#This Row],[Pontuação]]&gt;=10,"Sim",IF(Rel_2026[[#This Row],[Pontuação]]&gt;=5,"Próximo","Não")))</f>
        <v>Zero</v>
      </c>
      <c r="B464" t="str">
        <f>IF(Rel_2026[[#This Row],[Zero]]=0,"Zero",IF(Rel_2026[[#This Row],[Pontuação2]]&gt;=10,"Sim",IF(Rel_2026[[#This Row],[Pontuação2]]&gt;=5,"Próximo","Não")))</f>
        <v>Zero</v>
      </c>
      <c r="C464" t="str">
        <f>IFERROR(VLOOKUP(Rel_2026[[#This Row],[chave_loja]],Responsavel!A:B,2,FALSE),"EUCLIDES")</f>
        <v>GIL</v>
      </c>
      <c r="D464" t="str">
        <f>LEFT(Rel_2026[[#This Row],[ag_pacb]],4)</f>
        <v>0715</v>
      </c>
      <c r="E464">
        <v>400604</v>
      </c>
      <c r="F464" t="s">
        <v>381</v>
      </c>
      <c r="G464" t="s">
        <v>382</v>
      </c>
      <c r="H464" s="1">
        <v>45330</v>
      </c>
      <c r="I464" t="s">
        <v>23</v>
      </c>
      <c r="J464" t="s">
        <v>202</v>
      </c>
      <c r="K464" s="1">
        <v>45313</v>
      </c>
      <c r="L464" s="1">
        <v>45345</v>
      </c>
      <c r="M464" t="s">
        <v>32</v>
      </c>
      <c r="N464" s="1">
        <v>46147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 t="s">
        <v>26</v>
      </c>
      <c r="AI464" t="s">
        <v>27</v>
      </c>
      <c r="AJ464" s="1"/>
      <c r="AK464" t="s">
        <v>28</v>
      </c>
      <c r="AL46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64">
        <f>SUM(Rel_2026[[#This Row],[qtd_TrxContabil]:[VLR_EXP_SORTE]])</f>
        <v>0</v>
      </c>
      <c r="AN46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65" spans="1:40" x14ac:dyDescent="0.3">
      <c r="A465" t="str">
        <f>IF(Rel_2026[[#This Row],[Zero]]=0,"Zero",IF(Rel_2026[[#This Row],[Pontuação]]&gt;=10,"Sim",IF(Rel_2026[[#This Row],[Pontuação]]&gt;=5,"Próximo","Não")))</f>
        <v>Não</v>
      </c>
      <c r="B465" t="str">
        <f>IF(Rel_2026[[#This Row],[Zero]]=0,"Zero",IF(Rel_2026[[#This Row],[Pontuação2]]&gt;=10,"Sim",IF(Rel_2026[[#This Row],[Pontuação2]]&gt;=5,"Próximo","Não")))</f>
        <v>Não</v>
      </c>
      <c r="C465" t="str">
        <f>IFERROR(VLOOKUP(Rel_2026[[#This Row],[chave_loja]],Responsavel!A:B,2,FALSE),"EUCLIDES")</f>
        <v>CÉLIO</v>
      </c>
      <c r="D465" t="str">
        <f>LEFT(Rel_2026[[#This Row],[ag_pacb]],4)</f>
        <v>0628</v>
      </c>
      <c r="E465">
        <v>52790</v>
      </c>
      <c r="F465" t="s">
        <v>268</v>
      </c>
      <c r="G465" t="s">
        <v>269</v>
      </c>
      <c r="H465" s="1">
        <v>44895</v>
      </c>
      <c r="I465" t="s">
        <v>23</v>
      </c>
      <c r="J465" t="s">
        <v>24</v>
      </c>
      <c r="K465" s="1">
        <v>44302</v>
      </c>
      <c r="L465" s="1">
        <v>44361</v>
      </c>
      <c r="M465" t="s">
        <v>32</v>
      </c>
      <c r="N465" s="1">
        <v>46241</v>
      </c>
      <c r="O465">
        <v>103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 t="s">
        <v>26</v>
      </c>
      <c r="AI465" t="s">
        <v>27</v>
      </c>
      <c r="AJ465" s="1"/>
      <c r="AK465" t="s">
        <v>28</v>
      </c>
      <c r="AL46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65">
        <f>SUM(Rel_2026[[#This Row],[qtd_TrxContabil]:[VLR_EXP_SORTE]])</f>
        <v>103</v>
      </c>
      <c r="AN46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66" spans="1:40" x14ac:dyDescent="0.3">
      <c r="A466" t="str">
        <f>IF(Rel_2026[[#This Row],[Zero]]=0,"Zero",IF(Rel_2026[[#This Row],[Pontuação]]&gt;=10,"Sim",IF(Rel_2026[[#This Row],[Pontuação]]&gt;=5,"Próximo","Não")))</f>
        <v>Zero</v>
      </c>
      <c r="B466" t="str">
        <f>IF(Rel_2026[[#This Row],[Zero]]=0,"Zero",IF(Rel_2026[[#This Row],[Pontuação2]]&gt;=10,"Sim",IF(Rel_2026[[#This Row],[Pontuação2]]&gt;=5,"Próximo","Não")))</f>
        <v>Zero</v>
      </c>
      <c r="C466" t="str">
        <f>IFERROR(VLOOKUP(Rel_2026[[#This Row],[chave_loja]],Responsavel!A:B,2,FALSE),"EUCLIDES")</f>
        <v>IVAN</v>
      </c>
      <c r="D466" t="str">
        <f>LEFT(Rel_2026[[#This Row],[ag_pacb]],4)</f>
        <v>0711</v>
      </c>
      <c r="E466">
        <v>421757</v>
      </c>
      <c r="F466" t="s">
        <v>1352</v>
      </c>
      <c r="G466" t="s">
        <v>1353</v>
      </c>
      <c r="H466" s="1">
        <v>46058</v>
      </c>
      <c r="I466" t="s">
        <v>23</v>
      </c>
      <c r="J466" t="s">
        <v>41</v>
      </c>
      <c r="K466" s="1">
        <v>46035</v>
      </c>
      <c r="L466" s="1">
        <v>46065</v>
      </c>
      <c r="M466" t="s">
        <v>25</v>
      </c>
      <c r="N466" s="1">
        <v>46113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 t="s">
        <v>38</v>
      </c>
      <c r="AI466" t="s">
        <v>56</v>
      </c>
      <c r="AJ466" s="1">
        <v>46199</v>
      </c>
      <c r="AK466" t="s">
        <v>28</v>
      </c>
      <c r="AL46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66">
        <f>SUM(Rel_2026[[#This Row],[qtd_TrxContabil]:[VLR_EXP_SORTE]])</f>
        <v>0</v>
      </c>
      <c r="AN46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67" spans="1:40" x14ac:dyDescent="0.3">
      <c r="A467" t="str">
        <f>IF(Rel_2026[[#This Row],[Zero]]=0,"Zero",IF(Rel_2026[[#This Row],[Pontuação]]&gt;=10,"Sim",IF(Rel_2026[[#This Row],[Pontuação]]&gt;=5,"Próximo","Não")))</f>
        <v>Sim</v>
      </c>
      <c r="B467" t="str">
        <f>IF(Rel_2026[[#This Row],[Zero]]=0,"Zero",IF(Rel_2026[[#This Row],[Pontuação2]]&gt;=10,"Sim",IF(Rel_2026[[#This Row],[Pontuação2]]&gt;=5,"Próximo","Não")))</f>
        <v>Sim</v>
      </c>
      <c r="C467" t="str">
        <f>IFERROR(VLOOKUP(Rel_2026[[#This Row],[chave_loja]],Responsavel!A:B,2,FALSE),"EUCLIDES")</f>
        <v>WASTHSON</v>
      </c>
      <c r="D467" t="str">
        <f>LEFT(Rel_2026[[#This Row],[ag_pacb]],4)</f>
        <v>0458</v>
      </c>
      <c r="E467">
        <v>150698</v>
      </c>
      <c r="F467" t="s">
        <v>115</v>
      </c>
      <c r="G467" t="s">
        <v>987</v>
      </c>
      <c r="H467" s="1">
        <v>44119</v>
      </c>
      <c r="I467" t="s">
        <v>23</v>
      </c>
      <c r="J467" t="s">
        <v>759</v>
      </c>
      <c r="K467" s="1">
        <v>42551</v>
      </c>
      <c r="L467" s="1">
        <v>46104</v>
      </c>
      <c r="M467" t="s">
        <v>32</v>
      </c>
      <c r="N467" s="1">
        <v>46254</v>
      </c>
      <c r="O467">
        <v>2901</v>
      </c>
      <c r="P467">
        <v>4</v>
      </c>
      <c r="Q467">
        <v>3</v>
      </c>
      <c r="R467">
        <v>1</v>
      </c>
      <c r="S467">
        <v>2</v>
      </c>
      <c r="T467">
        <v>4347</v>
      </c>
      <c r="U467">
        <v>59913</v>
      </c>
      <c r="V467">
        <v>55759</v>
      </c>
      <c r="W467">
        <v>4154</v>
      </c>
      <c r="X467">
        <v>0</v>
      </c>
      <c r="Y467">
        <v>0</v>
      </c>
      <c r="Z467">
        <v>0</v>
      </c>
      <c r="AA467">
        <v>0</v>
      </c>
      <c r="AB467">
        <v>2</v>
      </c>
      <c r="AC467">
        <v>0</v>
      </c>
      <c r="AD467">
        <v>0</v>
      </c>
      <c r="AE467">
        <v>0</v>
      </c>
      <c r="AF467">
        <v>4</v>
      </c>
      <c r="AG467">
        <v>0</v>
      </c>
      <c r="AH467" t="s">
        <v>38</v>
      </c>
      <c r="AI467" t="s">
        <v>27</v>
      </c>
      <c r="AJ467" s="1"/>
      <c r="AK467" t="s">
        <v>28</v>
      </c>
      <c r="AL46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127</v>
      </c>
      <c r="AM467">
        <f>SUM(Rel_2026[[#This Row],[qtd_TrxContabil]:[VLR_EXP_SORTE]])</f>
        <v>127090</v>
      </c>
      <c r="AN46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130</v>
      </c>
    </row>
    <row r="468" spans="1:40" x14ac:dyDescent="0.3">
      <c r="A468" t="str">
        <f>IF(Rel_2026[[#This Row],[Zero]]=0,"Zero",IF(Rel_2026[[#This Row],[Pontuação]]&gt;=10,"Sim",IF(Rel_2026[[#This Row],[Pontuação]]&gt;=5,"Próximo","Não")))</f>
        <v>Não</v>
      </c>
      <c r="B468" t="str">
        <f>IF(Rel_2026[[#This Row],[Zero]]=0,"Zero",IF(Rel_2026[[#This Row],[Pontuação2]]&gt;=10,"Sim",IF(Rel_2026[[#This Row],[Pontuação2]]&gt;=5,"Próximo","Não")))</f>
        <v>Não</v>
      </c>
      <c r="C468" t="str">
        <f>IFERROR(VLOOKUP(Rel_2026[[#This Row],[chave_loja]],Responsavel!A:B,2,FALSE),"EUCLIDES")</f>
        <v>IVAN</v>
      </c>
      <c r="D468" t="str">
        <f>LEFT(Rel_2026[[#This Row],[ag_pacb]],4)</f>
        <v>5366</v>
      </c>
      <c r="E468">
        <v>156917</v>
      </c>
      <c r="F468" t="s">
        <v>577</v>
      </c>
      <c r="G468" t="s">
        <v>578</v>
      </c>
      <c r="H468" s="1">
        <v>45146</v>
      </c>
      <c r="I468" t="s">
        <v>23</v>
      </c>
      <c r="J468" t="s">
        <v>140</v>
      </c>
      <c r="K468" s="1">
        <v>45306</v>
      </c>
      <c r="L468" s="1">
        <v>45154</v>
      </c>
      <c r="M468" t="s">
        <v>25</v>
      </c>
      <c r="N468" s="1">
        <v>46254</v>
      </c>
      <c r="O468">
        <v>69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 t="s">
        <v>26</v>
      </c>
      <c r="AI468" t="s">
        <v>27</v>
      </c>
      <c r="AJ468" s="1"/>
      <c r="AK468" t="s">
        <v>28</v>
      </c>
      <c r="AL46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68">
        <f>SUM(Rel_2026[[#This Row],[qtd_TrxContabil]:[VLR_EXP_SORTE]])</f>
        <v>69</v>
      </c>
      <c r="AN46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69" spans="1:40" x14ac:dyDescent="0.3">
      <c r="A469" t="str">
        <f>IF(Rel_2026[[#This Row],[Zero]]=0,"Zero",IF(Rel_2026[[#This Row],[Pontuação]]&gt;=10,"Sim",IF(Rel_2026[[#This Row],[Pontuação]]&gt;=5,"Próximo","Não")))</f>
        <v>Próximo</v>
      </c>
      <c r="B469" t="str">
        <f>IF(Rel_2026[[#This Row],[Zero]]=0,"Zero",IF(Rel_2026[[#This Row],[Pontuação2]]&gt;=10,"Sim",IF(Rel_2026[[#This Row],[Pontuação2]]&gt;=5,"Próximo","Não")))</f>
        <v>Próximo</v>
      </c>
      <c r="C469" t="str">
        <f>IFERROR(VLOOKUP(Rel_2026[[#This Row],[chave_loja]],Responsavel!A:B,2,FALSE),"EUCLIDES")</f>
        <v>DARIO</v>
      </c>
      <c r="D469" t="str">
        <f>LEFT(Rel_2026[[#This Row],[ag_pacb]],4)</f>
        <v>5098</v>
      </c>
      <c r="E469">
        <v>421971</v>
      </c>
      <c r="F469" t="s">
        <v>1412</v>
      </c>
      <c r="G469" t="s">
        <v>1413</v>
      </c>
      <c r="H469" s="1">
        <v>46051</v>
      </c>
      <c r="I469" t="s">
        <v>23</v>
      </c>
      <c r="J469" t="s">
        <v>247</v>
      </c>
      <c r="K469" s="1">
        <v>46045</v>
      </c>
      <c r="L469" s="1">
        <v>46058</v>
      </c>
      <c r="M469" t="s">
        <v>25</v>
      </c>
      <c r="N469" s="1">
        <v>46253</v>
      </c>
      <c r="O469">
        <v>214</v>
      </c>
      <c r="P469">
        <v>0</v>
      </c>
      <c r="Q469">
        <v>0</v>
      </c>
      <c r="R469">
        <v>0</v>
      </c>
      <c r="S469">
        <v>0</v>
      </c>
      <c r="T469">
        <v>607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 t="s">
        <v>26</v>
      </c>
      <c r="AI469" t="s">
        <v>27</v>
      </c>
      <c r="AJ469" s="1"/>
      <c r="AK469" t="s">
        <v>28</v>
      </c>
      <c r="AL46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  <c r="AM469">
        <f>SUM(Rel_2026[[#This Row],[qtd_TrxContabil]:[VLR_EXP_SORTE]])</f>
        <v>821</v>
      </c>
      <c r="AN46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470" spans="1:40" x14ac:dyDescent="0.3">
      <c r="A470" t="str">
        <f>IF(Rel_2026[[#This Row],[Zero]]=0,"Zero",IF(Rel_2026[[#This Row],[Pontuação]]&gt;=10,"Sim",IF(Rel_2026[[#This Row],[Pontuação]]&gt;=5,"Próximo","Não")))</f>
        <v>Sim</v>
      </c>
      <c r="B470" t="str">
        <f>IF(Rel_2026[[#This Row],[Zero]]=0,"Zero",IF(Rel_2026[[#This Row],[Pontuação2]]&gt;=10,"Sim",IF(Rel_2026[[#This Row],[Pontuação2]]&gt;=5,"Próximo","Não")))</f>
        <v>Sim</v>
      </c>
      <c r="C470" t="str">
        <f>IFERROR(VLOOKUP(Rel_2026[[#This Row],[chave_loja]],Responsavel!A:B,2,FALSE),"EUCLIDES")</f>
        <v>GIL</v>
      </c>
      <c r="D470" t="str">
        <f>LEFT(Rel_2026[[#This Row],[ag_pacb]],4)</f>
        <v>0715</v>
      </c>
      <c r="E470">
        <v>85571</v>
      </c>
      <c r="F470" t="s">
        <v>349</v>
      </c>
      <c r="G470" t="s">
        <v>350</v>
      </c>
      <c r="H470" s="1">
        <v>44393</v>
      </c>
      <c r="I470" t="s">
        <v>23</v>
      </c>
      <c r="J470" t="s">
        <v>202</v>
      </c>
      <c r="K470" s="1">
        <v>42131</v>
      </c>
      <c r="L470" s="1">
        <v>45467</v>
      </c>
      <c r="M470" t="s">
        <v>32</v>
      </c>
      <c r="N470" s="1">
        <v>46254</v>
      </c>
      <c r="O470">
        <v>1955</v>
      </c>
      <c r="P470">
        <v>2</v>
      </c>
      <c r="Q470">
        <v>2</v>
      </c>
      <c r="R470">
        <v>2</v>
      </c>
      <c r="S470">
        <v>0</v>
      </c>
      <c r="T470">
        <v>6759</v>
      </c>
      <c r="U470">
        <v>42000</v>
      </c>
      <c r="V470">
        <v>42000</v>
      </c>
      <c r="W470">
        <v>0</v>
      </c>
      <c r="X470">
        <v>0</v>
      </c>
      <c r="Y470">
        <v>2819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3</v>
      </c>
      <c r="AG470">
        <v>0</v>
      </c>
      <c r="AH470" t="s">
        <v>38</v>
      </c>
      <c r="AI470" t="s">
        <v>27</v>
      </c>
      <c r="AJ470" s="1"/>
      <c r="AK470" t="s">
        <v>28</v>
      </c>
      <c r="AL47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130</v>
      </c>
      <c r="AM470">
        <f>SUM(Rel_2026[[#This Row],[qtd_TrxContabil]:[VLR_EXP_SORTE]])</f>
        <v>95542</v>
      </c>
      <c r="AN47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136</v>
      </c>
    </row>
    <row r="471" spans="1:40" x14ac:dyDescent="0.3">
      <c r="A471" t="str">
        <f>IF(Rel_2026[[#This Row],[Zero]]=0,"Zero",IF(Rel_2026[[#This Row],[Pontuação]]&gt;=10,"Sim",IF(Rel_2026[[#This Row],[Pontuação]]&gt;=5,"Próximo","Não")))</f>
        <v>Sim</v>
      </c>
      <c r="B471" t="str">
        <f>IF(Rel_2026[[#This Row],[Zero]]=0,"Zero",IF(Rel_2026[[#This Row],[Pontuação2]]&gt;=10,"Sim",IF(Rel_2026[[#This Row],[Pontuação2]]&gt;=5,"Próximo","Não")))</f>
        <v>Sim</v>
      </c>
      <c r="C471" t="str">
        <f>IFERROR(VLOOKUP(Rel_2026[[#This Row],[chave_loja]],Responsavel!A:B,2,FALSE),"EUCLIDES")</f>
        <v>NYCOLLAS</v>
      </c>
      <c r="D471" t="str">
        <f>LEFT(Rel_2026[[#This Row],[ag_pacb]],4)</f>
        <v>5446</v>
      </c>
      <c r="E471">
        <v>145456</v>
      </c>
      <c r="F471" t="s">
        <v>371</v>
      </c>
      <c r="G471" t="s">
        <v>1228</v>
      </c>
      <c r="H471" s="1">
        <v>45181</v>
      </c>
      <c r="I471" t="s">
        <v>23</v>
      </c>
      <c r="J471" t="s">
        <v>238</v>
      </c>
      <c r="K471" s="1">
        <v>43363</v>
      </c>
      <c r="L471" s="1">
        <v>44860</v>
      </c>
      <c r="M471" t="s">
        <v>32</v>
      </c>
      <c r="N471" s="1">
        <v>46254</v>
      </c>
      <c r="O471">
        <v>235</v>
      </c>
      <c r="P471">
        <v>0</v>
      </c>
      <c r="Q471">
        <v>0</v>
      </c>
      <c r="R471">
        <v>0</v>
      </c>
      <c r="S471">
        <v>0</v>
      </c>
      <c r="T471">
        <v>700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 t="s">
        <v>26</v>
      </c>
      <c r="AI471" t="s">
        <v>27</v>
      </c>
      <c r="AJ471" s="1"/>
      <c r="AK471" t="s">
        <v>28</v>
      </c>
      <c r="AL47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471">
        <f>SUM(Rel_2026[[#This Row],[qtd_TrxContabil]:[VLR_EXP_SORTE]])</f>
        <v>938</v>
      </c>
      <c r="AN47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472" spans="1:40" x14ac:dyDescent="0.3">
      <c r="A472" t="str">
        <f>IF(Rel_2026[[#This Row],[Zero]]=0,"Zero",IF(Rel_2026[[#This Row],[Pontuação]]&gt;=10,"Sim",IF(Rel_2026[[#This Row],[Pontuação]]&gt;=5,"Próximo","Não")))</f>
        <v>Sim</v>
      </c>
      <c r="B472" t="str">
        <f>IF(Rel_2026[[#This Row],[Zero]]=0,"Zero",IF(Rel_2026[[#This Row],[Pontuação2]]&gt;=10,"Sim",IF(Rel_2026[[#This Row],[Pontuação2]]&gt;=5,"Próximo","Não")))</f>
        <v>Sim</v>
      </c>
      <c r="C472" t="str">
        <f>IFERROR(VLOOKUP(Rel_2026[[#This Row],[chave_loja]],Responsavel!A:B,2,FALSE),"EUCLIDES")</f>
        <v>ROSSY</v>
      </c>
      <c r="D472" t="str">
        <f>LEFT(Rel_2026[[#This Row],[ag_pacb]],4)</f>
        <v>5792</v>
      </c>
      <c r="E472">
        <v>188500</v>
      </c>
      <c r="F472" t="s">
        <v>922</v>
      </c>
      <c r="G472" t="s">
        <v>923</v>
      </c>
      <c r="H472" s="1">
        <v>45096</v>
      </c>
      <c r="I472" t="s">
        <v>107</v>
      </c>
      <c r="J472" t="s">
        <v>844</v>
      </c>
      <c r="K472" s="1">
        <v>43956</v>
      </c>
      <c r="L472" s="1">
        <v>44718</v>
      </c>
      <c r="M472" t="s">
        <v>109</v>
      </c>
      <c r="N472" s="1">
        <v>46254</v>
      </c>
      <c r="O472">
        <v>1682</v>
      </c>
      <c r="P472">
        <v>2</v>
      </c>
      <c r="Q472">
        <v>2</v>
      </c>
      <c r="R472">
        <v>2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 t="s">
        <v>38</v>
      </c>
      <c r="AI472" t="s">
        <v>27</v>
      </c>
      <c r="AJ472" s="1"/>
      <c r="AK472" t="s">
        <v>28</v>
      </c>
      <c r="AL47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472">
        <f>SUM(Rel_2026[[#This Row],[qtd_TrxContabil]:[VLR_EXP_SORTE]])</f>
        <v>1688</v>
      </c>
      <c r="AN47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473" spans="1:40" x14ac:dyDescent="0.3">
      <c r="A473" t="str">
        <f>IF(Rel_2026[[#This Row],[Zero]]=0,"Zero",IF(Rel_2026[[#This Row],[Pontuação]]&gt;=10,"Sim",IF(Rel_2026[[#This Row],[Pontuação]]&gt;=5,"Próximo","Não")))</f>
        <v>Não</v>
      </c>
      <c r="B473" t="str">
        <f>IF(Rel_2026[[#This Row],[Zero]]=0,"Zero",IF(Rel_2026[[#This Row],[Pontuação2]]&gt;=10,"Sim",IF(Rel_2026[[#This Row],[Pontuação2]]&gt;=5,"Próximo","Não")))</f>
        <v>Não</v>
      </c>
      <c r="C473" t="str">
        <f>IFERROR(VLOOKUP(Rel_2026[[#This Row],[chave_loja]],Responsavel!A:B,2,FALSE),"EUCLIDES")</f>
        <v>ROSSY</v>
      </c>
      <c r="D473" t="str">
        <f>LEFT(Rel_2026[[#This Row],[ag_pacb]],4)</f>
        <v>5798</v>
      </c>
      <c r="E473">
        <v>236248</v>
      </c>
      <c r="F473" t="s">
        <v>1313</v>
      </c>
      <c r="G473" t="s">
        <v>1314</v>
      </c>
      <c r="H473" s="1">
        <v>45188</v>
      </c>
      <c r="I473" t="s">
        <v>107</v>
      </c>
      <c r="J473" t="s">
        <v>850</v>
      </c>
      <c r="K473" s="1">
        <v>44810</v>
      </c>
      <c r="L473" s="1">
        <v>46253</v>
      </c>
      <c r="M473" t="s">
        <v>109</v>
      </c>
      <c r="N473" s="1">
        <v>46254</v>
      </c>
      <c r="O473">
        <v>146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 t="s">
        <v>26</v>
      </c>
      <c r="AI473" t="s">
        <v>27</v>
      </c>
      <c r="AJ473" s="1"/>
      <c r="AK473" t="s">
        <v>28</v>
      </c>
      <c r="AL47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73">
        <f>SUM(Rel_2026[[#This Row],[qtd_TrxContabil]:[VLR_EXP_SORTE]])</f>
        <v>146</v>
      </c>
      <c r="AN47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74" spans="1:40" x14ac:dyDescent="0.3">
      <c r="A474" t="str">
        <f>IF(Rel_2026[[#This Row],[Zero]]=0,"Zero",IF(Rel_2026[[#This Row],[Pontuação]]&gt;=10,"Sim",IF(Rel_2026[[#This Row],[Pontuação]]&gt;=5,"Próximo","Não")))</f>
        <v>Sim</v>
      </c>
      <c r="B474" t="str">
        <f>IF(Rel_2026[[#This Row],[Zero]]=0,"Zero",IF(Rel_2026[[#This Row],[Pontuação2]]&gt;=10,"Sim",IF(Rel_2026[[#This Row],[Pontuação2]]&gt;=5,"Próximo","Não")))</f>
        <v>Sim</v>
      </c>
      <c r="C474" t="str">
        <f>IFERROR(VLOOKUP(Rel_2026[[#This Row],[chave_loja]],Responsavel!A:B,2,FALSE),"EUCLIDES")</f>
        <v>ALEX SIQUEIRA</v>
      </c>
      <c r="D474" t="str">
        <f>LEFT(Rel_2026[[#This Row],[ag_pacb]],4)</f>
        <v>0726</v>
      </c>
      <c r="E474">
        <v>418015</v>
      </c>
      <c r="F474" t="s">
        <v>671</v>
      </c>
      <c r="G474" t="s">
        <v>670</v>
      </c>
      <c r="H474" s="1">
        <v>45927</v>
      </c>
      <c r="I474" t="s">
        <v>23</v>
      </c>
      <c r="J474" t="s">
        <v>192</v>
      </c>
      <c r="K474" s="1">
        <v>45923</v>
      </c>
      <c r="L474" s="1">
        <v>45939</v>
      </c>
      <c r="M474" t="s">
        <v>109</v>
      </c>
      <c r="N474" s="1">
        <v>46254</v>
      </c>
      <c r="O474">
        <v>182</v>
      </c>
      <c r="P474">
        <v>9</v>
      </c>
      <c r="Q474">
        <v>1</v>
      </c>
      <c r="R474">
        <v>9</v>
      </c>
      <c r="S474">
        <v>1</v>
      </c>
      <c r="T474">
        <v>0</v>
      </c>
      <c r="U474">
        <v>37869</v>
      </c>
      <c r="V474">
        <v>37869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9</v>
      </c>
      <c r="AG474">
        <v>0</v>
      </c>
      <c r="AH474" t="s">
        <v>26</v>
      </c>
      <c r="AI474" t="s">
        <v>27</v>
      </c>
      <c r="AJ474" s="1"/>
      <c r="AK474" t="s">
        <v>28</v>
      </c>
      <c r="AL47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70</v>
      </c>
      <c r="AM474">
        <f>SUM(Rel_2026[[#This Row],[qtd_TrxContabil]:[VLR_EXP_SORTE]])</f>
        <v>75951</v>
      </c>
      <c r="AN47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97</v>
      </c>
    </row>
    <row r="475" spans="1:40" x14ac:dyDescent="0.3">
      <c r="A475" t="str">
        <f>IF(Rel_2026[[#This Row],[Zero]]=0,"Zero",IF(Rel_2026[[#This Row],[Pontuação]]&gt;=10,"Sim",IF(Rel_2026[[#This Row],[Pontuação]]&gt;=5,"Próximo","Não")))</f>
        <v>Sim</v>
      </c>
      <c r="B475" t="str">
        <f>IF(Rel_2026[[#This Row],[Zero]]=0,"Zero",IF(Rel_2026[[#This Row],[Pontuação2]]&gt;=10,"Sim",IF(Rel_2026[[#This Row],[Pontuação2]]&gt;=5,"Próximo","Não")))</f>
        <v>Sim</v>
      </c>
      <c r="C475" t="str">
        <f>IFERROR(VLOOKUP(Rel_2026[[#This Row],[chave_loja]],Responsavel!A:B,2,FALSE),"EUCLIDES")</f>
        <v>ISMAEL</v>
      </c>
      <c r="D475" t="str">
        <f>LEFT(Rel_2026[[#This Row],[ag_pacb]],4)</f>
        <v>5365</v>
      </c>
      <c r="E475">
        <v>82889</v>
      </c>
      <c r="F475" t="s">
        <v>173</v>
      </c>
      <c r="G475" t="s">
        <v>174</v>
      </c>
      <c r="H475" s="1">
        <v>45183</v>
      </c>
      <c r="I475" t="s">
        <v>23</v>
      </c>
      <c r="J475" t="s">
        <v>175</v>
      </c>
      <c r="K475" s="1">
        <v>42144</v>
      </c>
      <c r="L475" s="1">
        <v>46035</v>
      </c>
      <c r="M475" t="s">
        <v>25</v>
      </c>
      <c r="N475" s="1">
        <v>46254</v>
      </c>
      <c r="O475">
        <v>3702</v>
      </c>
      <c r="P475">
        <v>11</v>
      </c>
      <c r="Q475">
        <v>9</v>
      </c>
      <c r="R475">
        <v>9</v>
      </c>
      <c r="S475">
        <v>0</v>
      </c>
      <c r="T475">
        <v>1597</v>
      </c>
      <c r="U475">
        <v>24233</v>
      </c>
      <c r="V475">
        <v>24233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 t="s">
        <v>26</v>
      </c>
      <c r="AI475" t="s">
        <v>27</v>
      </c>
      <c r="AJ475" s="1"/>
      <c r="AK475" t="s">
        <v>28</v>
      </c>
      <c r="AL47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109</v>
      </c>
      <c r="AM475">
        <f>SUM(Rel_2026[[#This Row],[qtd_TrxContabil]:[VLR_EXP_SORTE]])</f>
        <v>53794</v>
      </c>
      <c r="AN47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136</v>
      </c>
    </row>
    <row r="476" spans="1:40" x14ac:dyDescent="0.3">
      <c r="A476" t="str">
        <f>IF(Rel_2026[[#This Row],[Zero]]=0,"Zero",IF(Rel_2026[[#This Row],[Pontuação]]&gt;=10,"Sim",IF(Rel_2026[[#This Row],[Pontuação]]&gt;=5,"Próximo","Não")))</f>
        <v>Sim</v>
      </c>
      <c r="B476" t="str">
        <f>IF(Rel_2026[[#This Row],[Zero]]=0,"Zero",IF(Rel_2026[[#This Row],[Pontuação2]]&gt;=10,"Sim",IF(Rel_2026[[#This Row],[Pontuação2]]&gt;=5,"Próximo","Não")))</f>
        <v>Sim</v>
      </c>
      <c r="C476" t="str">
        <f>IFERROR(VLOOKUP(Rel_2026[[#This Row],[chave_loja]],Responsavel!A:B,2,FALSE),"EUCLIDES")</f>
        <v>DARIO</v>
      </c>
      <c r="D476" t="str">
        <f>LEFT(Rel_2026[[#This Row],[ag_pacb]],4)</f>
        <v>0696</v>
      </c>
      <c r="E476">
        <v>400696</v>
      </c>
      <c r="F476" t="s">
        <v>571</v>
      </c>
      <c r="G476" t="s">
        <v>572</v>
      </c>
      <c r="H476" s="1">
        <v>45328</v>
      </c>
      <c r="I476" t="s">
        <v>23</v>
      </c>
      <c r="J476" t="s">
        <v>163</v>
      </c>
      <c r="K476" s="1">
        <v>45315</v>
      </c>
      <c r="L476" s="1">
        <v>45349</v>
      </c>
      <c r="M476" t="s">
        <v>25</v>
      </c>
      <c r="N476" s="1">
        <v>46254</v>
      </c>
      <c r="O476">
        <v>2140</v>
      </c>
      <c r="P476">
        <v>34</v>
      </c>
      <c r="Q476">
        <v>15</v>
      </c>
      <c r="R476">
        <v>22</v>
      </c>
      <c r="S476">
        <v>14</v>
      </c>
      <c r="T476">
        <v>2284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11</v>
      </c>
      <c r="AG476">
        <v>0</v>
      </c>
      <c r="AH476" t="s">
        <v>26</v>
      </c>
      <c r="AI476" t="s">
        <v>27</v>
      </c>
      <c r="AJ476" s="1"/>
      <c r="AK476" t="s">
        <v>28</v>
      </c>
      <c r="AL47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185</v>
      </c>
      <c r="AM476">
        <f>SUM(Rel_2026[[#This Row],[qtd_TrxContabil]:[VLR_EXP_SORTE]])</f>
        <v>4520</v>
      </c>
      <c r="AN47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251</v>
      </c>
    </row>
    <row r="477" spans="1:40" x14ac:dyDescent="0.3">
      <c r="A477" t="str">
        <f>IF(Rel_2026[[#This Row],[Zero]]=0,"Zero",IF(Rel_2026[[#This Row],[Pontuação]]&gt;=10,"Sim",IF(Rel_2026[[#This Row],[Pontuação]]&gt;=5,"Próximo","Não")))</f>
        <v>Sim</v>
      </c>
      <c r="B477" t="str">
        <f>IF(Rel_2026[[#This Row],[Zero]]=0,"Zero",IF(Rel_2026[[#This Row],[Pontuação2]]&gt;=10,"Sim",IF(Rel_2026[[#This Row],[Pontuação2]]&gt;=5,"Próximo","Não")))</f>
        <v>Sim</v>
      </c>
      <c r="C477" t="str">
        <f>IFERROR(VLOOKUP(Rel_2026[[#This Row],[chave_loja]],Responsavel!A:B,2,FALSE),"EUCLIDES")</f>
        <v>NYCOLLAS</v>
      </c>
      <c r="D477" t="str">
        <f>LEFT(Rel_2026[[#This Row],[ag_pacb]],4)</f>
        <v>5446</v>
      </c>
      <c r="E477">
        <v>410434</v>
      </c>
      <c r="F477" t="s">
        <v>608</v>
      </c>
      <c r="G477" t="s">
        <v>609</v>
      </c>
      <c r="H477" s="1">
        <v>45735</v>
      </c>
      <c r="I477" t="s">
        <v>23</v>
      </c>
      <c r="J477" t="s">
        <v>97</v>
      </c>
      <c r="K477" s="1">
        <v>45727</v>
      </c>
      <c r="L477" s="1">
        <v>45742</v>
      </c>
      <c r="M477" t="s">
        <v>32</v>
      </c>
      <c r="N477" s="1">
        <v>46254</v>
      </c>
      <c r="O477">
        <v>74</v>
      </c>
      <c r="P477">
        <v>0</v>
      </c>
      <c r="Q477">
        <v>0</v>
      </c>
      <c r="R477">
        <v>0</v>
      </c>
      <c r="S477">
        <v>0</v>
      </c>
      <c r="T477">
        <v>1000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 t="s">
        <v>38</v>
      </c>
      <c r="AI477" t="s">
        <v>27</v>
      </c>
      <c r="AJ477" s="1"/>
      <c r="AK477" t="s">
        <v>28</v>
      </c>
      <c r="AL47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477">
        <f>SUM(Rel_2026[[#This Row],[qtd_TrxContabil]:[VLR_EXP_SORTE]])</f>
        <v>1074</v>
      </c>
      <c r="AN47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478" spans="1:40" x14ac:dyDescent="0.3">
      <c r="A478" t="str">
        <f>IF(Rel_2026[[#This Row],[Zero]]=0,"Zero",IF(Rel_2026[[#This Row],[Pontuação]]&gt;=10,"Sim",IF(Rel_2026[[#This Row],[Pontuação]]&gt;=5,"Próximo","Não")))</f>
        <v>Não</v>
      </c>
      <c r="B478" t="str">
        <f>IF(Rel_2026[[#This Row],[Zero]]=0,"Zero",IF(Rel_2026[[#This Row],[Pontuação2]]&gt;=10,"Sim",IF(Rel_2026[[#This Row],[Pontuação2]]&gt;=5,"Próximo","Não")))</f>
        <v>Não</v>
      </c>
      <c r="C478" t="str">
        <f>IFERROR(VLOOKUP(Rel_2026[[#This Row],[chave_loja]],Responsavel!A:B,2,FALSE),"EUCLIDES")</f>
        <v>ALEX SIQUEIRA</v>
      </c>
      <c r="D478" t="str">
        <f>LEFT(Rel_2026[[#This Row],[ag_pacb]],4)</f>
        <v>0726</v>
      </c>
      <c r="E478">
        <v>415731</v>
      </c>
      <c r="F478" t="s">
        <v>676</v>
      </c>
      <c r="G478" t="s">
        <v>1196</v>
      </c>
      <c r="H478" s="1">
        <v>45890</v>
      </c>
      <c r="I478" t="s">
        <v>23</v>
      </c>
      <c r="J478" t="s">
        <v>217</v>
      </c>
      <c r="K478" s="1">
        <v>45881</v>
      </c>
      <c r="L478" s="1">
        <v>45953</v>
      </c>
      <c r="M478" t="s">
        <v>109</v>
      </c>
      <c r="N478" s="1">
        <v>46254</v>
      </c>
      <c r="O478">
        <v>559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 t="s">
        <v>38</v>
      </c>
      <c r="AI478" t="s">
        <v>27</v>
      </c>
      <c r="AJ478" s="1"/>
      <c r="AK478" t="s">
        <v>28</v>
      </c>
      <c r="AL47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78">
        <f>SUM(Rel_2026[[#This Row],[qtd_TrxContabil]:[VLR_EXP_SORTE]])</f>
        <v>559</v>
      </c>
      <c r="AN47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79" spans="1:40" x14ac:dyDescent="0.3">
      <c r="A479" t="str">
        <f>IF(Rel_2026[[#This Row],[Zero]]=0,"Zero",IF(Rel_2026[[#This Row],[Pontuação]]&gt;=10,"Sim",IF(Rel_2026[[#This Row],[Pontuação]]&gt;=5,"Próximo","Não")))</f>
        <v>Sim</v>
      </c>
      <c r="B479" t="str">
        <f>IF(Rel_2026[[#This Row],[Zero]]=0,"Zero",IF(Rel_2026[[#This Row],[Pontuação2]]&gt;=10,"Sim",IF(Rel_2026[[#This Row],[Pontuação2]]&gt;=5,"Próximo","Não")))</f>
        <v>Sim</v>
      </c>
      <c r="C479" t="str">
        <f>IFERROR(VLOOKUP(Rel_2026[[#This Row],[chave_loja]],Responsavel!A:B,2,FALSE),"EUCLIDES")</f>
        <v>DARIO</v>
      </c>
      <c r="D479" t="str">
        <f>LEFT(Rel_2026[[#This Row],[ag_pacb]],4)</f>
        <v>0703</v>
      </c>
      <c r="E479">
        <v>250353</v>
      </c>
      <c r="F479" t="s">
        <v>254</v>
      </c>
      <c r="G479" t="s">
        <v>255</v>
      </c>
      <c r="H479" s="1">
        <v>45177</v>
      </c>
      <c r="I479" t="s">
        <v>23</v>
      </c>
      <c r="J479" t="s">
        <v>212</v>
      </c>
      <c r="K479" s="1">
        <v>45306</v>
      </c>
      <c r="L479" s="1">
        <v>45196</v>
      </c>
      <c r="M479" t="s">
        <v>25</v>
      </c>
      <c r="N479" s="1">
        <v>46254</v>
      </c>
      <c r="O479">
        <v>1183</v>
      </c>
      <c r="P479">
        <v>2</v>
      </c>
      <c r="Q479">
        <v>2</v>
      </c>
      <c r="R479">
        <v>2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 t="s">
        <v>26</v>
      </c>
      <c r="AI479" t="s">
        <v>27</v>
      </c>
      <c r="AJ479" s="1"/>
      <c r="AK479" t="s">
        <v>28</v>
      </c>
      <c r="AL47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479">
        <f>SUM(Rel_2026[[#This Row],[qtd_TrxContabil]:[VLR_EXP_SORTE]])</f>
        <v>1189</v>
      </c>
      <c r="AN47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480" spans="1:40" x14ac:dyDescent="0.3">
      <c r="A480" t="str">
        <f>IF(Rel_2026[[#This Row],[Zero]]=0,"Zero",IF(Rel_2026[[#This Row],[Pontuação]]&gt;=10,"Sim",IF(Rel_2026[[#This Row],[Pontuação]]&gt;=5,"Próximo","Não")))</f>
        <v>Sim</v>
      </c>
      <c r="B480" t="str">
        <f>IF(Rel_2026[[#This Row],[Zero]]=0,"Zero",IF(Rel_2026[[#This Row],[Pontuação2]]&gt;=10,"Sim",IF(Rel_2026[[#This Row],[Pontuação2]]&gt;=5,"Próximo","Não")))</f>
        <v>Sim</v>
      </c>
      <c r="C480" t="str">
        <f>IFERROR(VLOOKUP(Rel_2026[[#This Row],[chave_loja]],Responsavel!A:B,2,FALSE),"EUCLIDES")</f>
        <v>JACK</v>
      </c>
      <c r="D480" t="str">
        <f>LEFT(Rel_2026[[#This Row],[ag_pacb]],4)</f>
        <v>5806</v>
      </c>
      <c r="E480">
        <v>418009</v>
      </c>
      <c r="F480" t="s">
        <v>1199</v>
      </c>
      <c r="G480" t="s">
        <v>1200</v>
      </c>
      <c r="H480" s="1">
        <v>45938</v>
      </c>
      <c r="I480" t="s">
        <v>107</v>
      </c>
      <c r="J480" t="s">
        <v>842</v>
      </c>
      <c r="K480" s="1">
        <v>45923</v>
      </c>
      <c r="L480" s="1">
        <v>45953</v>
      </c>
      <c r="M480" t="s">
        <v>109</v>
      </c>
      <c r="N480" s="1">
        <v>46254</v>
      </c>
      <c r="O480">
        <v>225</v>
      </c>
      <c r="P480">
        <v>0</v>
      </c>
      <c r="Q480">
        <v>0</v>
      </c>
      <c r="R480">
        <v>0</v>
      </c>
      <c r="S480">
        <v>0</v>
      </c>
      <c r="T480">
        <v>200</v>
      </c>
      <c r="U480">
        <v>8039</v>
      </c>
      <c r="V480">
        <v>8039</v>
      </c>
      <c r="W480">
        <v>0</v>
      </c>
      <c r="X480">
        <v>0</v>
      </c>
      <c r="Y480">
        <v>0</v>
      </c>
      <c r="Z480">
        <v>0</v>
      </c>
      <c r="AA480">
        <v>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 t="s">
        <v>26</v>
      </c>
      <c r="AI480" t="s">
        <v>27</v>
      </c>
      <c r="AJ480" s="1"/>
      <c r="AK480" t="s">
        <v>28</v>
      </c>
      <c r="AL48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  <c r="AM480">
        <f>SUM(Rel_2026[[#This Row],[qtd_TrxContabil]:[VLR_EXP_SORTE]])</f>
        <v>16505</v>
      </c>
      <c r="AN48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</row>
    <row r="481" spans="1:40" x14ac:dyDescent="0.3">
      <c r="A481" t="str">
        <f>IF(Rel_2026[[#This Row],[Zero]]=0,"Zero",IF(Rel_2026[[#This Row],[Pontuação]]&gt;=10,"Sim",IF(Rel_2026[[#This Row],[Pontuação]]&gt;=5,"Próximo","Não")))</f>
        <v>Sim</v>
      </c>
      <c r="B481" t="str">
        <f>IF(Rel_2026[[#This Row],[Zero]]=0,"Zero",IF(Rel_2026[[#This Row],[Pontuação2]]&gt;=10,"Sim",IF(Rel_2026[[#This Row],[Pontuação2]]&gt;=5,"Próximo","Não")))</f>
        <v>Sim</v>
      </c>
      <c r="C481" t="str">
        <f>IFERROR(VLOOKUP(Rel_2026[[#This Row],[chave_loja]],Responsavel!A:B,2,FALSE),"EUCLIDES")</f>
        <v>JACK</v>
      </c>
      <c r="D481" t="str">
        <f>LEFT(Rel_2026[[#This Row],[ag_pacb]],4)</f>
        <v>5795</v>
      </c>
      <c r="E481">
        <v>156781</v>
      </c>
      <c r="F481" t="s">
        <v>895</v>
      </c>
      <c r="G481" t="s">
        <v>896</v>
      </c>
      <c r="H481" s="1">
        <v>44415</v>
      </c>
      <c r="I481" t="s">
        <v>107</v>
      </c>
      <c r="J481" t="s">
        <v>835</v>
      </c>
      <c r="K481" s="1">
        <v>43469</v>
      </c>
      <c r="L481" s="1">
        <v>44756</v>
      </c>
      <c r="M481" t="s">
        <v>109</v>
      </c>
      <c r="N481" s="1">
        <v>46254</v>
      </c>
      <c r="O481">
        <v>1418</v>
      </c>
      <c r="P481">
        <v>1</v>
      </c>
      <c r="Q481">
        <v>1</v>
      </c>
      <c r="R481">
        <v>1</v>
      </c>
      <c r="S481">
        <v>0</v>
      </c>
      <c r="T481">
        <v>450</v>
      </c>
      <c r="U481">
        <v>10000</v>
      </c>
      <c r="V481">
        <v>10000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 t="s">
        <v>38</v>
      </c>
      <c r="AI481" t="s">
        <v>27</v>
      </c>
      <c r="AJ481" s="1"/>
      <c r="AK481" t="s">
        <v>28</v>
      </c>
      <c r="AL48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22</v>
      </c>
      <c r="AM481">
        <f>SUM(Rel_2026[[#This Row],[qtd_TrxContabil]:[VLR_EXP_SORTE]])</f>
        <v>21871</v>
      </c>
      <c r="AN48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25</v>
      </c>
    </row>
    <row r="482" spans="1:40" x14ac:dyDescent="0.3">
      <c r="A482" t="str">
        <f>IF(Rel_2026[[#This Row],[Zero]]=0,"Zero",IF(Rel_2026[[#This Row],[Pontuação]]&gt;=10,"Sim",IF(Rel_2026[[#This Row],[Pontuação]]&gt;=5,"Próximo","Não")))</f>
        <v>Não</v>
      </c>
      <c r="B482" t="str">
        <f>IF(Rel_2026[[#This Row],[Zero]]=0,"Zero",IF(Rel_2026[[#This Row],[Pontuação2]]&gt;=10,"Sim",IF(Rel_2026[[#This Row],[Pontuação2]]&gt;=5,"Próximo","Não")))</f>
        <v>Não</v>
      </c>
      <c r="C482" t="str">
        <f>IFERROR(VLOOKUP(Rel_2026[[#This Row],[chave_loja]],Responsavel!A:B,2,FALSE),"EUCLIDES")</f>
        <v>GIL</v>
      </c>
      <c r="D482" t="str">
        <f>LEFT(Rel_2026[[#This Row],[ag_pacb]],4)</f>
        <v>5387</v>
      </c>
      <c r="E482">
        <v>405356</v>
      </c>
      <c r="F482" t="s">
        <v>251</v>
      </c>
      <c r="G482" t="s">
        <v>252</v>
      </c>
      <c r="H482" s="1">
        <v>45520</v>
      </c>
      <c r="I482" t="s">
        <v>23</v>
      </c>
      <c r="J482" t="s">
        <v>74</v>
      </c>
      <c r="K482" s="1">
        <v>45512</v>
      </c>
      <c r="L482" s="1">
        <v>46126</v>
      </c>
      <c r="M482" t="s">
        <v>32</v>
      </c>
      <c r="N482" s="1">
        <v>46254</v>
      </c>
      <c r="O482">
        <v>385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 t="s">
        <v>38</v>
      </c>
      <c r="AI482" t="s">
        <v>27</v>
      </c>
      <c r="AJ482" s="1"/>
      <c r="AK482" t="s">
        <v>28</v>
      </c>
      <c r="AL48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82">
        <f>SUM(Rel_2026[[#This Row],[qtd_TrxContabil]:[VLR_EXP_SORTE]])</f>
        <v>385</v>
      </c>
      <c r="AN48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83" spans="1:40" x14ac:dyDescent="0.3">
      <c r="A483" t="str">
        <f>IF(Rel_2026[[#This Row],[Zero]]=0,"Zero",IF(Rel_2026[[#This Row],[Pontuação]]&gt;=10,"Sim",IF(Rel_2026[[#This Row],[Pontuação]]&gt;=5,"Próximo","Não")))</f>
        <v>Sim</v>
      </c>
      <c r="B483" t="str">
        <f>IF(Rel_2026[[#This Row],[Zero]]=0,"Zero",IF(Rel_2026[[#This Row],[Pontuação2]]&gt;=10,"Sim",IF(Rel_2026[[#This Row],[Pontuação2]]&gt;=5,"Próximo","Não")))</f>
        <v>Sim</v>
      </c>
      <c r="C483" t="str">
        <f>IFERROR(VLOOKUP(Rel_2026[[#This Row],[chave_loja]],Responsavel!A:B,2,FALSE),"EUCLIDES")</f>
        <v>JUNIOR</v>
      </c>
      <c r="D483" t="str">
        <f>LEFT(Rel_2026[[#This Row],[ag_pacb]],4)</f>
        <v>5367</v>
      </c>
      <c r="E483">
        <v>242944</v>
      </c>
      <c r="F483" t="s">
        <v>481</v>
      </c>
      <c r="G483" t="s">
        <v>482</v>
      </c>
      <c r="H483" s="1">
        <v>44879</v>
      </c>
      <c r="I483" t="s">
        <v>23</v>
      </c>
      <c r="J483" t="s">
        <v>96</v>
      </c>
      <c r="K483" s="1">
        <v>45155</v>
      </c>
      <c r="L483" s="1">
        <v>46211</v>
      </c>
      <c r="M483" t="s">
        <v>32</v>
      </c>
      <c r="N483" s="1">
        <v>46254</v>
      </c>
      <c r="O483">
        <v>622</v>
      </c>
      <c r="P483">
        <v>1</v>
      </c>
      <c r="Q483">
        <v>0</v>
      </c>
      <c r="R483">
        <v>1</v>
      </c>
      <c r="S483">
        <v>1</v>
      </c>
      <c r="T483">
        <v>3324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1</v>
      </c>
      <c r="AG483">
        <v>0</v>
      </c>
      <c r="AH483" t="s">
        <v>26</v>
      </c>
      <c r="AI483" t="s">
        <v>27</v>
      </c>
      <c r="AJ483" s="1"/>
      <c r="AK483" t="s">
        <v>28</v>
      </c>
      <c r="AL48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36</v>
      </c>
      <c r="AM483">
        <f>SUM(Rel_2026[[#This Row],[qtd_TrxContabil]:[VLR_EXP_SORTE]])</f>
        <v>3951</v>
      </c>
      <c r="AN48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39</v>
      </c>
    </row>
    <row r="484" spans="1:40" x14ac:dyDescent="0.3">
      <c r="A484" t="str">
        <f>IF(Rel_2026[[#This Row],[Zero]]=0,"Zero",IF(Rel_2026[[#This Row],[Pontuação]]&gt;=10,"Sim",IF(Rel_2026[[#This Row],[Pontuação]]&gt;=5,"Próximo","Não")))</f>
        <v>Sim</v>
      </c>
      <c r="B484" t="str">
        <f>IF(Rel_2026[[#This Row],[Zero]]=0,"Zero",IF(Rel_2026[[#This Row],[Pontuação2]]&gt;=10,"Sim",IF(Rel_2026[[#This Row],[Pontuação2]]&gt;=5,"Próximo","Não")))</f>
        <v>Sim</v>
      </c>
      <c r="C484" t="str">
        <f>IFERROR(VLOOKUP(Rel_2026[[#This Row],[chave_loja]],Responsavel!A:B,2,FALSE),"EUCLIDES")</f>
        <v>DARIO</v>
      </c>
      <c r="D484" t="str">
        <f>LEFT(Rel_2026[[#This Row],[ag_pacb]],4)</f>
        <v>5098</v>
      </c>
      <c r="E484">
        <v>51350</v>
      </c>
      <c r="F484" t="s">
        <v>430</v>
      </c>
      <c r="G484" t="s">
        <v>431</v>
      </c>
      <c r="H484" s="1">
        <v>44106</v>
      </c>
      <c r="I484" t="s">
        <v>23</v>
      </c>
      <c r="J484" t="s">
        <v>247</v>
      </c>
      <c r="K484" s="1">
        <v>42158</v>
      </c>
      <c r="L484" s="1">
        <v>45574</v>
      </c>
      <c r="M484" t="s">
        <v>25</v>
      </c>
      <c r="N484" s="1">
        <v>46254</v>
      </c>
      <c r="O484">
        <v>3617</v>
      </c>
      <c r="P484">
        <v>2</v>
      </c>
      <c r="Q484">
        <v>2</v>
      </c>
      <c r="R484">
        <v>2</v>
      </c>
      <c r="S484">
        <v>1</v>
      </c>
      <c r="T484">
        <v>10270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5</v>
      </c>
      <c r="AB484">
        <v>2</v>
      </c>
      <c r="AC484">
        <v>0</v>
      </c>
      <c r="AD484">
        <v>0</v>
      </c>
      <c r="AE484">
        <v>0</v>
      </c>
      <c r="AF484">
        <v>2</v>
      </c>
      <c r="AG484">
        <v>157</v>
      </c>
      <c r="AH484" t="s">
        <v>38</v>
      </c>
      <c r="AI484" t="s">
        <v>27</v>
      </c>
      <c r="AJ484" s="1"/>
      <c r="AK484" t="s">
        <v>28</v>
      </c>
      <c r="AL48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125</v>
      </c>
      <c r="AM484">
        <f>SUM(Rel_2026[[#This Row],[qtd_TrxContabil]:[VLR_EXP_SORTE]])</f>
        <v>14060</v>
      </c>
      <c r="AN48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131</v>
      </c>
    </row>
    <row r="485" spans="1:40" x14ac:dyDescent="0.3">
      <c r="A485" t="str">
        <f>IF(Rel_2026[[#This Row],[Zero]]=0,"Zero",IF(Rel_2026[[#This Row],[Pontuação]]&gt;=10,"Sim",IF(Rel_2026[[#This Row],[Pontuação]]&gt;=5,"Próximo","Não")))</f>
        <v>Sim</v>
      </c>
      <c r="B485" t="str">
        <f>IF(Rel_2026[[#This Row],[Zero]]=0,"Zero",IF(Rel_2026[[#This Row],[Pontuação2]]&gt;=10,"Sim",IF(Rel_2026[[#This Row],[Pontuação2]]&gt;=5,"Próximo","Não")))</f>
        <v>Sim</v>
      </c>
      <c r="C485" t="str">
        <f>IFERROR(VLOOKUP(Rel_2026[[#This Row],[chave_loja]],Responsavel!A:B,2,FALSE),"EUCLIDES")</f>
        <v>DARIO</v>
      </c>
      <c r="D485" t="str">
        <f>LEFT(Rel_2026[[#This Row],[ag_pacb]],4)</f>
        <v>5438</v>
      </c>
      <c r="E485">
        <v>207424</v>
      </c>
      <c r="F485" t="s">
        <v>713</v>
      </c>
      <c r="G485" t="s">
        <v>714</v>
      </c>
      <c r="H485" s="1">
        <v>44704</v>
      </c>
      <c r="I485" t="s">
        <v>23</v>
      </c>
      <c r="J485" t="s">
        <v>599</v>
      </c>
      <c r="K485" s="1">
        <v>44173</v>
      </c>
      <c r="L485" s="1">
        <v>44225</v>
      </c>
      <c r="M485" t="s">
        <v>25</v>
      </c>
      <c r="N485" s="1">
        <v>46254</v>
      </c>
      <c r="O485">
        <v>1418</v>
      </c>
      <c r="P485">
        <v>4</v>
      </c>
      <c r="Q485">
        <v>3</v>
      </c>
      <c r="R485">
        <v>4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2</v>
      </c>
      <c r="AG485">
        <v>0</v>
      </c>
      <c r="AH485" t="s">
        <v>26</v>
      </c>
      <c r="AI485" t="s">
        <v>27</v>
      </c>
      <c r="AJ485" s="1"/>
      <c r="AK485" t="s">
        <v>28</v>
      </c>
      <c r="AL48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  <c r="AM485">
        <f>SUM(Rel_2026[[#This Row],[qtd_TrxContabil]:[VLR_EXP_SORTE]])</f>
        <v>1431</v>
      </c>
      <c r="AN48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36</v>
      </c>
    </row>
    <row r="486" spans="1:40" x14ac:dyDescent="0.3">
      <c r="A486" t="str">
        <f>IF(Rel_2026[[#This Row],[Zero]]=0,"Zero",IF(Rel_2026[[#This Row],[Pontuação]]&gt;=10,"Sim",IF(Rel_2026[[#This Row],[Pontuação]]&gt;=5,"Próximo","Não")))</f>
        <v>Não</v>
      </c>
      <c r="B486" t="str">
        <f>IF(Rel_2026[[#This Row],[Zero]]=0,"Zero",IF(Rel_2026[[#This Row],[Pontuação2]]&gt;=10,"Sim",IF(Rel_2026[[#This Row],[Pontuação2]]&gt;=5,"Próximo","Não")))</f>
        <v>Não</v>
      </c>
      <c r="C486" t="str">
        <f>IFERROR(VLOOKUP(Rel_2026[[#This Row],[chave_loja]],Responsavel!A:B,2,FALSE),"EUCLIDES")</f>
        <v>NYCOLLAS</v>
      </c>
      <c r="D486" t="str">
        <f>LEFT(Rel_2026[[#This Row],[ag_pacb]],4)</f>
        <v>0699</v>
      </c>
      <c r="E486">
        <v>410984</v>
      </c>
      <c r="F486" t="s">
        <v>411</v>
      </c>
      <c r="G486" t="s">
        <v>412</v>
      </c>
      <c r="H486" s="1">
        <v>45750</v>
      </c>
      <c r="I486" t="s">
        <v>23</v>
      </c>
      <c r="J486" t="s">
        <v>145</v>
      </c>
      <c r="K486" s="1">
        <v>45748</v>
      </c>
      <c r="L486" s="1">
        <v>45769</v>
      </c>
      <c r="M486" t="s">
        <v>32</v>
      </c>
      <c r="N486" s="1">
        <v>46254</v>
      </c>
      <c r="O486">
        <v>247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 t="s">
        <v>26</v>
      </c>
      <c r="AI486" t="s">
        <v>27</v>
      </c>
      <c r="AJ486" s="1"/>
      <c r="AK486" t="s">
        <v>28</v>
      </c>
      <c r="AL48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86">
        <f>SUM(Rel_2026[[#This Row],[qtd_TrxContabil]:[VLR_EXP_SORTE]])</f>
        <v>247</v>
      </c>
      <c r="AN48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87" spans="1:40" x14ac:dyDescent="0.3">
      <c r="A487" t="str">
        <f>IF(Rel_2026[[#This Row],[Zero]]=0,"Zero",IF(Rel_2026[[#This Row],[Pontuação]]&gt;=10,"Sim",IF(Rel_2026[[#This Row],[Pontuação]]&gt;=5,"Próximo","Não")))</f>
        <v>Não</v>
      </c>
      <c r="B487" t="str">
        <f>IF(Rel_2026[[#This Row],[Zero]]=0,"Zero",IF(Rel_2026[[#This Row],[Pontuação2]]&gt;=10,"Sim",IF(Rel_2026[[#This Row],[Pontuação2]]&gt;=5,"Próximo","Não")))</f>
        <v>Não</v>
      </c>
      <c r="C487" t="str">
        <f>IFERROR(VLOOKUP(Rel_2026[[#This Row],[chave_loja]],Responsavel!A:B,2,FALSE),"EUCLIDES")</f>
        <v>NYCOLLAS</v>
      </c>
      <c r="D487" t="str">
        <f>LEFT(Rel_2026[[#This Row],[ag_pacb]],4)</f>
        <v>0699</v>
      </c>
      <c r="E487">
        <v>410618</v>
      </c>
      <c r="F487" t="s">
        <v>501</v>
      </c>
      <c r="G487" t="s">
        <v>502</v>
      </c>
      <c r="H487" s="1">
        <v>45744</v>
      </c>
      <c r="I487" t="s">
        <v>23</v>
      </c>
      <c r="J487" t="s">
        <v>145</v>
      </c>
      <c r="K487" s="1">
        <v>45734</v>
      </c>
      <c r="L487" s="1">
        <v>45756</v>
      </c>
      <c r="M487" t="s">
        <v>32</v>
      </c>
      <c r="N487" s="1">
        <v>46254</v>
      </c>
      <c r="O487">
        <v>259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 t="s">
        <v>38</v>
      </c>
      <c r="AI487" t="s">
        <v>27</v>
      </c>
      <c r="AJ487" s="1"/>
      <c r="AK487" t="s">
        <v>28</v>
      </c>
      <c r="AL48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87">
        <f>SUM(Rel_2026[[#This Row],[qtd_TrxContabil]:[VLR_EXP_SORTE]])</f>
        <v>259</v>
      </c>
      <c r="AN48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88" spans="1:40" x14ac:dyDescent="0.3">
      <c r="A488" t="str">
        <f>IF(Rel_2026[[#This Row],[Zero]]=0,"Zero",IF(Rel_2026[[#This Row],[Pontuação]]&gt;=10,"Sim",IF(Rel_2026[[#This Row],[Pontuação]]&gt;=5,"Próximo","Não")))</f>
        <v>Não</v>
      </c>
      <c r="B488" t="str">
        <f>IF(Rel_2026[[#This Row],[Zero]]=0,"Zero",IF(Rel_2026[[#This Row],[Pontuação2]]&gt;=10,"Sim",IF(Rel_2026[[#This Row],[Pontuação2]]&gt;=5,"Próximo","Não")))</f>
        <v>Não</v>
      </c>
      <c r="C488" t="str">
        <f>IFERROR(VLOOKUP(Rel_2026[[#This Row],[chave_loja]],Responsavel!A:B,2,FALSE),"EUCLIDES")</f>
        <v>JUNIOR</v>
      </c>
      <c r="D488" t="str">
        <f>LEFT(Rel_2026[[#This Row],[ag_pacb]],4)</f>
        <v>5367</v>
      </c>
      <c r="E488">
        <v>82685</v>
      </c>
      <c r="F488" t="s">
        <v>528</v>
      </c>
      <c r="G488" t="s">
        <v>529</v>
      </c>
      <c r="H488" s="1">
        <v>44279</v>
      </c>
      <c r="I488" t="s">
        <v>23</v>
      </c>
      <c r="J488" t="s">
        <v>31</v>
      </c>
      <c r="K488" s="1">
        <v>42137</v>
      </c>
      <c r="L488" s="1">
        <v>45460</v>
      </c>
      <c r="M488" t="s">
        <v>32</v>
      </c>
      <c r="N488" s="1">
        <v>46254</v>
      </c>
      <c r="O488">
        <v>890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2180</v>
      </c>
      <c r="V488">
        <v>2180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 t="s">
        <v>38</v>
      </c>
      <c r="AI488" t="s">
        <v>27</v>
      </c>
      <c r="AJ488" s="1"/>
      <c r="AK488" t="s">
        <v>28</v>
      </c>
      <c r="AL48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</v>
      </c>
      <c r="AM488">
        <f>SUM(Rel_2026[[#This Row],[qtd_TrxContabil]:[VLR_EXP_SORTE]])</f>
        <v>5250</v>
      </c>
      <c r="AN48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</v>
      </c>
    </row>
    <row r="489" spans="1:40" x14ac:dyDescent="0.3">
      <c r="A489" t="str">
        <f>IF(Rel_2026[[#This Row],[Zero]]=0,"Zero",IF(Rel_2026[[#This Row],[Pontuação]]&gt;=10,"Sim",IF(Rel_2026[[#This Row],[Pontuação]]&gt;=5,"Próximo","Não")))</f>
        <v>Não</v>
      </c>
      <c r="B489" t="str">
        <f>IF(Rel_2026[[#This Row],[Zero]]=0,"Zero",IF(Rel_2026[[#This Row],[Pontuação2]]&gt;=10,"Sim",IF(Rel_2026[[#This Row],[Pontuação2]]&gt;=5,"Próximo","Não")))</f>
        <v>Não</v>
      </c>
      <c r="C489" t="str">
        <f>IFERROR(VLOOKUP(Rel_2026[[#This Row],[chave_loja]],Responsavel!A:B,2,FALSE),"EUCLIDES")</f>
        <v>ALEX SIQUEIRA</v>
      </c>
      <c r="D489" t="str">
        <f>LEFT(Rel_2026[[#This Row],[ag_pacb]],4)</f>
        <v>0726</v>
      </c>
      <c r="E489">
        <v>415088</v>
      </c>
      <c r="F489" t="s">
        <v>1243</v>
      </c>
      <c r="G489" t="s">
        <v>1244</v>
      </c>
      <c r="H489" s="1">
        <v>45867</v>
      </c>
      <c r="I489" t="s">
        <v>23</v>
      </c>
      <c r="J489" t="s">
        <v>217</v>
      </c>
      <c r="K489" s="1">
        <v>45862</v>
      </c>
      <c r="L489" s="1">
        <v>46163</v>
      </c>
      <c r="M489" t="s">
        <v>109</v>
      </c>
      <c r="N489" s="1">
        <v>46254</v>
      </c>
      <c r="O489">
        <v>242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 t="s">
        <v>38</v>
      </c>
      <c r="AI489" t="s">
        <v>27</v>
      </c>
      <c r="AJ489" s="1"/>
      <c r="AK489" t="s">
        <v>28</v>
      </c>
      <c r="AL48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89">
        <f>SUM(Rel_2026[[#This Row],[qtd_TrxContabil]:[VLR_EXP_SORTE]])</f>
        <v>242</v>
      </c>
      <c r="AN48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90" spans="1:40" x14ac:dyDescent="0.3">
      <c r="A490" t="str">
        <f>IF(Rel_2026[[#This Row],[Zero]]=0,"Zero",IF(Rel_2026[[#This Row],[Pontuação]]&gt;=10,"Sim",IF(Rel_2026[[#This Row],[Pontuação]]&gt;=5,"Próximo","Não")))</f>
        <v>Sim</v>
      </c>
      <c r="B490" t="str">
        <f>IF(Rel_2026[[#This Row],[Zero]]=0,"Zero",IF(Rel_2026[[#This Row],[Pontuação2]]&gt;=10,"Sim",IF(Rel_2026[[#This Row],[Pontuação2]]&gt;=5,"Próximo","Não")))</f>
        <v>Sim</v>
      </c>
      <c r="C490" t="str">
        <f>IFERROR(VLOOKUP(Rel_2026[[#This Row],[chave_loja]],Responsavel!A:B,2,FALSE),"EUCLIDES")</f>
        <v>JUNIOR</v>
      </c>
      <c r="D490" t="str">
        <f>LEFT(Rel_2026[[#This Row],[ag_pacb]],4)</f>
        <v>1351</v>
      </c>
      <c r="E490">
        <v>172524</v>
      </c>
      <c r="F490" t="s">
        <v>991</v>
      </c>
      <c r="G490" t="s">
        <v>992</v>
      </c>
      <c r="H490" s="1">
        <v>45126</v>
      </c>
      <c r="I490" t="s">
        <v>23</v>
      </c>
      <c r="J490" t="s">
        <v>993</v>
      </c>
      <c r="K490" s="1">
        <v>43510</v>
      </c>
      <c r="L490" s="1">
        <v>45610</v>
      </c>
      <c r="M490" t="s">
        <v>32</v>
      </c>
      <c r="N490" s="1">
        <v>46254</v>
      </c>
      <c r="O490">
        <v>2037</v>
      </c>
      <c r="P490">
        <v>8</v>
      </c>
      <c r="Q490">
        <v>6</v>
      </c>
      <c r="R490">
        <v>7</v>
      </c>
      <c r="S490">
        <v>0</v>
      </c>
      <c r="T490">
        <v>570</v>
      </c>
      <c r="U490">
        <v>35494</v>
      </c>
      <c r="V490">
        <v>35494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8</v>
      </c>
      <c r="AG490">
        <v>0</v>
      </c>
      <c r="AH490" t="s">
        <v>38</v>
      </c>
      <c r="AI490" t="s">
        <v>27</v>
      </c>
      <c r="AJ490" s="1"/>
      <c r="AK490" t="s">
        <v>28</v>
      </c>
      <c r="AL49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89</v>
      </c>
      <c r="AM490">
        <f>SUM(Rel_2026[[#This Row],[qtd_TrxContabil]:[VLR_EXP_SORTE]])</f>
        <v>73624</v>
      </c>
      <c r="AN49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110</v>
      </c>
    </row>
    <row r="491" spans="1:40" x14ac:dyDescent="0.3">
      <c r="A491" t="str">
        <f>IF(Rel_2026[[#This Row],[Zero]]=0,"Zero",IF(Rel_2026[[#This Row],[Pontuação]]&gt;=10,"Sim",IF(Rel_2026[[#This Row],[Pontuação]]&gt;=5,"Próximo","Não")))</f>
        <v>Não</v>
      </c>
      <c r="B491" t="str">
        <f>IF(Rel_2026[[#This Row],[Zero]]=0,"Zero",IF(Rel_2026[[#This Row],[Pontuação2]]&gt;=10,"Sim",IF(Rel_2026[[#This Row],[Pontuação2]]&gt;=5,"Próximo","Não")))</f>
        <v>Não</v>
      </c>
      <c r="C491" t="str">
        <f>IFERROR(VLOOKUP(Rel_2026[[#This Row],[chave_loja]],Responsavel!A:B,2,FALSE),"EUCLIDES")</f>
        <v>GIL</v>
      </c>
      <c r="D491" t="str">
        <f>LEFT(Rel_2026[[#This Row],[ag_pacb]],4)</f>
        <v>5387</v>
      </c>
      <c r="E491">
        <v>206896</v>
      </c>
      <c r="F491" t="s">
        <v>413</v>
      </c>
      <c r="G491" t="s">
        <v>414</v>
      </c>
      <c r="H491" s="1">
        <v>44480</v>
      </c>
      <c r="I491" t="s">
        <v>23</v>
      </c>
      <c r="J491" t="s">
        <v>130</v>
      </c>
      <c r="K491" s="1">
        <v>45152</v>
      </c>
      <c r="L491" s="1">
        <v>44271</v>
      </c>
      <c r="M491" t="s">
        <v>32</v>
      </c>
      <c r="N491" s="1">
        <v>46254</v>
      </c>
      <c r="O491">
        <v>98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 t="s">
        <v>26</v>
      </c>
      <c r="AI491" t="s">
        <v>27</v>
      </c>
      <c r="AJ491" s="1"/>
      <c r="AK491" t="s">
        <v>28</v>
      </c>
      <c r="AL49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91">
        <f>SUM(Rel_2026[[#This Row],[qtd_TrxContabil]:[VLR_EXP_SORTE]])</f>
        <v>98</v>
      </c>
      <c r="AN49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92" spans="1:40" x14ac:dyDescent="0.3">
      <c r="A492" t="str">
        <f>IF(Rel_2026[[#This Row],[Zero]]=0,"Zero",IF(Rel_2026[[#This Row],[Pontuação]]&gt;=10,"Sim",IF(Rel_2026[[#This Row],[Pontuação]]&gt;=5,"Próximo","Não")))</f>
        <v>Próximo</v>
      </c>
      <c r="B492" t="str">
        <f>IF(Rel_2026[[#This Row],[Zero]]=0,"Zero",IF(Rel_2026[[#This Row],[Pontuação2]]&gt;=10,"Sim",IF(Rel_2026[[#This Row],[Pontuação2]]&gt;=5,"Próximo","Não")))</f>
        <v>Próximo</v>
      </c>
      <c r="C492" t="str">
        <f>IFERROR(VLOOKUP(Rel_2026[[#This Row],[chave_loja]],Responsavel!A:B,2,FALSE),"EUCLIDES")</f>
        <v>JOSELITO</v>
      </c>
      <c r="D492" t="str">
        <f>LEFT(Rel_2026[[#This Row],[ag_pacb]],4)</f>
        <v>0685</v>
      </c>
      <c r="E492">
        <v>245327</v>
      </c>
      <c r="F492" t="s">
        <v>494</v>
      </c>
      <c r="G492" t="s">
        <v>495</v>
      </c>
      <c r="H492" s="1">
        <v>44984</v>
      </c>
      <c r="I492" t="s">
        <v>23</v>
      </c>
      <c r="J492" t="s">
        <v>216</v>
      </c>
      <c r="K492" s="1">
        <v>45092</v>
      </c>
      <c r="L492" s="1">
        <v>44994</v>
      </c>
      <c r="M492" t="s">
        <v>25</v>
      </c>
      <c r="N492" s="1">
        <v>46254</v>
      </c>
      <c r="O492">
        <v>207</v>
      </c>
      <c r="P492">
        <v>0</v>
      </c>
      <c r="Q492">
        <v>0</v>
      </c>
      <c r="R492">
        <v>0</v>
      </c>
      <c r="S492">
        <v>0</v>
      </c>
      <c r="T492">
        <v>520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 t="s">
        <v>26</v>
      </c>
      <c r="AI492" t="s">
        <v>27</v>
      </c>
      <c r="AJ492" s="1"/>
      <c r="AK492" t="s">
        <v>28</v>
      </c>
      <c r="AL49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</v>
      </c>
      <c r="AM492">
        <f>SUM(Rel_2026[[#This Row],[qtd_TrxContabil]:[VLR_EXP_SORTE]])</f>
        <v>728</v>
      </c>
      <c r="AN49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</v>
      </c>
    </row>
    <row r="493" spans="1:40" x14ac:dyDescent="0.3">
      <c r="A493" t="str">
        <f>IF(Rel_2026[[#This Row],[Zero]]=0,"Zero",IF(Rel_2026[[#This Row],[Pontuação]]&gt;=10,"Sim",IF(Rel_2026[[#This Row],[Pontuação]]&gt;=5,"Próximo","Não")))</f>
        <v>Não</v>
      </c>
      <c r="B493" t="str">
        <f>IF(Rel_2026[[#This Row],[Zero]]=0,"Zero",IF(Rel_2026[[#This Row],[Pontuação2]]&gt;=10,"Sim",IF(Rel_2026[[#This Row],[Pontuação2]]&gt;=5,"Próximo","Não")))</f>
        <v>Não</v>
      </c>
      <c r="C493" t="str">
        <f>IFERROR(VLOOKUP(Rel_2026[[#This Row],[chave_loja]],Responsavel!A:B,2,FALSE),"EUCLIDES")</f>
        <v>IVAN</v>
      </c>
      <c r="D493" t="str">
        <f>LEFT(Rel_2026[[#This Row],[ag_pacb]],4)</f>
        <v>5449</v>
      </c>
      <c r="E493">
        <v>423297</v>
      </c>
      <c r="F493" t="s">
        <v>1205</v>
      </c>
      <c r="G493" t="s">
        <v>1206</v>
      </c>
      <c r="H493" s="1">
        <v>46121</v>
      </c>
      <c r="I493" t="s">
        <v>23</v>
      </c>
      <c r="J493" t="s">
        <v>102</v>
      </c>
      <c r="K493" s="1">
        <v>46113</v>
      </c>
      <c r="L493" s="1">
        <v>46134</v>
      </c>
      <c r="M493" t="s">
        <v>25</v>
      </c>
      <c r="N493" s="1">
        <v>46254</v>
      </c>
      <c r="O493">
        <v>132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 t="s">
        <v>38</v>
      </c>
      <c r="AI493" t="s">
        <v>27</v>
      </c>
      <c r="AJ493" s="1"/>
      <c r="AK493" t="s">
        <v>28</v>
      </c>
      <c r="AL49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93">
        <f>SUM(Rel_2026[[#This Row],[qtd_TrxContabil]:[VLR_EXP_SORTE]])</f>
        <v>132</v>
      </c>
      <c r="AN49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94" spans="1:40" x14ac:dyDescent="0.3">
      <c r="A494" t="str">
        <f>IF(Rel_2026[[#This Row],[Zero]]=0,"Zero",IF(Rel_2026[[#This Row],[Pontuação]]&gt;=10,"Sim",IF(Rel_2026[[#This Row],[Pontuação]]&gt;=5,"Próximo","Não")))</f>
        <v>Sim</v>
      </c>
      <c r="B494" t="str">
        <f>IF(Rel_2026[[#This Row],[Zero]]=0,"Zero",IF(Rel_2026[[#This Row],[Pontuação2]]&gt;=10,"Sim",IF(Rel_2026[[#This Row],[Pontuação2]]&gt;=5,"Próximo","Não")))</f>
        <v>Sim</v>
      </c>
      <c r="C494" t="str">
        <f>IFERROR(VLOOKUP(Rel_2026[[#This Row],[chave_loja]],Responsavel!A:B,2,FALSE),"EUCLIDES")</f>
        <v>DARIO</v>
      </c>
      <c r="D494" t="str">
        <f>LEFT(Rel_2026[[#This Row],[ag_pacb]],4)</f>
        <v>5098</v>
      </c>
      <c r="E494">
        <v>251646</v>
      </c>
      <c r="F494" t="s">
        <v>245</v>
      </c>
      <c r="G494" t="s">
        <v>246</v>
      </c>
      <c r="H494" s="1">
        <v>45203</v>
      </c>
      <c r="I494" t="s">
        <v>23</v>
      </c>
      <c r="J494" t="s">
        <v>247</v>
      </c>
      <c r="K494" s="1">
        <v>45306</v>
      </c>
      <c r="L494" s="1">
        <v>45317</v>
      </c>
      <c r="M494" t="s">
        <v>25</v>
      </c>
      <c r="N494" s="1">
        <v>46254</v>
      </c>
      <c r="O494">
        <v>290</v>
      </c>
      <c r="P494">
        <v>3</v>
      </c>
      <c r="Q494">
        <v>1</v>
      </c>
      <c r="R494">
        <v>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 t="s">
        <v>26</v>
      </c>
      <c r="AI494" t="s">
        <v>27</v>
      </c>
      <c r="AJ494" s="1"/>
      <c r="AK494" t="s">
        <v>28</v>
      </c>
      <c r="AL49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</v>
      </c>
      <c r="AM494">
        <f>SUM(Rel_2026[[#This Row],[qtd_TrxContabil]:[VLR_EXP_SORTE]])</f>
        <v>297</v>
      </c>
      <c r="AN49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22</v>
      </c>
    </row>
    <row r="495" spans="1:40" x14ac:dyDescent="0.3">
      <c r="A495" t="str">
        <f>IF(Rel_2026[[#This Row],[Zero]]=0,"Zero",IF(Rel_2026[[#This Row],[Pontuação]]&gt;=10,"Sim",IF(Rel_2026[[#This Row],[Pontuação]]&gt;=5,"Próximo","Não")))</f>
        <v>Zero</v>
      </c>
      <c r="B495" t="str">
        <f>IF(Rel_2026[[#This Row],[Zero]]=0,"Zero",IF(Rel_2026[[#This Row],[Pontuação2]]&gt;=10,"Sim",IF(Rel_2026[[#This Row],[Pontuação2]]&gt;=5,"Próximo","Não")))</f>
        <v>Zero</v>
      </c>
      <c r="C495" t="str">
        <f>IFERROR(VLOOKUP(Rel_2026[[#This Row],[chave_loja]],Responsavel!A:B,2,FALSE),"EUCLIDES")</f>
        <v>JUNIOR</v>
      </c>
      <c r="D495" t="str">
        <f>LEFT(Rel_2026[[#This Row],[ag_pacb]],4)</f>
        <v>0684</v>
      </c>
      <c r="E495">
        <v>411493</v>
      </c>
      <c r="F495" t="s">
        <v>1097</v>
      </c>
      <c r="G495" t="s">
        <v>1098</v>
      </c>
      <c r="H495" s="1">
        <v>45775</v>
      </c>
      <c r="I495" t="s">
        <v>23</v>
      </c>
      <c r="J495" t="s">
        <v>133</v>
      </c>
      <c r="K495" s="1">
        <v>45763</v>
      </c>
      <c r="L495" s="1">
        <v>45782</v>
      </c>
      <c r="M495" t="s">
        <v>32</v>
      </c>
      <c r="N495" s="1">
        <v>46008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 t="s">
        <v>26</v>
      </c>
      <c r="AI495" t="s">
        <v>56</v>
      </c>
      <c r="AJ495" s="1">
        <v>46083</v>
      </c>
      <c r="AK495" t="s">
        <v>28</v>
      </c>
      <c r="AL49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95">
        <f>SUM(Rel_2026[[#This Row],[qtd_TrxContabil]:[VLR_EXP_SORTE]])</f>
        <v>0</v>
      </c>
      <c r="AN49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96" spans="1:40" x14ac:dyDescent="0.3">
      <c r="A496" t="str">
        <f>IF(Rel_2026[[#This Row],[Zero]]=0,"Zero",IF(Rel_2026[[#This Row],[Pontuação]]&gt;=10,"Sim",IF(Rel_2026[[#This Row],[Pontuação]]&gt;=5,"Próximo","Não")))</f>
        <v>Zero</v>
      </c>
      <c r="B496" t="str">
        <f>IF(Rel_2026[[#This Row],[Zero]]=0,"Zero",IF(Rel_2026[[#This Row],[Pontuação2]]&gt;=10,"Sim",IF(Rel_2026[[#This Row],[Pontuação2]]&gt;=5,"Próximo","Não")))</f>
        <v>Zero</v>
      </c>
      <c r="C496" t="str">
        <f>IFERROR(VLOOKUP(Rel_2026[[#This Row],[chave_loja]],Responsavel!A:B,2,FALSE),"EUCLIDES")</f>
        <v>IVAN</v>
      </c>
      <c r="D496" t="str">
        <f>LEFT(Rel_2026[[#This Row],[ag_pacb]],4)</f>
        <v>0765</v>
      </c>
      <c r="E496">
        <v>412734</v>
      </c>
      <c r="F496" t="s">
        <v>1099</v>
      </c>
      <c r="G496" t="s">
        <v>1100</v>
      </c>
      <c r="H496" s="1">
        <v>45805</v>
      </c>
      <c r="I496" t="s">
        <v>23</v>
      </c>
      <c r="J496" t="s">
        <v>1002</v>
      </c>
      <c r="K496" s="1">
        <v>45793</v>
      </c>
      <c r="L496" s="1">
        <v>45835</v>
      </c>
      <c r="M496" t="s">
        <v>25</v>
      </c>
      <c r="N496" s="1">
        <v>46004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 t="s">
        <v>26</v>
      </c>
      <c r="AI496" t="s">
        <v>56</v>
      </c>
      <c r="AJ496" s="1">
        <v>46083</v>
      </c>
      <c r="AK496" t="s">
        <v>28</v>
      </c>
      <c r="AL49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96">
        <f>SUM(Rel_2026[[#This Row],[qtd_TrxContabil]:[VLR_EXP_SORTE]])</f>
        <v>0</v>
      </c>
      <c r="AN49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97" spans="1:40" x14ac:dyDescent="0.3">
      <c r="A497" t="str">
        <f>IF(Rel_2026[[#This Row],[Zero]]=0,"Zero",IF(Rel_2026[[#This Row],[Pontuação]]&gt;=10,"Sim",IF(Rel_2026[[#This Row],[Pontuação]]&gt;=5,"Próximo","Não")))</f>
        <v>Próximo</v>
      </c>
      <c r="B497" t="str">
        <f>IF(Rel_2026[[#This Row],[Zero]]=0,"Zero",IF(Rel_2026[[#This Row],[Pontuação2]]&gt;=10,"Sim",IF(Rel_2026[[#This Row],[Pontuação2]]&gt;=5,"Próximo","Não")))</f>
        <v>Sim</v>
      </c>
      <c r="C497" t="str">
        <f>IFERROR(VLOOKUP(Rel_2026[[#This Row],[chave_loja]],Responsavel!A:B,2,FALSE),"EUCLIDES")</f>
        <v>ALEX SIQUEIRA</v>
      </c>
      <c r="D497" t="str">
        <f>LEFT(Rel_2026[[#This Row],[ag_pacb]],4)</f>
        <v>0726</v>
      </c>
      <c r="E497">
        <v>204623</v>
      </c>
      <c r="F497" t="s">
        <v>498</v>
      </c>
      <c r="G497" t="s">
        <v>1164</v>
      </c>
      <c r="H497" s="1">
        <v>44564</v>
      </c>
      <c r="I497" t="s">
        <v>23</v>
      </c>
      <c r="J497" t="s">
        <v>217</v>
      </c>
      <c r="K497" s="1">
        <v>44270</v>
      </c>
      <c r="L497" s="1">
        <v>46107</v>
      </c>
      <c r="M497" t="s">
        <v>109</v>
      </c>
      <c r="N497" s="1">
        <v>46254</v>
      </c>
      <c r="O497">
        <v>614</v>
      </c>
      <c r="P497">
        <v>1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 t="s">
        <v>38</v>
      </c>
      <c r="AI497" t="s">
        <v>27</v>
      </c>
      <c r="AJ497" s="1"/>
      <c r="AK497" t="s">
        <v>28</v>
      </c>
      <c r="AL49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497">
        <f>SUM(Rel_2026[[#This Row],[qtd_TrxContabil]:[VLR_EXP_SORTE]])</f>
        <v>617</v>
      </c>
      <c r="AN49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498" spans="1:40" x14ac:dyDescent="0.3">
      <c r="A498" t="str">
        <f>IF(Rel_2026[[#This Row],[Zero]]=0,"Zero",IF(Rel_2026[[#This Row],[Pontuação]]&gt;=10,"Sim",IF(Rel_2026[[#This Row],[Pontuação]]&gt;=5,"Próximo","Não")))</f>
        <v>Próximo</v>
      </c>
      <c r="B498" t="str">
        <f>IF(Rel_2026[[#This Row],[Zero]]=0,"Zero",IF(Rel_2026[[#This Row],[Pontuação2]]&gt;=10,"Sim",IF(Rel_2026[[#This Row],[Pontuação2]]&gt;=5,"Próximo","Não")))</f>
        <v>Sim</v>
      </c>
      <c r="C498" t="str">
        <f>IFERROR(VLOOKUP(Rel_2026[[#This Row],[chave_loja]],Responsavel!A:B,2,FALSE),"EUCLIDES")</f>
        <v>NYCOLLAS</v>
      </c>
      <c r="D498" t="str">
        <f>LEFT(Rel_2026[[#This Row],[ag_pacb]],4)</f>
        <v>0719</v>
      </c>
      <c r="E498">
        <v>230321</v>
      </c>
      <c r="F498" t="s">
        <v>375</v>
      </c>
      <c r="G498" t="s">
        <v>376</v>
      </c>
      <c r="H498" s="1">
        <v>45888</v>
      </c>
      <c r="I498" t="s">
        <v>23</v>
      </c>
      <c r="J498" t="s">
        <v>127</v>
      </c>
      <c r="K498" s="1">
        <v>45155</v>
      </c>
      <c r="L498" s="1">
        <v>44650</v>
      </c>
      <c r="M498" t="s">
        <v>32</v>
      </c>
      <c r="N498" s="1">
        <v>46254</v>
      </c>
      <c r="O498">
        <v>359</v>
      </c>
      <c r="P498">
        <v>1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 t="s">
        <v>26</v>
      </c>
      <c r="AI498" t="s">
        <v>27</v>
      </c>
      <c r="AJ498" s="1"/>
      <c r="AK498" t="s">
        <v>28</v>
      </c>
      <c r="AL49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498">
        <f>SUM(Rel_2026[[#This Row],[qtd_TrxContabil]:[VLR_EXP_SORTE]])</f>
        <v>362</v>
      </c>
      <c r="AN49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499" spans="1:40" x14ac:dyDescent="0.3">
      <c r="A499" t="str">
        <f>IF(Rel_2026[[#This Row],[Zero]]=0,"Zero",IF(Rel_2026[[#This Row],[Pontuação]]&gt;=10,"Sim",IF(Rel_2026[[#This Row],[Pontuação]]&gt;=5,"Próximo","Não")))</f>
        <v>Sim</v>
      </c>
      <c r="B499" t="str">
        <f>IF(Rel_2026[[#This Row],[Zero]]=0,"Zero",IF(Rel_2026[[#This Row],[Pontuação2]]&gt;=10,"Sim",IF(Rel_2026[[#This Row],[Pontuação2]]&gt;=5,"Próximo","Não")))</f>
        <v>Sim</v>
      </c>
      <c r="C499" t="str">
        <f>IFERROR(VLOOKUP(Rel_2026[[#This Row],[chave_loja]],Responsavel!A:B,2,FALSE),"EUCLIDES")</f>
        <v>CÉLIO</v>
      </c>
      <c r="D499" t="str">
        <f>LEFT(Rel_2026[[#This Row],[ag_pacb]],4)</f>
        <v>1234</v>
      </c>
      <c r="E499">
        <v>408942</v>
      </c>
      <c r="F499" t="s">
        <v>1189</v>
      </c>
      <c r="G499" t="s">
        <v>1190</v>
      </c>
      <c r="H499" s="1">
        <v>46111</v>
      </c>
      <c r="I499" t="s">
        <v>23</v>
      </c>
      <c r="J499" t="s">
        <v>24</v>
      </c>
      <c r="K499" s="1">
        <v>45661</v>
      </c>
      <c r="L499" s="1">
        <v>46121</v>
      </c>
      <c r="M499" t="s">
        <v>32</v>
      </c>
      <c r="N499" s="1">
        <v>46254</v>
      </c>
      <c r="O499">
        <v>58</v>
      </c>
      <c r="P499">
        <v>24</v>
      </c>
      <c r="Q499">
        <v>5</v>
      </c>
      <c r="R499">
        <v>9</v>
      </c>
      <c r="S499">
        <v>3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1000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4</v>
      </c>
      <c r="AG499">
        <v>0</v>
      </c>
      <c r="AH499" t="s">
        <v>26</v>
      </c>
      <c r="AI499" t="s">
        <v>27</v>
      </c>
      <c r="AJ499" s="1"/>
      <c r="AK499" t="s">
        <v>28</v>
      </c>
      <c r="AL49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94</v>
      </c>
      <c r="AM499">
        <f>SUM(Rel_2026[[#This Row],[qtd_TrxContabil]:[VLR_EXP_SORTE]])</f>
        <v>1104</v>
      </c>
      <c r="AN49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121</v>
      </c>
    </row>
    <row r="500" spans="1:40" x14ac:dyDescent="0.3">
      <c r="A500" t="str">
        <f>IF(Rel_2026[[#This Row],[Zero]]=0,"Zero",IF(Rel_2026[[#This Row],[Pontuação]]&gt;=10,"Sim",IF(Rel_2026[[#This Row],[Pontuação]]&gt;=5,"Próximo","Não")))</f>
        <v>Não</v>
      </c>
      <c r="B500" t="str">
        <f>IF(Rel_2026[[#This Row],[Zero]]=0,"Zero",IF(Rel_2026[[#This Row],[Pontuação2]]&gt;=10,"Sim",IF(Rel_2026[[#This Row],[Pontuação2]]&gt;=5,"Próximo","Não")))</f>
        <v>Não</v>
      </c>
      <c r="C500" t="str">
        <f>IFERROR(VLOOKUP(Rel_2026[[#This Row],[chave_loja]],Responsavel!A:B,2,FALSE),"EUCLIDES")</f>
        <v>NYCOLLAS</v>
      </c>
      <c r="D500" t="str">
        <f>LEFT(Rel_2026[[#This Row],[ag_pacb]],4)</f>
        <v>0699</v>
      </c>
      <c r="E500">
        <v>237933</v>
      </c>
      <c r="F500" t="s">
        <v>186</v>
      </c>
      <c r="G500" t="s">
        <v>187</v>
      </c>
      <c r="H500" s="1">
        <v>44774</v>
      </c>
      <c r="I500" t="s">
        <v>23</v>
      </c>
      <c r="J500" t="s">
        <v>125</v>
      </c>
      <c r="K500" s="1">
        <v>44830</v>
      </c>
      <c r="L500" s="1">
        <v>44790</v>
      </c>
      <c r="M500" t="s">
        <v>32</v>
      </c>
      <c r="N500" s="1">
        <v>46254</v>
      </c>
      <c r="O500">
        <v>189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 t="s">
        <v>26</v>
      </c>
      <c r="AI500" t="s">
        <v>27</v>
      </c>
      <c r="AJ500" s="1"/>
      <c r="AK500" t="s">
        <v>28</v>
      </c>
      <c r="AL50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00">
        <f>SUM(Rel_2026[[#This Row],[qtd_TrxContabil]:[VLR_EXP_SORTE]])</f>
        <v>189</v>
      </c>
      <c r="AN50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01" spans="1:40" x14ac:dyDescent="0.3">
      <c r="A501" t="str">
        <f>IF(Rel_2026[[#This Row],[Zero]]=0,"Zero",IF(Rel_2026[[#This Row],[Pontuação]]&gt;=10,"Sim",IF(Rel_2026[[#This Row],[Pontuação]]&gt;=5,"Próximo","Não")))</f>
        <v>Próximo</v>
      </c>
      <c r="B501" t="str">
        <f>IF(Rel_2026[[#This Row],[Zero]]=0,"Zero",IF(Rel_2026[[#This Row],[Pontuação2]]&gt;=10,"Sim",IF(Rel_2026[[#This Row],[Pontuação2]]&gt;=5,"Próximo","Não")))</f>
        <v>Sim</v>
      </c>
      <c r="C501" t="str">
        <f>IFERROR(VLOOKUP(Rel_2026[[#This Row],[chave_loja]],Responsavel!A:B,2,FALSE),"EUCLIDES")</f>
        <v>CÉLIO</v>
      </c>
      <c r="D501" t="str">
        <f>LEFT(Rel_2026[[#This Row],[ag_pacb]],4)</f>
        <v>0600</v>
      </c>
      <c r="E501">
        <v>251298</v>
      </c>
      <c r="F501" t="s">
        <v>649</v>
      </c>
      <c r="G501" t="s">
        <v>650</v>
      </c>
      <c r="H501" s="1">
        <v>45212</v>
      </c>
      <c r="I501" t="s">
        <v>23</v>
      </c>
      <c r="J501" t="s">
        <v>24</v>
      </c>
      <c r="K501" s="1">
        <v>45306</v>
      </c>
      <c r="L501" s="1">
        <v>45226</v>
      </c>
      <c r="M501" t="s">
        <v>25</v>
      </c>
      <c r="N501" s="1">
        <v>46254</v>
      </c>
      <c r="O501">
        <v>2</v>
      </c>
      <c r="P501">
        <v>3</v>
      </c>
      <c r="Q501">
        <v>0</v>
      </c>
      <c r="R501">
        <v>3</v>
      </c>
      <c r="S501">
        <v>2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 t="s">
        <v>26</v>
      </c>
      <c r="AI501" t="s">
        <v>27</v>
      </c>
      <c r="AJ501" s="1"/>
      <c r="AK501" t="s">
        <v>28</v>
      </c>
      <c r="AL50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</v>
      </c>
      <c r="AM501">
        <f>SUM(Rel_2026[[#This Row],[qtd_TrxContabil]:[VLR_EXP_SORTE]])</f>
        <v>10</v>
      </c>
      <c r="AN50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</row>
    <row r="502" spans="1:40" x14ac:dyDescent="0.3">
      <c r="A502" t="str">
        <f>IF(Rel_2026[[#This Row],[Zero]]=0,"Zero",IF(Rel_2026[[#This Row],[Pontuação]]&gt;=10,"Sim",IF(Rel_2026[[#This Row],[Pontuação]]&gt;=5,"Próximo","Não")))</f>
        <v>Sim</v>
      </c>
      <c r="B502" t="str">
        <f>IF(Rel_2026[[#This Row],[Zero]]=0,"Zero",IF(Rel_2026[[#This Row],[Pontuação2]]&gt;=10,"Sim",IF(Rel_2026[[#This Row],[Pontuação2]]&gt;=5,"Próximo","Não")))</f>
        <v>Sim</v>
      </c>
      <c r="C502" t="str">
        <f>IFERROR(VLOOKUP(Rel_2026[[#This Row],[chave_loja]],Responsavel!A:B,2,FALSE),"EUCLIDES")</f>
        <v>JUNIOR</v>
      </c>
      <c r="D502" t="str">
        <f>LEFT(Rel_2026[[#This Row],[ag_pacb]],4)</f>
        <v>5367</v>
      </c>
      <c r="E502">
        <v>410446</v>
      </c>
      <c r="F502" t="s">
        <v>160</v>
      </c>
      <c r="G502" t="s">
        <v>161</v>
      </c>
      <c r="H502" s="1">
        <v>45733</v>
      </c>
      <c r="I502" t="s">
        <v>23</v>
      </c>
      <c r="J502" t="s">
        <v>162</v>
      </c>
      <c r="K502" s="1">
        <v>45727</v>
      </c>
      <c r="L502" s="1">
        <v>45789</v>
      </c>
      <c r="M502" t="s">
        <v>32</v>
      </c>
      <c r="N502" s="1">
        <v>46254</v>
      </c>
      <c r="O502">
        <v>354</v>
      </c>
      <c r="P502">
        <v>0</v>
      </c>
      <c r="Q502">
        <v>0</v>
      </c>
      <c r="R502">
        <v>0</v>
      </c>
      <c r="S502">
        <v>0</v>
      </c>
      <c r="T502">
        <v>3100</v>
      </c>
      <c r="U502">
        <v>0</v>
      </c>
      <c r="V502">
        <v>0</v>
      </c>
      <c r="W502">
        <v>0</v>
      </c>
      <c r="X502">
        <v>0</v>
      </c>
      <c r="Y502">
        <v>1857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5</v>
      </c>
      <c r="AH502" t="s">
        <v>26</v>
      </c>
      <c r="AI502" t="s">
        <v>27</v>
      </c>
      <c r="AJ502" s="1"/>
      <c r="AK502" t="s">
        <v>28</v>
      </c>
      <c r="AL50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35</v>
      </c>
      <c r="AM502">
        <f>SUM(Rel_2026[[#This Row],[qtd_TrxContabil]:[VLR_EXP_SORTE]])</f>
        <v>5316</v>
      </c>
      <c r="AN50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35</v>
      </c>
    </row>
    <row r="503" spans="1:40" x14ac:dyDescent="0.3">
      <c r="A503" t="str">
        <f>IF(Rel_2026[[#This Row],[Zero]]=0,"Zero",IF(Rel_2026[[#This Row],[Pontuação]]&gt;=10,"Sim",IF(Rel_2026[[#This Row],[Pontuação]]&gt;=5,"Próximo","Não")))</f>
        <v>Não</v>
      </c>
      <c r="B503" t="str">
        <f>IF(Rel_2026[[#This Row],[Zero]]=0,"Zero",IF(Rel_2026[[#This Row],[Pontuação2]]&gt;=10,"Sim",IF(Rel_2026[[#This Row],[Pontuação2]]&gt;=5,"Próximo","Não")))</f>
        <v>Não</v>
      </c>
      <c r="C503" t="str">
        <f>IFERROR(VLOOKUP(Rel_2026[[#This Row],[chave_loja]],Responsavel!A:B,2,FALSE),"EUCLIDES")</f>
        <v>JUNIOR</v>
      </c>
      <c r="D503" t="str">
        <f>LEFT(Rel_2026[[#This Row],[ag_pacb]],4)</f>
        <v>5367</v>
      </c>
      <c r="E503">
        <v>410768</v>
      </c>
      <c r="F503" t="s">
        <v>623</v>
      </c>
      <c r="G503" t="s">
        <v>624</v>
      </c>
      <c r="H503" s="1">
        <v>45748</v>
      </c>
      <c r="I503" t="s">
        <v>23</v>
      </c>
      <c r="J503" t="s">
        <v>31</v>
      </c>
      <c r="K503" s="1">
        <v>45741</v>
      </c>
      <c r="L503" s="1">
        <v>45755</v>
      </c>
      <c r="M503" t="s">
        <v>32</v>
      </c>
      <c r="N503" s="1">
        <v>46254</v>
      </c>
      <c r="O503">
        <v>171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 t="s">
        <v>26</v>
      </c>
      <c r="AI503" t="s">
        <v>27</v>
      </c>
      <c r="AJ503" s="1"/>
      <c r="AK503" t="s">
        <v>28</v>
      </c>
      <c r="AL50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03">
        <f>SUM(Rel_2026[[#This Row],[qtd_TrxContabil]:[VLR_EXP_SORTE]])</f>
        <v>171</v>
      </c>
      <c r="AN50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04" spans="1:40" x14ac:dyDescent="0.3">
      <c r="A504" t="str">
        <f>IF(Rel_2026[[#This Row],[Zero]]=0,"Zero",IF(Rel_2026[[#This Row],[Pontuação]]&gt;=10,"Sim",IF(Rel_2026[[#This Row],[Pontuação]]&gt;=5,"Próximo","Não")))</f>
        <v>Próximo</v>
      </c>
      <c r="B504" t="str">
        <f>IF(Rel_2026[[#This Row],[Zero]]=0,"Zero",IF(Rel_2026[[#This Row],[Pontuação2]]&gt;=10,"Sim",IF(Rel_2026[[#This Row],[Pontuação2]]&gt;=5,"Próximo","Não")))</f>
        <v>Próximo</v>
      </c>
      <c r="C504" t="str">
        <f>IFERROR(VLOOKUP(Rel_2026[[#This Row],[chave_loja]],Responsavel!A:B,2,FALSE),"EUCLIDES")</f>
        <v>CÉLIO</v>
      </c>
      <c r="D504" t="str">
        <f>LEFT(Rel_2026[[#This Row],[ag_pacb]],4)</f>
        <v>3238</v>
      </c>
      <c r="E504">
        <v>246807</v>
      </c>
      <c r="F504" t="s">
        <v>33</v>
      </c>
      <c r="G504" t="s">
        <v>34</v>
      </c>
      <c r="H504" s="1">
        <v>45030</v>
      </c>
      <c r="I504" t="s">
        <v>23</v>
      </c>
      <c r="J504" t="s">
        <v>24</v>
      </c>
      <c r="K504" s="1">
        <v>45159</v>
      </c>
      <c r="L504" s="1">
        <v>45041</v>
      </c>
      <c r="M504" t="s">
        <v>25</v>
      </c>
      <c r="N504" s="1">
        <v>46254</v>
      </c>
      <c r="O504">
        <v>62</v>
      </c>
      <c r="P504">
        <v>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 t="s">
        <v>26</v>
      </c>
      <c r="AI504" t="s">
        <v>27</v>
      </c>
      <c r="AJ504" s="1"/>
      <c r="AK504" t="s">
        <v>28</v>
      </c>
      <c r="AL50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  <c r="AM504">
        <f>SUM(Rel_2026[[#This Row],[qtd_TrxContabil]:[VLR_EXP_SORTE]])</f>
        <v>64</v>
      </c>
      <c r="AN50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505" spans="1:40" x14ac:dyDescent="0.3">
      <c r="A505" t="str">
        <f>IF(Rel_2026[[#This Row],[Zero]]=0,"Zero",IF(Rel_2026[[#This Row],[Pontuação]]&gt;=10,"Sim",IF(Rel_2026[[#This Row],[Pontuação]]&gt;=5,"Próximo","Não")))</f>
        <v>Não</v>
      </c>
      <c r="B505" t="str">
        <f>IF(Rel_2026[[#This Row],[Zero]]=0,"Zero",IF(Rel_2026[[#This Row],[Pontuação2]]&gt;=10,"Sim",IF(Rel_2026[[#This Row],[Pontuação2]]&gt;=5,"Próximo","Não")))</f>
        <v>Não</v>
      </c>
      <c r="C505" t="str">
        <f>IFERROR(VLOOKUP(Rel_2026[[#This Row],[chave_loja]],Responsavel!A:B,2,FALSE),"EUCLIDES")</f>
        <v>GIL</v>
      </c>
      <c r="D505" t="str">
        <f>LEFT(Rel_2026[[#This Row],[ag_pacb]],4)</f>
        <v>5387</v>
      </c>
      <c r="E505">
        <v>254657</v>
      </c>
      <c r="F505" t="s">
        <v>745</v>
      </c>
      <c r="G505" t="s">
        <v>746</v>
      </c>
      <c r="H505" s="1">
        <v>45247</v>
      </c>
      <c r="I505" t="s">
        <v>23</v>
      </c>
      <c r="J505" t="s">
        <v>74</v>
      </c>
      <c r="K505" s="1">
        <v>45306</v>
      </c>
      <c r="L505" s="1">
        <v>45268</v>
      </c>
      <c r="M505" t="s">
        <v>32</v>
      </c>
      <c r="N505" s="1">
        <v>46254</v>
      </c>
      <c r="O505">
        <v>92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 t="s">
        <v>26</v>
      </c>
      <c r="AI505" t="s">
        <v>27</v>
      </c>
      <c r="AJ505" s="1"/>
      <c r="AK505" t="s">
        <v>28</v>
      </c>
      <c r="AL50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05">
        <f>SUM(Rel_2026[[#This Row],[qtd_TrxContabil]:[VLR_EXP_SORTE]])</f>
        <v>92</v>
      </c>
      <c r="AN50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06" spans="1:40" x14ac:dyDescent="0.3">
      <c r="A506" t="str">
        <f>IF(Rel_2026[[#This Row],[Zero]]=0,"Zero",IF(Rel_2026[[#This Row],[Pontuação]]&gt;=10,"Sim",IF(Rel_2026[[#This Row],[Pontuação]]&gt;=5,"Próximo","Não")))</f>
        <v>Não</v>
      </c>
      <c r="B506" t="str">
        <f>IF(Rel_2026[[#This Row],[Zero]]=0,"Zero",IF(Rel_2026[[#This Row],[Pontuação2]]&gt;=10,"Sim",IF(Rel_2026[[#This Row],[Pontuação2]]&gt;=5,"Próximo","Não")))</f>
        <v>Não</v>
      </c>
      <c r="C506" t="str">
        <f>IFERROR(VLOOKUP(Rel_2026[[#This Row],[chave_loja]],Responsavel!A:B,2,FALSE),"EUCLIDES")</f>
        <v>WASTHSON</v>
      </c>
      <c r="D506" t="str">
        <f>LEFT(Rel_2026[[#This Row],[ag_pacb]],4)</f>
        <v>5415</v>
      </c>
      <c r="E506">
        <v>419999</v>
      </c>
      <c r="F506" t="s">
        <v>778</v>
      </c>
      <c r="G506" t="s">
        <v>779</v>
      </c>
      <c r="H506" s="1">
        <v>46001</v>
      </c>
      <c r="I506" t="s">
        <v>23</v>
      </c>
      <c r="J506" t="s">
        <v>158</v>
      </c>
      <c r="K506" s="1">
        <v>45993</v>
      </c>
      <c r="L506" s="1">
        <v>46042</v>
      </c>
      <c r="M506" t="s">
        <v>32</v>
      </c>
      <c r="N506" s="1">
        <v>46254</v>
      </c>
      <c r="O506">
        <v>136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 t="s">
        <v>26</v>
      </c>
      <c r="AI506" t="s">
        <v>27</v>
      </c>
      <c r="AJ506" s="1"/>
      <c r="AK506" t="s">
        <v>28</v>
      </c>
      <c r="AL50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06">
        <f>SUM(Rel_2026[[#This Row],[qtd_TrxContabil]:[VLR_EXP_SORTE]])</f>
        <v>136</v>
      </c>
      <c r="AN50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07" spans="1:40" x14ac:dyDescent="0.3">
      <c r="A507" t="str">
        <f>IF(Rel_2026[[#This Row],[Zero]]=0,"Zero",IF(Rel_2026[[#This Row],[Pontuação]]&gt;=10,"Sim",IF(Rel_2026[[#This Row],[Pontuação]]&gt;=5,"Próximo","Não")))</f>
        <v>Próximo</v>
      </c>
      <c r="B507" t="str">
        <f>IF(Rel_2026[[#This Row],[Zero]]=0,"Zero",IF(Rel_2026[[#This Row],[Pontuação2]]&gt;=10,"Sim",IF(Rel_2026[[#This Row],[Pontuação2]]&gt;=5,"Próximo","Não")))</f>
        <v>Sim</v>
      </c>
      <c r="C507" t="str">
        <f>IFERROR(VLOOKUP(Rel_2026[[#This Row],[chave_loja]],Responsavel!A:B,2,FALSE),"EUCLIDES")</f>
        <v>JACK</v>
      </c>
      <c r="D507" t="str">
        <f>LEFT(Rel_2026[[#This Row],[ag_pacb]],4)</f>
        <v>1522</v>
      </c>
      <c r="E507">
        <v>57748</v>
      </c>
      <c r="F507" t="s">
        <v>105</v>
      </c>
      <c r="G507" t="s">
        <v>106</v>
      </c>
      <c r="H507" s="1">
        <v>44173</v>
      </c>
      <c r="I507" t="s">
        <v>107</v>
      </c>
      <c r="J507" t="s">
        <v>108</v>
      </c>
      <c r="K507" s="1">
        <v>42142</v>
      </c>
      <c r="L507" s="1">
        <v>45638</v>
      </c>
      <c r="M507" t="s">
        <v>109</v>
      </c>
      <c r="N507" s="1">
        <v>46254</v>
      </c>
      <c r="O507">
        <v>351</v>
      </c>
      <c r="P507">
        <v>3</v>
      </c>
      <c r="Q507">
        <v>0</v>
      </c>
      <c r="R507">
        <v>3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 t="s">
        <v>26</v>
      </c>
      <c r="AI507" t="s">
        <v>27</v>
      </c>
      <c r="AJ507" s="1"/>
      <c r="AK507" t="s">
        <v>28</v>
      </c>
      <c r="AL50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</v>
      </c>
      <c r="AM507">
        <f>SUM(Rel_2026[[#This Row],[qtd_TrxContabil]:[VLR_EXP_SORTE]])</f>
        <v>357</v>
      </c>
      <c r="AN50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</row>
    <row r="508" spans="1:40" x14ac:dyDescent="0.3">
      <c r="A508" t="str">
        <f>IF(Rel_2026[[#This Row],[Zero]]=0,"Zero",IF(Rel_2026[[#This Row],[Pontuação]]&gt;=10,"Sim",IF(Rel_2026[[#This Row],[Pontuação]]&gt;=5,"Próximo","Não")))</f>
        <v>Não</v>
      </c>
      <c r="B508" t="str">
        <f>IF(Rel_2026[[#This Row],[Zero]]=0,"Zero",IF(Rel_2026[[#This Row],[Pontuação2]]&gt;=10,"Sim",IF(Rel_2026[[#This Row],[Pontuação2]]&gt;=5,"Próximo","Não")))</f>
        <v>Não</v>
      </c>
      <c r="C508" t="str">
        <f>IFERROR(VLOOKUP(Rel_2026[[#This Row],[chave_loja]],Responsavel!A:B,2,FALSE),"EUCLIDES")</f>
        <v>ROSSY</v>
      </c>
      <c r="D508" t="str">
        <f>LEFT(Rel_2026[[#This Row],[ag_pacb]],4)</f>
        <v>5798</v>
      </c>
      <c r="E508">
        <v>134090</v>
      </c>
      <c r="F508" t="s">
        <v>871</v>
      </c>
      <c r="G508" t="s">
        <v>872</v>
      </c>
      <c r="H508" s="1">
        <v>44365</v>
      </c>
      <c r="I508" t="s">
        <v>107</v>
      </c>
      <c r="J508" t="s">
        <v>850</v>
      </c>
      <c r="K508" s="1">
        <v>43921</v>
      </c>
      <c r="L508" s="1">
        <v>45589</v>
      </c>
      <c r="M508" t="s">
        <v>109</v>
      </c>
      <c r="N508" s="1">
        <v>46254</v>
      </c>
      <c r="O508">
        <v>418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 t="s">
        <v>26</v>
      </c>
      <c r="AI508" t="s">
        <v>27</v>
      </c>
      <c r="AJ508" s="1"/>
      <c r="AK508" t="s">
        <v>28</v>
      </c>
      <c r="AL50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08">
        <f>SUM(Rel_2026[[#This Row],[qtd_TrxContabil]:[VLR_EXP_SORTE]])</f>
        <v>418</v>
      </c>
      <c r="AN50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09" spans="1:40" x14ac:dyDescent="0.3">
      <c r="A509" t="str">
        <f>IF(Rel_2026[[#This Row],[Zero]]=0,"Zero",IF(Rel_2026[[#This Row],[Pontuação]]&gt;=10,"Sim",IF(Rel_2026[[#This Row],[Pontuação]]&gt;=5,"Próximo","Não")))</f>
        <v>Não</v>
      </c>
      <c r="B509" t="str">
        <f>IF(Rel_2026[[#This Row],[Zero]]=0,"Zero",IF(Rel_2026[[#This Row],[Pontuação2]]&gt;=10,"Sim",IF(Rel_2026[[#This Row],[Pontuação2]]&gt;=5,"Próximo","Não")))</f>
        <v>Não</v>
      </c>
      <c r="C509" t="str">
        <f>IFERROR(VLOOKUP(Rel_2026[[#This Row],[chave_loja]],Responsavel!A:B,2,FALSE),"EUCLIDES")</f>
        <v>JACK</v>
      </c>
      <c r="D509" t="str">
        <f>LEFT(Rel_2026[[#This Row],[ag_pacb]],4)</f>
        <v>1522</v>
      </c>
      <c r="E509">
        <v>248557</v>
      </c>
      <c r="F509" t="s">
        <v>942</v>
      </c>
      <c r="G509" t="s">
        <v>943</v>
      </c>
      <c r="H509" s="1">
        <v>45093</v>
      </c>
      <c r="I509" t="s">
        <v>107</v>
      </c>
      <c r="J509" t="s">
        <v>867</v>
      </c>
      <c r="K509" s="1">
        <v>45306</v>
      </c>
      <c r="L509" s="1">
        <v>45111</v>
      </c>
      <c r="M509" t="s">
        <v>109</v>
      </c>
      <c r="N509" s="1">
        <v>46253</v>
      </c>
      <c r="O509">
        <v>431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4000</v>
      </c>
      <c r="V509">
        <v>4000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 t="s">
        <v>38</v>
      </c>
      <c r="AI509" t="s">
        <v>27</v>
      </c>
      <c r="AJ509" s="1"/>
      <c r="AK509" t="s">
        <v>28</v>
      </c>
      <c r="AL50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</v>
      </c>
      <c r="AM509">
        <f>SUM(Rel_2026[[#This Row],[qtd_TrxContabil]:[VLR_EXP_SORTE]])</f>
        <v>8431</v>
      </c>
      <c r="AN50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</v>
      </c>
    </row>
    <row r="510" spans="1:40" x14ac:dyDescent="0.3">
      <c r="A510" t="str">
        <f>IF(Rel_2026[[#This Row],[Zero]]=0,"Zero",IF(Rel_2026[[#This Row],[Pontuação]]&gt;=10,"Sim",IF(Rel_2026[[#This Row],[Pontuação]]&gt;=5,"Próximo","Não")))</f>
        <v>Próximo</v>
      </c>
      <c r="B510" t="str">
        <f>IF(Rel_2026[[#This Row],[Zero]]=0,"Zero",IF(Rel_2026[[#This Row],[Pontuação2]]&gt;=10,"Sim",IF(Rel_2026[[#This Row],[Pontuação2]]&gt;=5,"Próximo","Não")))</f>
        <v>Sim</v>
      </c>
      <c r="C510" t="str">
        <f>IFERROR(VLOOKUP(Rel_2026[[#This Row],[chave_loja]],Responsavel!A:B,2,FALSE),"EUCLIDES")</f>
        <v>ALEX SIQUEIRA</v>
      </c>
      <c r="D510" t="str">
        <f>LEFT(Rel_2026[[#This Row],[ag_pacb]],4)</f>
        <v>0726</v>
      </c>
      <c r="E510">
        <v>406215</v>
      </c>
      <c r="F510" t="s">
        <v>464</v>
      </c>
      <c r="G510" t="s">
        <v>1198</v>
      </c>
      <c r="H510" s="1">
        <v>45559</v>
      </c>
      <c r="I510" t="s">
        <v>23</v>
      </c>
      <c r="J510" t="s">
        <v>217</v>
      </c>
      <c r="K510" s="1">
        <v>45547</v>
      </c>
      <c r="L510" s="1">
        <v>45573</v>
      </c>
      <c r="M510" t="s">
        <v>109</v>
      </c>
      <c r="N510" s="1">
        <v>46254</v>
      </c>
      <c r="O510">
        <v>249</v>
      </c>
      <c r="P510">
        <v>1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 t="s">
        <v>26</v>
      </c>
      <c r="AI510" t="s">
        <v>27</v>
      </c>
      <c r="AJ510" s="1"/>
      <c r="AK510" t="s">
        <v>28</v>
      </c>
      <c r="AL5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510">
        <f>SUM(Rel_2026[[#This Row],[qtd_TrxContabil]:[VLR_EXP_SORTE]])</f>
        <v>252</v>
      </c>
      <c r="AN5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511" spans="1:40" x14ac:dyDescent="0.3">
      <c r="A511" t="str">
        <f>IF(Rel_2026[[#This Row],[Zero]]=0,"Zero",IF(Rel_2026[[#This Row],[Pontuação]]&gt;=10,"Sim",IF(Rel_2026[[#This Row],[Pontuação]]&gt;=5,"Próximo","Não")))</f>
        <v>Sim</v>
      </c>
      <c r="B511" t="str">
        <f>IF(Rel_2026[[#This Row],[Zero]]=0,"Zero",IF(Rel_2026[[#This Row],[Pontuação2]]&gt;=10,"Sim",IF(Rel_2026[[#This Row],[Pontuação2]]&gt;=5,"Próximo","Não")))</f>
        <v>Sim</v>
      </c>
      <c r="C511" t="str">
        <f>IFERROR(VLOOKUP(Rel_2026[[#This Row],[chave_loja]],Responsavel!A:B,2,FALSE),"EUCLIDES")</f>
        <v>JUNIOR</v>
      </c>
      <c r="D511" t="str">
        <f>LEFT(Rel_2026[[#This Row],[ag_pacb]],4)</f>
        <v>1351</v>
      </c>
      <c r="E511">
        <v>84573</v>
      </c>
      <c r="F511" t="s">
        <v>982</v>
      </c>
      <c r="G511" t="s">
        <v>983</v>
      </c>
      <c r="H511" s="1">
        <v>45194</v>
      </c>
      <c r="I511" t="s">
        <v>23</v>
      </c>
      <c r="J511" t="s">
        <v>485</v>
      </c>
      <c r="K511" s="1">
        <v>42237</v>
      </c>
      <c r="L511" s="1">
        <v>45583</v>
      </c>
      <c r="M511" t="s">
        <v>32</v>
      </c>
      <c r="N511" s="1">
        <v>46254</v>
      </c>
      <c r="O511">
        <v>1033</v>
      </c>
      <c r="P511">
        <v>5</v>
      </c>
      <c r="Q511">
        <v>5</v>
      </c>
      <c r="R511">
        <v>4</v>
      </c>
      <c r="S511">
        <v>0</v>
      </c>
      <c r="T511">
        <v>2939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 t="s">
        <v>38</v>
      </c>
      <c r="AI511" t="s">
        <v>27</v>
      </c>
      <c r="AJ511" s="1"/>
      <c r="AK511" t="s">
        <v>28</v>
      </c>
      <c r="AL5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64</v>
      </c>
      <c r="AM511">
        <f>SUM(Rel_2026[[#This Row],[qtd_TrxContabil]:[VLR_EXP_SORTE]])</f>
        <v>3986</v>
      </c>
      <c r="AN5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76</v>
      </c>
    </row>
    <row r="512" spans="1:40" x14ac:dyDescent="0.3">
      <c r="A512" t="str">
        <f>IF(Rel_2026[[#This Row],[Zero]]=0,"Zero",IF(Rel_2026[[#This Row],[Pontuação]]&gt;=10,"Sim",IF(Rel_2026[[#This Row],[Pontuação]]&gt;=5,"Próximo","Não")))</f>
        <v>Não</v>
      </c>
      <c r="B512" t="str">
        <f>IF(Rel_2026[[#This Row],[Zero]]=0,"Zero",IF(Rel_2026[[#This Row],[Pontuação2]]&gt;=10,"Sim",IF(Rel_2026[[#This Row],[Pontuação2]]&gt;=5,"Próximo","Não")))</f>
        <v>Não</v>
      </c>
      <c r="C512" t="str">
        <f>IFERROR(VLOOKUP(Rel_2026[[#This Row],[chave_loja]],Responsavel!A:B,2,FALSE),"EUCLIDES")</f>
        <v>GIL</v>
      </c>
      <c r="D512" t="str">
        <f>LEFT(Rel_2026[[#This Row],[ag_pacb]],4)</f>
        <v>5387</v>
      </c>
      <c r="E512">
        <v>420354</v>
      </c>
      <c r="F512" t="s">
        <v>799</v>
      </c>
      <c r="G512" t="s">
        <v>800</v>
      </c>
      <c r="H512" s="1">
        <v>46030</v>
      </c>
      <c r="I512" t="s">
        <v>23</v>
      </c>
      <c r="J512" t="s">
        <v>130</v>
      </c>
      <c r="K512" s="1">
        <v>46015</v>
      </c>
      <c r="L512" s="1">
        <v>46050</v>
      </c>
      <c r="M512" t="s">
        <v>32</v>
      </c>
      <c r="N512" s="1">
        <v>46254</v>
      </c>
      <c r="O512">
        <v>32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 t="s">
        <v>26</v>
      </c>
      <c r="AI512" t="s">
        <v>27</v>
      </c>
      <c r="AJ512" s="1"/>
      <c r="AK512" t="s">
        <v>28</v>
      </c>
      <c r="AL5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12">
        <f>SUM(Rel_2026[[#This Row],[qtd_TrxContabil]:[VLR_EXP_SORTE]])</f>
        <v>32</v>
      </c>
      <c r="AN5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13" spans="1:40" x14ac:dyDescent="0.3">
      <c r="A513" t="str">
        <f>IF(Rel_2026[[#This Row],[Zero]]=0,"Zero",IF(Rel_2026[[#This Row],[Pontuação]]&gt;=10,"Sim",IF(Rel_2026[[#This Row],[Pontuação]]&gt;=5,"Próximo","Não")))</f>
        <v>Não</v>
      </c>
      <c r="B513" t="str">
        <f>IF(Rel_2026[[#This Row],[Zero]]=0,"Zero",IF(Rel_2026[[#This Row],[Pontuação2]]&gt;=10,"Sim",IF(Rel_2026[[#This Row],[Pontuação2]]&gt;=5,"Próximo","Não")))</f>
        <v>Não</v>
      </c>
      <c r="C513" t="str">
        <f>IFERROR(VLOOKUP(Rel_2026[[#This Row],[chave_loja]],Responsavel!A:B,2,FALSE),"EUCLIDES")</f>
        <v>ISMAEL</v>
      </c>
      <c r="D513" t="str">
        <f>LEFT(Rel_2026[[#This Row],[ag_pacb]],4)</f>
        <v>1302</v>
      </c>
      <c r="E513">
        <v>424061</v>
      </c>
      <c r="F513" t="s">
        <v>1275</v>
      </c>
      <c r="G513" t="s">
        <v>1276</v>
      </c>
      <c r="H513" s="1">
        <v>46162</v>
      </c>
      <c r="I513" t="s">
        <v>23</v>
      </c>
      <c r="J513" t="s">
        <v>71</v>
      </c>
      <c r="K513" s="1">
        <v>46155</v>
      </c>
      <c r="L513" s="1">
        <v>46167</v>
      </c>
      <c r="M513" t="s">
        <v>32</v>
      </c>
      <c r="N513" s="1">
        <v>46253</v>
      </c>
      <c r="O513">
        <v>216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 t="s">
        <v>38</v>
      </c>
      <c r="AI513" t="s">
        <v>27</v>
      </c>
      <c r="AJ513" s="1"/>
      <c r="AK513" t="s">
        <v>28</v>
      </c>
      <c r="AL5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13">
        <f>SUM(Rel_2026[[#This Row],[qtd_TrxContabil]:[VLR_EXP_SORTE]])</f>
        <v>216</v>
      </c>
      <c r="AN5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14" spans="1:40" x14ac:dyDescent="0.3">
      <c r="A514" t="str">
        <f>IF(Rel_2026[[#This Row],[Zero]]=0,"Zero",IF(Rel_2026[[#This Row],[Pontuação]]&gt;=10,"Sim",IF(Rel_2026[[#This Row],[Pontuação]]&gt;=5,"Próximo","Não")))</f>
        <v>Sim</v>
      </c>
      <c r="B514" t="str">
        <f>IF(Rel_2026[[#This Row],[Zero]]=0,"Zero",IF(Rel_2026[[#This Row],[Pontuação2]]&gt;=10,"Sim",IF(Rel_2026[[#This Row],[Pontuação2]]&gt;=5,"Próximo","Não")))</f>
        <v>Sim</v>
      </c>
      <c r="C514" t="str">
        <f>IFERROR(VLOOKUP(Rel_2026[[#This Row],[chave_loja]],Responsavel!A:B,2,FALSE),"EUCLIDES")</f>
        <v>GIL</v>
      </c>
      <c r="D514" t="str">
        <f>LEFT(Rel_2026[[#This Row],[ag_pacb]],4)</f>
        <v>0715</v>
      </c>
      <c r="E514">
        <v>54888</v>
      </c>
      <c r="F514" t="s">
        <v>588</v>
      </c>
      <c r="G514" t="s">
        <v>589</v>
      </c>
      <c r="H514" s="1">
        <v>44403</v>
      </c>
      <c r="I514" t="s">
        <v>23</v>
      </c>
      <c r="J514" t="s">
        <v>202</v>
      </c>
      <c r="K514" s="1">
        <v>42131</v>
      </c>
      <c r="L514" s="1">
        <v>46045</v>
      </c>
      <c r="M514" t="s">
        <v>32</v>
      </c>
      <c r="N514" s="1">
        <v>46254</v>
      </c>
      <c r="O514">
        <v>1345</v>
      </c>
      <c r="P514">
        <v>2</v>
      </c>
      <c r="Q514">
        <v>2</v>
      </c>
      <c r="R514">
        <v>2</v>
      </c>
      <c r="S514">
        <v>0</v>
      </c>
      <c r="T514">
        <v>2836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2</v>
      </c>
      <c r="AG514">
        <v>0</v>
      </c>
      <c r="AH514" t="s">
        <v>38</v>
      </c>
      <c r="AI514" t="s">
        <v>27</v>
      </c>
      <c r="AJ514" s="1"/>
      <c r="AK514" t="s">
        <v>28</v>
      </c>
      <c r="AL5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42</v>
      </c>
      <c r="AM514">
        <f>SUM(Rel_2026[[#This Row],[qtd_TrxContabil]:[VLR_EXP_SORTE]])</f>
        <v>4189</v>
      </c>
      <c r="AN5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48</v>
      </c>
    </row>
    <row r="515" spans="1:40" x14ac:dyDescent="0.3">
      <c r="A515" t="str">
        <f>IF(Rel_2026[[#This Row],[Zero]]=0,"Zero",IF(Rel_2026[[#This Row],[Pontuação]]&gt;=10,"Sim",IF(Rel_2026[[#This Row],[Pontuação]]&gt;=5,"Próximo","Não")))</f>
        <v>Sim</v>
      </c>
      <c r="B515" t="str">
        <f>IF(Rel_2026[[#This Row],[Zero]]=0,"Zero",IF(Rel_2026[[#This Row],[Pontuação2]]&gt;=10,"Sim",IF(Rel_2026[[#This Row],[Pontuação2]]&gt;=5,"Próximo","Não")))</f>
        <v>Sim</v>
      </c>
      <c r="C515" t="str">
        <f>IFERROR(VLOOKUP(Rel_2026[[#This Row],[chave_loja]],Responsavel!A:B,2,FALSE),"EUCLIDES")</f>
        <v>JOSELITO</v>
      </c>
      <c r="D515" t="str">
        <f>LEFT(Rel_2026[[#This Row],[ag_pacb]],4)</f>
        <v>0685</v>
      </c>
      <c r="E515">
        <v>161346</v>
      </c>
      <c r="F515" t="s">
        <v>462</v>
      </c>
      <c r="G515" t="s">
        <v>463</v>
      </c>
      <c r="H515" s="1">
        <v>44127</v>
      </c>
      <c r="I515" t="s">
        <v>23</v>
      </c>
      <c r="J515" t="s">
        <v>211</v>
      </c>
      <c r="K515" s="1">
        <v>43039</v>
      </c>
      <c r="L515" s="1">
        <v>44775</v>
      </c>
      <c r="M515" t="s">
        <v>25</v>
      </c>
      <c r="N515" s="1">
        <v>46254</v>
      </c>
      <c r="O515">
        <v>210</v>
      </c>
      <c r="P515">
        <v>3</v>
      </c>
      <c r="Q515">
        <v>2</v>
      </c>
      <c r="R515">
        <v>3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0</v>
      </c>
      <c r="AH515" t="s">
        <v>26</v>
      </c>
      <c r="AI515" t="s">
        <v>27</v>
      </c>
      <c r="AJ515" s="1"/>
      <c r="AK515" t="s">
        <v>28</v>
      </c>
      <c r="AL5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</v>
      </c>
      <c r="AM515">
        <f>SUM(Rel_2026[[#This Row],[qtd_TrxContabil]:[VLR_EXP_SORTE]])</f>
        <v>219</v>
      </c>
      <c r="AN5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26</v>
      </c>
    </row>
    <row r="516" spans="1:40" x14ac:dyDescent="0.3">
      <c r="A516" t="str">
        <f>IF(Rel_2026[[#This Row],[Zero]]=0,"Zero",IF(Rel_2026[[#This Row],[Pontuação]]&gt;=10,"Sim",IF(Rel_2026[[#This Row],[Pontuação]]&gt;=5,"Próximo","Não")))</f>
        <v>Não</v>
      </c>
      <c r="B516" t="str">
        <f>IF(Rel_2026[[#This Row],[Zero]]=0,"Zero",IF(Rel_2026[[#This Row],[Pontuação2]]&gt;=10,"Sim",IF(Rel_2026[[#This Row],[Pontuação2]]&gt;=5,"Próximo","Não")))</f>
        <v>Não</v>
      </c>
      <c r="C516" t="str">
        <f>IFERROR(VLOOKUP(Rel_2026[[#This Row],[chave_loja]],Responsavel!A:B,2,FALSE),"EUCLIDES")</f>
        <v>GIL</v>
      </c>
      <c r="D516" t="str">
        <f>LEFT(Rel_2026[[#This Row],[ag_pacb]],4)</f>
        <v>5387</v>
      </c>
      <c r="E516">
        <v>245385</v>
      </c>
      <c r="F516" t="s">
        <v>128</v>
      </c>
      <c r="G516" t="s">
        <v>129</v>
      </c>
      <c r="H516" s="1">
        <v>45149</v>
      </c>
      <c r="I516" t="s">
        <v>23</v>
      </c>
      <c r="J516" t="s">
        <v>130</v>
      </c>
      <c r="K516" s="1">
        <v>45306</v>
      </c>
      <c r="L516" s="1">
        <v>44999</v>
      </c>
      <c r="M516" t="s">
        <v>32</v>
      </c>
      <c r="N516" s="1">
        <v>46254</v>
      </c>
      <c r="O516">
        <v>158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 t="s">
        <v>26</v>
      </c>
      <c r="AI516" t="s">
        <v>27</v>
      </c>
      <c r="AJ516" s="1"/>
      <c r="AK516" t="s">
        <v>28</v>
      </c>
      <c r="AL5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16">
        <f>SUM(Rel_2026[[#This Row],[qtd_TrxContabil]:[VLR_EXP_SORTE]])</f>
        <v>158</v>
      </c>
      <c r="AN5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17" spans="1:40" x14ac:dyDescent="0.3">
      <c r="A517" t="str">
        <f>IF(Rel_2026[[#This Row],[Zero]]=0,"Zero",IF(Rel_2026[[#This Row],[Pontuação]]&gt;=10,"Sim",IF(Rel_2026[[#This Row],[Pontuação]]&gt;=5,"Próximo","Não")))</f>
        <v>Sim</v>
      </c>
      <c r="B517" t="str">
        <f>IF(Rel_2026[[#This Row],[Zero]]=0,"Zero",IF(Rel_2026[[#This Row],[Pontuação2]]&gt;=10,"Sim",IF(Rel_2026[[#This Row],[Pontuação2]]&gt;=5,"Próximo","Não")))</f>
        <v>Sim</v>
      </c>
      <c r="C517" t="str">
        <f>IFERROR(VLOOKUP(Rel_2026[[#This Row],[chave_loja]],Responsavel!A:B,2,FALSE),"EUCLIDES")</f>
        <v>JACK</v>
      </c>
      <c r="D517" t="str">
        <f>LEFT(Rel_2026[[#This Row],[ag_pacb]],4)</f>
        <v>1522</v>
      </c>
      <c r="E517">
        <v>93495</v>
      </c>
      <c r="F517" t="s">
        <v>856</v>
      </c>
      <c r="G517" t="s">
        <v>857</v>
      </c>
      <c r="H517" s="1">
        <v>45153</v>
      </c>
      <c r="I517" t="s">
        <v>107</v>
      </c>
      <c r="J517" t="s">
        <v>858</v>
      </c>
      <c r="K517" s="1">
        <v>42143</v>
      </c>
      <c r="L517" s="1">
        <v>46190</v>
      </c>
      <c r="M517" t="s">
        <v>109</v>
      </c>
      <c r="N517" s="1">
        <v>46254</v>
      </c>
      <c r="O517">
        <v>399</v>
      </c>
      <c r="P517">
        <v>7</v>
      </c>
      <c r="Q517">
        <v>7</v>
      </c>
      <c r="R517">
        <v>7</v>
      </c>
      <c r="S517">
        <v>0</v>
      </c>
      <c r="T517">
        <v>1605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6</v>
      </c>
      <c r="AG517">
        <v>0</v>
      </c>
      <c r="AH517" t="s">
        <v>26</v>
      </c>
      <c r="AI517" t="s">
        <v>27</v>
      </c>
      <c r="AJ517" s="1"/>
      <c r="AK517" t="s">
        <v>28</v>
      </c>
      <c r="AL5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65</v>
      </c>
      <c r="AM517">
        <f>SUM(Rel_2026[[#This Row],[qtd_TrxContabil]:[VLR_EXP_SORTE]])</f>
        <v>2031</v>
      </c>
      <c r="AN5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86</v>
      </c>
    </row>
    <row r="518" spans="1:40" x14ac:dyDescent="0.3">
      <c r="A518" t="str">
        <f>IF(Rel_2026[[#This Row],[Zero]]=0,"Zero",IF(Rel_2026[[#This Row],[Pontuação]]&gt;=10,"Sim",IF(Rel_2026[[#This Row],[Pontuação]]&gt;=5,"Próximo","Não")))</f>
        <v>Sim</v>
      </c>
      <c r="B518" t="str">
        <f>IF(Rel_2026[[#This Row],[Zero]]=0,"Zero",IF(Rel_2026[[#This Row],[Pontuação2]]&gt;=10,"Sim",IF(Rel_2026[[#This Row],[Pontuação2]]&gt;=5,"Próximo","Não")))</f>
        <v>Sim</v>
      </c>
      <c r="C518" t="str">
        <f>IFERROR(VLOOKUP(Rel_2026[[#This Row],[chave_loja]],Responsavel!A:B,2,FALSE),"EUCLIDES")</f>
        <v>NYCOLLAS</v>
      </c>
      <c r="D518" t="str">
        <f>LEFT(Rel_2026[[#This Row],[ag_pacb]],4)</f>
        <v>0719</v>
      </c>
      <c r="E518">
        <v>188899</v>
      </c>
      <c r="F518" t="s">
        <v>555</v>
      </c>
      <c r="G518" t="s">
        <v>556</v>
      </c>
      <c r="H518" s="1">
        <v>44351</v>
      </c>
      <c r="I518" t="s">
        <v>23</v>
      </c>
      <c r="J518" t="s">
        <v>1215</v>
      </c>
      <c r="K518" s="1">
        <v>44218</v>
      </c>
      <c r="L518" s="1">
        <v>45818</v>
      </c>
      <c r="M518" t="s">
        <v>32</v>
      </c>
      <c r="N518" s="1">
        <v>46254</v>
      </c>
      <c r="O518">
        <v>2511</v>
      </c>
      <c r="P518">
        <v>5</v>
      </c>
      <c r="Q518">
        <v>4</v>
      </c>
      <c r="R518">
        <v>4</v>
      </c>
      <c r="S518">
        <v>1</v>
      </c>
      <c r="T518">
        <v>5940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4</v>
      </c>
      <c r="AG518">
        <v>0</v>
      </c>
      <c r="AH518" t="s">
        <v>38</v>
      </c>
      <c r="AI518" t="s">
        <v>27</v>
      </c>
      <c r="AJ518" s="1"/>
      <c r="AK518" t="s">
        <v>28</v>
      </c>
      <c r="AL5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90</v>
      </c>
      <c r="AM518">
        <f>SUM(Rel_2026[[#This Row],[qtd_TrxContabil]:[VLR_EXP_SORTE]])</f>
        <v>8469</v>
      </c>
      <c r="AN5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102</v>
      </c>
    </row>
    <row r="519" spans="1:40" x14ac:dyDescent="0.3">
      <c r="A519" t="str">
        <f>IF(Rel_2026[[#This Row],[Zero]]=0,"Zero",IF(Rel_2026[[#This Row],[Pontuação]]&gt;=10,"Sim",IF(Rel_2026[[#This Row],[Pontuação]]&gt;=5,"Próximo","Não")))</f>
        <v>Não</v>
      </c>
      <c r="B519" t="str">
        <f>IF(Rel_2026[[#This Row],[Zero]]=0,"Zero",IF(Rel_2026[[#This Row],[Pontuação2]]&gt;=10,"Sim",IF(Rel_2026[[#This Row],[Pontuação2]]&gt;=5,"Próximo","Não")))</f>
        <v>Não</v>
      </c>
      <c r="C519" t="str">
        <f>IFERROR(VLOOKUP(Rel_2026[[#This Row],[chave_loja]],Responsavel!A:B,2,FALSE),"EUCLIDES")</f>
        <v>NYCOLLAS</v>
      </c>
      <c r="D519" t="str">
        <f>LEFT(Rel_2026[[#This Row],[ag_pacb]],4)</f>
        <v>0719</v>
      </c>
      <c r="E519">
        <v>207414</v>
      </c>
      <c r="F519" t="s">
        <v>227</v>
      </c>
      <c r="G519" t="s">
        <v>228</v>
      </c>
      <c r="H519" s="1">
        <v>44483</v>
      </c>
      <c r="I519" t="s">
        <v>23</v>
      </c>
      <c r="J519" t="s">
        <v>127</v>
      </c>
      <c r="K519" s="1">
        <v>45152</v>
      </c>
      <c r="L519" s="1">
        <v>44257</v>
      </c>
      <c r="M519" t="s">
        <v>32</v>
      </c>
      <c r="N519" s="1">
        <v>46254</v>
      </c>
      <c r="O519">
        <v>266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 t="s">
        <v>26</v>
      </c>
      <c r="AI519" t="s">
        <v>27</v>
      </c>
      <c r="AJ519" s="1"/>
      <c r="AK519" t="s">
        <v>28</v>
      </c>
      <c r="AL51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19">
        <f>SUM(Rel_2026[[#This Row],[qtd_TrxContabil]:[VLR_EXP_SORTE]])</f>
        <v>266</v>
      </c>
      <c r="AN51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20" spans="1:40" x14ac:dyDescent="0.3">
      <c r="A520" t="str">
        <f>IF(Rel_2026[[#This Row],[Zero]]=0,"Zero",IF(Rel_2026[[#This Row],[Pontuação]]&gt;=10,"Sim",IF(Rel_2026[[#This Row],[Pontuação]]&gt;=5,"Próximo","Não")))</f>
        <v>Não</v>
      </c>
      <c r="B520" t="str">
        <f>IF(Rel_2026[[#This Row],[Zero]]=0,"Zero",IF(Rel_2026[[#This Row],[Pontuação2]]&gt;=10,"Sim",IF(Rel_2026[[#This Row],[Pontuação2]]&gt;=5,"Próximo","Não")))</f>
        <v>Não</v>
      </c>
      <c r="C520" t="str">
        <f>IFERROR(VLOOKUP(Rel_2026[[#This Row],[chave_loja]],Responsavel!A:B,2,FALSE),"EUCLIDES")</f>
        <v>JUNIOR</v>
      </c>
      <c r="D520" t="str">
        <f>LEFT(Rel_2026[[#This Row],[ag_pacb]],4)</f>
        <v>5367</v>
      </c>
      <c r="E520">
        <v>410787</v>
      </c>
      <c r="F520" t="s">
        <v>370</v>
      </c>
      <c r="G520" t="s">
        <v>1254</v>
      </c>
      <c r="H520" s="1">
        <v>45749</v>
      </c>
      <c r="I520" t="s">
        <v>23</v>
      </c>
      <c r="J520" t="s">
        <v>96</v>
      </c>
      <c r="K520" s="1">
        <v>45742</v>
      </c>
      <c r="L520" s="1">
        <v>46098</v>
      </c>
      <c r="M520" t="s">
        <v>32</v>
      </c>
      <c r="N520" s="1">
        <v>46254</v>
      </c>
      <c r="O520">
        <v>115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 t="s">
        <v>38</v>
      </c>
      <c r="AI520" t="s">
        <v>27</v>
      </c>
      <c r="AJ520" s="1"/>
      <c r="AK520" t="s">
        <v>28</v>
      </c>
      <c r="AL52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20">
        <f>SUM(Rel_2026[[#This Row],[qtd_TrxContabil]:[VLR_EXP_SORTE]])</f>
        <v>115</v>
      </c>
      <c r="AN52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21" spans="1:40" x14ac:dyDescent="0.3">
      <c r="A521" t="str">
        <f>IF(Rel_2026[[#This Row],[Zero]]=0,"Zero",IF(Rel_2026[[#This Row],[Pontuação]]&gt;=10,"Sim",IF(Rel_2026[[#This Row],[Pontuação]]&gt;=5,"Próximo","Não")))</f>
        <v>Sim</v>
      </c>
      <c r="B521" t="str">
        <f>IF(Rel_2026[[#This Row],[Zero]]=0,"Zero",IF(Rel_2026[[#This Row],[Pontuação2]]&gt;=10,"Sim",IF(Rel_2026[[#This Row],[Pontuação2]]&gt;=5,"Próximo","Não")))</f>
        <v>Sim</v>
      </c>
      <c r="C521" t="str">
        <f>IFERROR(VLOOKUP(Rel_2026[[#This Row],[chave_loja]],Responsavel!A:B,2,FALSE),"EUCLIDES")</f>
        <v>JACK</v>
      </c>
      <c r="D521" t="str">
        <f>LEFT(Rel_2026[[#This Row],[ag_pacb]],4)</f>
        <v>0985</v>
      </c>
      <c r="E521">
        <v>413557</v>
      </c>
      <c r="F521" t="s">
        <v>967</v>
      </c>
      <c r="G521" t="s">
        <v>968</v>
      </c>
      <c r="H521" s="1">
        <v>45818</v>
      </c>
      <c r="I521" t="s">
        <v>107</v>
      </c>
      <c r="J521" t="s">
        <v>908</v>
      </c>
      <c r="K521" s="1">
        <v>45811</v>
      </c>
      <c r="L521" s="1">
        <v>45821</v>
      </c>
      <c r="M521" t="s">
        <v>109</v>
      </c>
      <c r="N521" s="1">
        <v>46254</v>
      </c>
      <c r="O521">
        <v>223</v>
      </c>
      <c r="P521">
        <v>2</v>
      </c>
      <c r="Q521">
        <v>2</v>
      </c>
      <c r="R521">
        <v>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2</v>
      </c>
      <c r="AG521">
        <v>0</v>
      </c>
      <c r="AH521" t="s">
        <v>38</v>
      </c>
      <c r="AI521" t="s">
        <v>27</v>
      </c>
      <c r="AJ521" s="1"/>
      <c r="AK521" t="s">
        <v>28</v>
      </c>
      <c r="AL52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521">
        <f>SUM(Rel_2026[[#This Row],[qtd_TrxContabil]:[VLR_EXP_SORTE]])</f>
        <v>231</v>
      </c>
      <c r="AN52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522" spans="1:40" x14ac:dyDescent="0.3">
      <c r="A522" t="str">
        <f>IF(Rel_2026[[#This Row],[Zero]]=0,"Zero",IF(Rel_2026[[#This Row],[Pontuação]]&gt;=10,"Sim",IF(Rel_2026[[#This Row],[Pontuação]]&gt;=5,"Próximo","Não")))</f>
        <v>Sim</v>
      </c>
      <c r="B522" t="str">
        <f>IF(Rel_2026[[#This Row],[Zero]]=0,"Zero",IF(Rel_2026[[#This Row],[Pontuação2]]&gt;=10,"Sim",IF(Rel_2026[[#This Row],[Pontuação2]]&gt;=5,"Próximo","Não")))</f>
        <v>Sim</v>
      </c>
      <c r="C522" t="str">
        <f>IFERROR(VLOOKUP(Rel_2026[[#This Row],[chave_loja]],Responsavel!A:B,2,FALSE),"EUCLIDES")</f>
        <v>CÉLIO</v>
      </c>
      <c r="D522" t="str">
        <f>LEFT(Rel_2026[[#This Row],[ag_pacb]],4)</f>
        <v>0645</v>
      </c>
      <c r="E522">
        <v>179100</v>
      </c>
      <c r="F522" t="s">
        <v>996</v>
      </c>
      <c r="G522" t="s">
        <v>997</v>
      </c>
      <c r="H522" s="1">
        <v>44330</v>
      </c>
      <c r="I522" t="s">
        <v>23</v>
      </c>
      <c r="J522" t="s">
        <v>24</v>
      </c>
      <c r="K522" s="1">
        <v>43720</v>
      </c>
      <c r="L522" s="1">
        <v>45589</v>
      </c>
      <c r="M522" t="s">
        <v>32</v>
      </c>
      <c r="N522" s="1">
        <v>46254</v>
      </c>
      <c r="O522">
        <v>1912</v>
      </c>
      <c r="P522">
        <v>16</v>
      </c>
      <c r="Q522">
        <v>16</v>
      </c>
      <c r="R522">
        <v>16</v>
      </c>
      <c r="S522">
        <v>4</v>
      </c>
      <c r="T522">
        <v>1883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4</v>
      </c>
      <c r="AC522">
        <v>0</v>
      </c>
      <c r="AD522">
        <v>0</v>
      </c>
      <c r="AE522">
        <v>0</v>
      </c>
      <c r="AF522">
        <v>15</v>
      </c>
      <c r="AG522">
        <v>0</v>
      </c>
      <c r="AH522" t="s">
        <v>38</v>
      </c>
      <c r="AI522" t="s">
        <v>27</v>
      </c>
      <c r="AJ522" s="1"/>
      <c r="AK522" t="s">
        <v>28</v>
      </c>
      <c r="AL52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131</v>
      </c>
      <c r="AM522">
        <f>SUM(Rel_2026[[#This Row],[qtd_TrxContabil]:[VLR_EXP_SORTE]])</f>
        <v>3866</v>
      </c>
      <c r="AN52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179</v>
      </c>
    </row>
    <row r="523" spans="1:40" x14ac:dyDescent="0.3">
      <c r="A523" t="str">
        <f>IF(Rel_2026[[#This Row],[Zero]]=0,"Zero",IF(Rel_2026[[#This Row],[Pontuação]]&gt;=10,"Sim",IF(Rel_2026[[#This Row],[Pontuação]]&gt;=5,"Próximo","Não")))</f>
        <v>Não</v>
      </c>
      <c r="B523" t="str">
        <f>IF(Rel_2026[[#This Row],[Zero]]=0,"Zero",IF(Rel_2026[[#This Row],[Pontuação2]]&gt;=10,"Sim",IF(Rel_2026[[#This Row],[Pontuação2]]&gt;=5,"Próximo","Não")))</f>
        <v>Não</v>
      </c>
      <c r="C523" t="str">
        <f>IFERROR(VLOOKUP(Rel_2026[[#This Row],[chave_loja]],Responsavel!A:B,2,FALSE),"EUCLIDES")</f>
        <v>JUNIOR</v>
      </c>
      <c r="D523" t="str">
        <f>LEFT(Rel_2026[[#This Row],[ag_pacb]],4)</f>
        <v>1351</v>
      </c>
      <c r="E523">
        <v>238765</v>
      </c>
      <c r="F523" t="s">
        <v>451</v>
      </c>
      <c r="G523" t="s">
        <v>452</v>
      </c>
      <c r="H523" s="1">
        <v>45986</v>
      </c>
      <c r="I523" t="s">
        <v>23</v>
      </c>
      <c r="J523" t="s">
        <v>239</v>
      </c>
      <c r="K523" s="1">
        <v>45306</v>
      </c>
      <c r="L523" s="1">
        <v>44810</v>
      </c>
      <c r="M523" t="s">
        <v>32</v>
      </c>
      <c r="N523" s="1">
        <v>46254</v>
      </c>
      <c r="O523">
        <v>750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 t="s">
        <v>38</v>
      </c>
      <c r="AI523" t="s">
        <v>27</v>
      </c>
      <c r="AJ523" s="1"/>
      <c r="AK523" t="s">
        <v>28</v>
      </c>
      <c r="AL52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23">
        <f>SUM(Rel_2026[[#This Row],[qtd_TrxContabil]:[VLR_EXP_SORTE]])</f>
        <v>750</v>
      </c>
      <c r="AN52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24" spans="1:40" x14ac:dyDescent="0.3">
      <c r="A524" t="str">
        <f>IF(Rel_2026[[#This Row],[Zero]]=0,"Zero",IF(Rel_2026[[#This Row],[Pontuação]]&gt;=10,"Sim",IF(Rel_2026[[#This Row],[Pontuação]]&gt;=5,"Próximo","Não")))</f>
        <v>Não</v>
      </c>
      <c r="B524" t="str">
        <f>IF(Rel_2026[[#This Row],[Zero]]=0,"Zero",IF(Rel_2026[[#This Row],[Pontuação2]]&gt;=10,"Sim",IF(Rel_2026[[#This Row],[Pontuação2]]&gt;=5,"Próximo","Não")))</f>
        <v>Não</v>
      </c>
      <c r="C524" t="str">
        <f>IFERROR(VLOOKUP(Rel_2026[[#This Row],[chave_loja]],Responsavel!A:B,2,FALSE),"EUCLIDES")</f>
        <v>JUNIOR</v>
      </c>
      <c r="D524" t="str">
        <f>LEFT(Rel_2026[[#This Row],[ag_pacb]],4)</f>
        <v>0684</v>
      </c>
      <c r="E524">
        <v>405507</v>
      </c>
      <c r="F524" t="s">
        <v>131</v>
      </c>
      <c r="G524" t="s">
        <v>132</v>
      </c>
      <c r="H524" s="1">
        <v>45782</v>
      </c>
      <c r="I524" t="s">
        <v>23</v>
      </c>
      <c r="J524" t="s">
        <v>133</v>
      </c>
      <c r="K524" s="1">
        <v>45520</v>
      </c>
      <c r="L524" s="1">
        <v>45551</v>
      </c>
      <c r="M524" t="s">
        <v>32</v>
      </c>
      <c r="N524" s="1">
        <v>46254</v>
      </c>
      <c r="O524">
        <v>68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 t="s">
        <v>26</v>
      </c>
      <c r="AI524" t="s">
        <v>27</v>
      </c>
      <c r="AJ524" s="1"/>
      <c r="AK524" t="s">
        <v>28</v>
      </c>
      <c r="AL52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24">
        <f>SUM(Rel_2026[[#This Row],[qtd_TrxContabil]:[VLR_EXP_SORTE]])</f>
        <v>68</v>
      </c>
      <c r="AN52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25" spans="1:40" x14ac:dyDescent="0.3">
      <c r="A525" t="str">
        <f>IF(Rel_2026[[#This Row],[Zero]]=0,"Zero",IF(Rel_2026[[#This Row],[Pontuação]]&gt;=10,"Sim",IF(Rel_2026[[#This Row],[Pontuação]]&gt;=5,"Próximo","Não")))</f>
        <v>Zero</v>
      </c>
      <c r="B525" t="str">
        <f>IF(Rel_2026[[#This Row],[Zero]]=0,"Zero",IF(Rel_2026[[#This Row],[Pontuação2]]&gt;=10,"Sim",IF(Rel_2026[[#This Row],[Pontuação2]]&gt;=5,"Próximo","Não")))</f>
        <v>Zero</v>
      </c>
      <c r="C525" t="str">
        <f>IFERROR(VLOOKUP(Rel_2026[[#This Row],[chave_loja]],Responsavel!A:B,2,FALSE),"EUCLIDES")</f>
        <v>WASTHSON</v>
      </c>
      <c r="D525" t="str">
        <f>LEFT(Rel_2026[[#This Row],[ag_pacb]],4)</f>
        <v>5415</v>
      </c>
      <c r="E525">
        <v>412566</v>
      </c>
      <c r="F525" t="s">
        <v>703</v>
      </c>
      <c r="G525" t="s">
        <v>704</v>
      </c>
      <c r="H525" s="1">
        <v>45798</v>
      </c>
      <c r="I525" t="s">
        <v>23</v>
      </c>
      <c r="J525" t="s">
        <v>576</v>
      </c>
      <c r="K525" s="1">
        <v>45790</v>
      </c>
      <c r="L525" s="1">
        <v>45818</v>
      </c>
      <c r="M525" t="s">
        <v>32</v>
      </c>
      <c r="N525" s="1">
        <v>45996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 t="s">
        <v>26</v>
      </c>
      <c r="AI525" t="s">
        <v>56</v>
      </c>
      <c r="AJ525" s="1">
        <v>46083</v>
      </c>
      <c r="AK525" t="s">
        <v>28</v>
      </c>
      <c r="AL52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25">
        <f>SUM(Rel_2026[[#This Row],[qtd_TrxContabil]:[VLR_EXP_SORTE]])</f>
        <v>0</v>
      </c>
      <c r="AN52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26" spans="1:40" x14ac:dyDescent="0.3">
      <c r="A526" t="str">
        <f>IF(Rel_2026[[#This Row],[Zero]]=0,"Zero",IF(Rel_2026[[#This Row],[Pontuação]]&gt;=10,"Sim",IF(Rel_2026[[#This Row],[Pontuação]]&gt;=5,"Próximo","Não")))</f>
        <v>Sim</v>
      </c>
      <c r="B526" t="str">
        <f>IF(Rel_2026[[#This Row],[Zero]]=0,"Zero",IF(Rel_2026[[#This Row],[Pontuação2]]&gt;=10,"Sim",IF(Rel_2026[[#This Row],[Pontuação2]]&gt;=5,"Próximo","Não")))</f>
        <v>Sim</v>
      </c>
      <c r="C526" t="str">
        <f>IFERROR(VLOOKUP(Rel_2026[[#This Row],[chave_loja]],Responsavel!A:B,2,FALSE),"EUCLIDES")</f>
        <v>JUNIOR</v>
      </c>
      <c r="D526" t="str">
        <f>LEFT(Rel_2026[[#This Row],[ag_pacb]],4)</f>
        <v>5367</v>
      </c>
      <c r="E526">
        <v>85572</v>
      </c>
      <c r="F526" t="s">
        <v>332</v>
      </c>
      <c r="G526" t="s">
        <v>333</v>
      </c>
      <c r="H526" s="1">
        <v>45180</v>
      </c>
      <c r="I526" t="s">
        <v>23</v>
      </c>
      <c r="J526" t="s">
        <v>96</v>
      </c>
      <c r="K526" s="1">
        <v>42111</v>
      </c>
      <c r="L526" s="1">
        <v>46027</v>
      </c>
      <c r="M526" t="s">
        <v>32</v>
      </c>
      <c r="N526" s="1">
        <v>46254</v>
      </c>
      <c r="O526">
        <v>1222</v>
      </c>
      <c r="P526">
        <v>10</v>
      </c>
      <c r="Q526">
        <v>1</v>
      </c>
      <c r="R526">
        <v>6</v>
      </c>
      <c r="S526">
        <v>0</v>
      </c>
      <c r="T526">
        <v>7219</v>
      </c>
      <c r="U526">
        <v>20334</v>
      </c>
      <c r="V526">
        <v>20334</v>
      </c>
      <c r="W526">
        <v>0</v>
      </c>
      <c r="X526">
        <v>0</v>
      </c>
      <c r="Y526">
        <v>5377</v>
      </c>
      <c r="Z526">
        <v>0</v>
      </c>
      <c r="AA526">
        <v>8</v>
      </c>
      <c r="AB526">
        <v>0</v>
      </c>
      <c r="AC526">
        <v>1</v>
      </c>
      <c r="AD526">
        <v>0</v>
      </c>
      <c r="AE526">
        <v>3</v>
      </c>
      <c r="AF526">
        <v>6</v>
      </c>
      <c r="AG526">
        <v>0</v>
      </c>
      <c r="AH526" t="s">
        <v>38</v>
      </c>
      <c r="AI526" t="s">
        <v>27</v>
      </c>
      <c r="AJ526" s="1"/>
      <c r="AK526" t="s">
        <v>28</v>
      </c>
      <c r="AL52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149</v>
      </c>
      <c r="AM526">
        <f>SUM(Rel_2026[[#This Row],[qtd_TrxContabil]:[VLR_EXP_SORTE]])</f>
        <v>54521</v>
      </c>
      <c r="AN52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167</v>
      </c>
    </row>
    <row r="527" spans="1:40" x14ac:dyDescent="0.3">
      <c r="A527" t="str">
        <f>IF(Rel_2026[[#This Row],[Zero]]=0,"Zero",IF(Rel_2026[[#This Row],[Pontuação]]&gt;=10,"Sim",IF(Rel_2026[[#This Row],[Pontuação]]&gt;=5,"Próximo","Não")))</f>
        <v>Sim</v>
      </c>
      <c r="B527" t="str">
        <f>IF(Rel_2026[[#This Row],[Zero]]=0,"Zero",IF(Rel_2026[[#This Row],[Pontuação2]]&gt;=10,"Sim",IF(Rel_2026[[#This Row],[Pontuação2]]&gt;=5,"Próximo","Não")))</f>
        <v>Sim</v>
      </c>
      <c r="C527" t="str">
        <f>IFERROR(VLOOKUP(Rel_2026[[#This Row],[chave_loja]],Responsavel!A:B,2,FALSE),"EUCLIDES")</f>
        <v>PAULO</v>
      </c>
      <c r="D527" t="str">
        <f>LEFT(Rel_2026[[#This Row],[ag_pacb]],4)</f>
        <v>0937</v>
      </c>
      <c r="E527">
        <v>185729</v>
      </c>
      <c r="F527" t="s">
        <v>1142</v>
      </c>
      <c r="G527" t="s">
        <v>1143</v>
      </c>
      <c r="H527" s="1">
        <v>45210</v>
      </c>
      <c r="I527" t="s">
        <v>107</v>
      </c>
      <c r="J527" t="s">
        <v>1141</v>
      </c>
      <c r="K527" s="1">
        <v>45306</v>
      </c>
      <c r="L527" s="1">
        <v>46121</v>
      </c>
      <c r="M527" t="s">
        <v>109</v>
      </c>
      <c r="N527" s="1">
        <v>46254</v>
      </c>
      <c r="O527">
        <v>407</v>
      </c>
      <c r="P527">
        <v>7</v>
      </c>
      <c r="Q527">
        <v>5</v>
      </c>
      <c r="R527">
        <v>7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7</v>
      </c>
      <c r="AG527">
        <v>0</v>
      </c>
      <c r="AH527" t="s">
        <v>26</v>
      </c>
      <c r="AI527" t="s">
        <v>27</v>
      </c>
      <c r="AJ527" s="1"/>
      <c r="AK527" t="s">
        <v>28</v>
      </c>
      <c r="AL52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41</v>
      </c>
      <c r="AM527">
        <f>SUM(Rel_2026[[#This Row],[qtd_TrxContabil]:[VLR_EXP_SORTE]])</f>
        <v>433</v>
      </c>
      <c r="AN52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62</v>
      </c>
    </row>
    <row r="528" spans="1:40" x14ac:dyDescent="0.3">
      <c r="A528" t="str">
        <f>IF(Rel_2026[[#This Row],[Zero]]=0,"Zero",IF(Rel_2026[[#This Row],[Pontuação]]&gt;=10,"Sim",IF(Rel_2026[[#This Row],[Pontuação]]&gt;=5,"Próximo","Não")))</f>
        <v>Sim</v>
      </c>
      <c r="B528" t="str">
        <f>IF(Rel_2026[[#This Row],[Zero]]=0,"Zero",IF(Rel_2026[[#This Row],[Pontuação2]]&gt;=10,"Sim",IF(Rel_2026[[#This Row],[Pontuação2]]&gt;=5,"Próximo","Não")))</f>
        <v>Sim</v>
      </c>
      <c r="C528" t="str">
        <f>IFERROR(VLOOKUP(Rel_2026[[#This Row],[chave_loja]],Responsavel!A:B,2,FALSE),"EUCLIDES")</f>
        <v>CÉLIO</v>
      </c>
      <c r="D528" t="str">
        <f>LEFT(Rel_2026[[#This Row],[ag_pacb]],4)</f>
        <v>1379</v>
      </c>
      <c r="E528">
        <v>406725</v>
      </c>
      <c r="F528" t="s">
        <v>1301</v>
      </c>
      <c r="G528" t="s">
        <v>1302</v>
      </c>
      <c r="H528" s="1">
        <v>45574</v>
      </c>
      <c r="I528" t="s">
        <v>23</v>
      </c>
      <c r="J528" t="s">
        <v>24</v>
      </c>
      <c r="K528" s="1">
        <v>45567</v>
      </c>
      <c r="L528" s="1">
        <v>45602</v>
      </c>
      <c r="M528" t="s">
        <v>32</v>
      </c>
      <c r="N528" s="1">
        <v>46253</v>
      </c>
      <c r="O528">
        <v>8</v>
      </c>
      <c r="P528">
        <v>43</v>
      </c>
      <c r="Q528">
        <v>7</v>
      </c>
      <c r="R528">
        <v>17</v>
      </c>
      <c r="S528">
        <v>10</v>
      </c>
      <c r="T528">
        <v>0</v>
      </c>
      <c r="U528">
        <v>4960</v>
      </c>
      <c r="V528">
        <v>4960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 t="s">
        <v>26</v>
      </c>
      <c r="AI528" t="s">
        <v>27</v>
      </c>
      <c r="AJ528" s="1"/>
      <c r="AK528" t="s">
        <v>28</v>
      </c>
      <c r="AL52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162</v>
      </c>
      <c r="AM528">
        <f>SUM(Rel_2026[[#This Row],[qtd_TrxContabil]:[VLR_EXP_SORTE]])</f>
        <v>10005</v>
      </c>
      <c r="AN52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213</v>
      </c>
    </row>
    <row r="529" spans="1:40" x14ac:dyDescent="0.3">
      <c r="A529" t="str">
        <f>IF(Rel_2026[[#This Row],[Zero]]=0,"Zero",IF(Rel_2026[[#This Row],[Pontuação]]&gt;=10,"Sim",IF(Rel_2026[[#This Row],[Pontuação]]&gt;=5,"Próximo","Não")))</f>
        <v>Zero</v>
      </c>
      <c r="B529" t="str">
        <f>IF(Rel_2026[[#This Row],[Zero]]=0,"Zero",IF(Rel_2026[[#This Row],[Pontuação2]]&gt;=10,"Sim",IF(Rel_2026[[#This Row],[Pontuação2]]&gt;=5,"Próximo","Não")))</f>
        <v>Zero</v>
      </c>
      <c r="C529" t="str">
        <f>IFERROR(VLOOKUP(Rel_2026[[#This Row],[chave_loja]],Responsavel!A:B,2,FALSE),"EUCLIDES")</f>
        <v>CÉLIO</v>
      </c>
      <c r="D529" t="str">
        <f>LEFT(Rel_2026[[#This Row],[ag_pacb]],4)</f>
        <v>0649</v>
      </c>
      <c r="E529">
        <v>417506</v>
      </c>
      <c r="F529" t="s">
        <v>690</v>
      </c>
      <c r="G529" t="s">
        <v>689</v>
      </c>
      <c r="H529" s="1">
        <v>45924</v>
      </c>
      <c r="I529" t="s">
        <v>23</v>
      </c>
      <c r="J529" t="s">
        <v>24</v>
      </c>
      <c r="K529" s="1">
        <v>45910</v>
      </c>
      <c r="L529" s="1"/>
      <c r="M529" t="s">
        <v>32</v>
      </c>
      <c r="N529" s="1">
        <v>46007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 t="s">
        <v>26</v>
      </c>
      <c r="AI529" t="s">
        <v>56</v>
      </c>
      <c r="AJ529" s="1">
        <v>46083</v>
      </c>
      <c r="AK529" t="s">
        <v>28</v>
      </c>
      <c r="AL52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29">
        <f>SUM(Rel_2026[[#This Row],[qtd_TrxContabil]:[VLR_EXP_SORTE]])</f>
        <v>0</v>
      </c>
      <c r="AN52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30" spans="1:40" x14ac:dyDescent="0.3">
      <c r="A530" t="str">
        <f>IF(Rel_2026[[#This Row],[Zero]]=0,"Zero",IF(Rel_2026[[#This Row],[Pontuação]]&gt;=10,"Sim",IF(Rel_2026[[#This Row],[Pontuação]]&gt;=5,"Próximo","Não")))</f>
        <v>Próximo</v>
      </c>
      <c r="B530" t="str">
        <f>IF(Rel_2026[[#This Row],[Zero]]=0,"Zero",IF(Rel_2026[[#This Row],[Pontuação2]]&gt;=10,"Sim",IF(Rel_2026[[#This Row],[Pontuação2]]&gt;=5,"Próximo","Não")))</f>
        <v>Sim</v>
      </c>
      <c r="C530" t="str">
        <f>IFERROR(VLOOKUP(Rel_2026[[#This Row],[chave_loja]],Responsavel!A:B,2,FALSE),"EUCLIDES")</f>
        <v>JUNIOR</v>
      </c>
      <c r="D530" t="str">
        <f>LEFT(Rel_2026[[#This Row],[ag_pacb]],4)</f>
        <v>1351</v>
      </c>
      <c r="E530">
        <v>424394</v>
      </c>
      <c r="F530" t="s">
        <v>1417</v>
      </c>
      <c r="G530" t="s">
        <v>1418</v>
      </c>
      <c r="H530" s="1">
        <v>46237</v>
      </c>
      <c r="I530" t="s">
        <v>23</v>
      </c>
      <c r="J530" t="s">
        <v>1188</v>
      </c>
      <c r="K530" s="1">
        <v>46165</v>
      </c>
      <c r="L530" s="1"/>
      <c r="M530" t="s">
        <v>32</v>
      </c>
      <c r="N530" s="1">
        <v>46254</v>
      </c>
      <c r="O530">
        <v>55</v>
      </c>
      <c r="P530">
        <v>1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0</v>
      </c>
      <c r="AH530" t="s">
        <v>26</v>
      </c>
      <c r="AI530" t="s">
        <v>27</v>
      </c>
      <c r="AJ530" s="1"/>
      <c r="AK530" t="s">
        <v>28</v>
      </c>
      <c r="AL53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530">
        <f>SUM(Rel_2026[[#This Row],[qtd_TrxContabil]:[VLR_EXP_SORTE]])</f>
        <v>59</v>
      </c>
      <c r="AN53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531" spans="1:40" x14ac:dyDescent="0.3">
      <c r="A531" t="str">
        <f>IF(Rel_2026[[#This Row],[Zero]]=0,"Zero",IF(Rel_2026[[#This Row],[Pontuação]]&gt;=10,"Sim",IF(Rel_2026[[#This Row],[Pontuação]]&gt;=5,"Próximo","Não")))</f>
        <v>Não</v>
      </c>
      <c r="B531" t="str">
        <f>IF(Rel_2026[[#This Row],[Zero]]=0,"Zero",IF(Rel_2026[[#This Row],[Pontuação2]]&gt;=10,"Sim",IF(Rel_2026[[#This Row],[Pontuação2]]&gt;=5,"Próximo","Não")))</f>
        <v>Não</v>
      </c>
      <c r="C531" t="str">
        <f>IFERROR(VLOOKUP(Rel_2026[[#This Row],[chave_loja]],Responsavel!A:B,2,FALSE),"EUCLIDES")</f>
        <v>ISMAEL</v>
      </c>
      <c r="D531" t="str">
        <f>LEFT(Rel_2026[[#This Row],[ag_pacb]],4)</f>
        <v>1302</v>
      </c>
      <c r="E531">
        <v>230050</v>
      </c>
      <c r="F531" t="s">
        <v>1423</v>
      </c>
      <c r="G531" t="s">
        <v>1424</v>
      </c>
      <c r="H531" s="1">
        <v>44623</v>
      </c>
      <c r="I531" t="s">
        <v>23</v>
      </c>
      <c r="J531" t="s">
        <v>71</v>
      </c>
      <c r="K531" s="1">
        <v>45306</v>
      </c>
      <c r="L531" s="1">
        <v>44641</v>
      </c>
      <c r="M531" t="s">
        <v>32</v>
      </c>
      <c r="N531" s="1">
        <v>46254</v>
      </c>
      <c r="O531">
        <v>36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 t="s">
        <v>26</v>
      </c>
      <c r="AI531" t="s">
        <v>27</v>
      </c>
      <c r="AJ531" s="1"/>
      <c r="AK531" t="s">
        <v>28</v>
      </c>
      <c r="AL53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31">
        <f>SUM(Rel_2026[[#This Row],[qtd_TrxContabil]:[VLR_EXP_SORTE]])</f>
        <v>36</v>
      </c>
      <c r="AN53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32" spans="1:40" x14ac:dyDescent="0.3">
      <c r="A532" t="str">
        <f>IF(Rel_2026[[#This Row],[Zero]]=0,"Zero",IF(Rel_2026[[#This Row],[Pontuação]]&gt;=10,"Sim",IF(Rel_2026[[#This Row],[Pontuação]]&gt;=5,"Próximo","Não")))</f>
        <v>Sim</v>
      </c>
      <c r="B532" t="str">
        <f>IF(Rel_2026[[#This Row],[Zero]]=0,"Zero",IF(Rel_2026[[#This Row],[Pontuação2]]&gt;=10,"Sim",IF(Rel_2026[[#This Row],[Pontuação2]]&gt;=5,"Próximo","Não")))</f>
        <v>Sim</v>
      </c>
      <c r="C532" t="str">
        <f>IFERROR(VLOOKUP(Rel_2026[[#This Row],[chave_loja]],Responsavel!A:B,2,FALSE),"EUCLIDES")</f>
        <v>ISMAEL</v>
      </c>
      <c r="D532" t="str">
        <f>LEFT(Rel_2026[[#This Row],[ag_pacb]],4)</f>
        <v>1302</v>
      </c>
      <c r="E532">
        <v>204621</v>
      </c>
      <c r="F532" t="s">
        <v>281</v>
      </c>
      <c r="G532" t="s">
        <v>282</v>
      </c>
      <c r="H532" s="1">
        <v>44565</v>
      </c>
      <c r="I532" t="s">
        <v>23</v>
      </c>
      <c r="J532" t="s">
        <v>71</v>
      </c>
      <c r="K532" s="1">
        <v>45306</v>
      </c>
      <c r="L532" s="1">
        <v>46043</v>
      </c>
      <c r="M532" t="s">
        <v>32</v>
      </c>
      <c r="N532" s="1">
        <v>46254</v>
      </c>
      <c r="O532">
        <v>1493</v>
      </c>
      <c r="P532">
        <v>9</v>
      </c>
      <c r="Q532">
        <v>8</v>
      </c>
      <c r="R532">
        <v>9</v>
      </c>
      <c r="S532">
        <v>1</v>
      </c>
      <c r="T532">
        <v>2801</v>
      </c>
      <c r="U532">
        <v>37134</v>
      </c>
      <c r="V532">
        <v>37134</v>
      </c>
      <c r="W532">
        <v>0</v>
      </c>
      <c r="X532">
        <v>0</v>
      </c>
      <c r="Y532">
        <v>205</v>
      </c>
      <c r="Z532">
        <v>0</v>
      </c>
      <c r="AA532">
        <v>14</v>
      </c>
      <c r="AB532">
        <v>1</v>
      </c>
      <c r="AC532">
        <v>1</v>
      </c>
      <c r="AD532">
        <v>0</v>
      </c>
      <c r="AE532">
        <v>0</v>
      </c>
      <c r="AF532">
        <v>7</v>
      </c>
      <c r="AG532">
        <v>0</v>
      </c>
      <c r="AH532" t="s">
        <v>38</v>
      </c>
      <c r="AI532" t="s">
        <v>27</v>
      </c>
      <c r="AJ532" s="1"/>
      <c r="AK532" t="s">
        <v>28</v>
      </c>
      <c r="AL53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139</v>
      </c>
      <c r="AM532">
        <f>SUM(Rel_2026[[#This Row],[qtd_TrxContabil]:[VLR_EXP_SORTE]])</f>
        <v>78817</v>
      </c>
      <c r="AN53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166</v>
      </c>
    </row>
    <row r="533" spans="1:40" x14ac:dyDescent="0.3">
      <c r="A533" t="str">
        <f>IF(Rel_2026[[#This Row],[Zero]]=0,"Zero",IF(Rel_2026[[#This Row],[Pontuação]]&gt;=10,"Sim",IF(Rel_2026[[#This Row],[Pontuação]]&gt;=5,"Próximo","Não")))</f>
        <v>Zero</v>
      </c>
      <c r="B533" t="str">
        <f>IF(Rel_2026[[#This Row],[Zero]]=0,"Zero",IF(Rel_2026[[#This Row],[Pontuação2]]&gt;=10,"Sim",IF(Rel_2026[[#This Row],[Pontuação2]]&gt;=5,"Próximo","Não")))</f>
        <v>Zero</v>
      </c>
      <c r="C533" t="str">
        <f>IFERROR(VLOOKUP(Rel_2026[[#This Row],[chave_loja]],Responsavel!A:B,2,FALSE),"EUCLIDES")</f>
        <v>IVAN</v>
      </c>
      <c r="D533" t="str">
        <f>LEFT(Rel_2026[[#This Row],[ag_pacb]],4)</f>
        <v>0711</v>
      </c>
      <c r="E533">
        <v>415772</v>
      </c>
      <c r="F533" t="s">
        <v>682</v>
      </c>
      <c r="G533" t="s">
        <v>681</v>
      </c>
      <c r="H533" s="1">
        <v>45897</v>
      </c>
      <c r="I533" t="s">
        <v>23</v>
      </c>
      <c r="J533" t="s">
        <v>41</v>
      </c>
      <c r="K533" s="1">
        <v>45882</v>
      </c>
      <c r="L533" s="1">
        <v>45953</v>
      </c>
      <c r="M533" t="s">
        <v>25</v>
      </c>
      <c r="N533" s="1">
        <v>46232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 t="s">
        <v>26</v>
      </c>
      <c r="AI533" t="s">
        <v>27</v>
      </c>
      <c r="AJ533" s="1"/>
      <c r="AK533" t="s">
        <v>28</v>
      </c>
      <c r="AL53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33">
        <f>SUM(Rel_2026[[#This Row],[qtd_TrxContabil]:[VLR_EXP_SORTE]])</f>
        <v>0</v>
      </c>
      <c r="AN53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34" spans="1:40" x14ac:dyDescent="0.3">
      <c r="A534" t="str">
        <f>IF(Rel_2026[[#This Row],[Zero]]=0,"Zero",IF(Rel_2026[[#This Row],[Pontuação]]&gt;=10,"Sim",IF(Rel_2026[[#This Row],[Pontuação]]&gt;=5,"Próximo","Não")))</f>
        <v>Sim</v>
      </c>
      <c r="B534" t="str">
        <f>IF(Rel_2026[[#This Row],[Zero]]=0,"Zero",IF(Rel_2026[[#This Row],[Pontuação2]]&gt;=10,"Sim",IF(Rel_2026[[#This Row],[Pontuação2]]&gt;=5,"Próximo","Não")))</f>
        <v>Sim</v>
      </c>
      <c r="C534" t="str">
        <f>IFERROR(VLOOKUP(Rel_2026[[#This Row],[chave_loja]],Responsavel!A:B,2,FALSE),"EUCLIDES")</f>
        <v>ALEX SIQUEIRA</v>
      </c>
      <c r="D534" t="str">
        <f>LEFT(Rel_2026[[#This Row],[ag_pacb]],4)</f>
        <v>0752</v>
      </c>
      <c r="E534">
        <v>133967</v>
      </c>
      <c r="F534" t="s">
        <v>707</v>
      </c>
      <c r="G534" t="s">
        <v>708</v>
      </c>
      <c r="H534" s="1">
        <v>44546</v>
      </c>
      <c r="I534" t="s">
        <v>23</v>
      </c>
      <c r="J534" t="s">
        <v>338</v>
      </c>
      <c r="K534" s="1">
        <v>43797</v>
      </c>
      <c r="L534" s="1">
        <v>46160</v>
      </c>
      <c r="M534" t="s">
        <v>109</v>
      </c>
      <c r="N534" s="1">
        <v>46254</v>
      </c>
      <c r="O534">
        <v>273</v>
      </c>
      <c r="P534">
        <v>2</v>
      </c>
      <c r="Q534">
        <v>2</v>
      </c>
      <c r="R534">
        <v>2</v>
      </c>
      <c r="S534">
        <v>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 t="s">
        <v>26</v>
      </c>
      <c r="AI534" t="s">
        <v>27</v>
      </c>
      <c r="AJ534" s="1"/>
      <c r="AK534" t="s">
        <v>28</v>
      </c>
      <c r="AL53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534">
        <f>SUM(Rel_2026[[#This Row],[qtd_TrxContabil]:[VLR_EXP_SORTE]])</f>
        <v>281</v>
      </c>
      <c r="AN53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535" spans="1:40" x14ac:dyDescent="0.3">
      <c r="A535" t="str">
        <f>IF(Rel_2026[[#This Row],[Zero]]=0,"Zero",IF(Rel_2026[[#This Row],[Pontuação]]&gt;=10,"Sim",IF(Rel_2026[[#This Row],[Pontuação]]&gt;=5,"Próximo","Não")))</f>
        <v>Não</v>
      </c>
      <c r="B535" t="str">
        <f>IF(Rel_2026[[#This Row],[Zero]]=0,"Zero",IF(Rel_2026[[#This Row],[Pontuação2]]&gt;=10,"Sim",IF(Rel_2026[[#This Row],[Pontuação2]]&gt;=5,"Próximo","Não")))</f>
        <v>Não</v>
      </c>
      <c r="C535" t="str">
        <f>IFERROR(VLOOKUP(Rel_2026[[#This Row],[chave_loja]],Responsavel!A:B,2,FALSE),"EUCLIDES")</f>
        <v>IVAN</v>
      </c>
      <c r="D535" t="str">
        <f>LEFT(Rel_2026[[#This Row],[ag_pacb]],4)</f>
        <v>5449</v>
      </c>
      <c r="E535">
        <v>412103</v>
      </c>
      <c r="F535" t="s">
        <v>1078</v>
      </c>
      <c r="G535" t="s">
        <v>410</v>
      </c>
      <c r="H535" s="1">
        <v>45804</v>
      </c>
      <c r="I535" t="s">
        <v>23</v>
      </c>
      <c r="J535" t="s">
        <v>88</v>
      </c>
      <c r="K535" s="1">
        <v>45780</v>
      </c>
      <c r="L535" s="1">
        <v>45820</v>
      </c>
      <c r="M535" t="s">
        <v>25</v>
      </c>
      <c r="N535" s="1">
        <v>46254</v>
      </c>
      <c r="O535">
        <v>146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 t="s">
        <v>26</v>
      </c>
      <c r="AI535" t="s">
        <v>27</v>
      </c>
      <c r="AJ535" s="1"/>
      <c r="AK535" t="s">
        <v>28</v>
      </c>
      <c r="AL53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35">
        <f>SUM(Rel_2026[[#This Row],[qtd_TrxContabil]:[VLR_EXP_SORTE]])</f>
        <v>146</v>
      </c>
      <c r="AN53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36" spans="1:40" x14ac:dyDescent="0.3">
      <c r="A536" t="str">
        <f>IF(Rel_2026[[#This Row],[Zero]]=0,"Zero",IF(Rel_2026[[#This Row],[Pontuação]]&gt;=10,"Sim",IF(Rel_2026[[#This Row],[Pontuação]]&gt;=5,"Próximo","Não")))</f>
        <v>Não</v>
      </c>
      <c r="B536" t="str">
        <f>IF(Rel_2026[[#This Row],[Zero]]=0,"Zero",IF(Rel_2026[[#This Row],[Pontuação2]]&gt;=10,"Sim",IF(Rel_2026[[#This Row],[Pontuação2]]&gt;=5,"Próximo","Não")))</f>
        <v>Não</v>
      </c>
      <c r="C536" t="str">
        <f>IFERROR(VLOOKUP(Rel_2026[[#This Row],[chave_loja]],Responsavel!A:B,2,FALSE),"EUCLIDES")</f>
        <v>ROSSY</v>
      </c>
      <c r="D536" t="str">
        <f>LEFT(Rel_2026[[#This Row],[ag_pacb]],4)</f>
        <v>3848</v>
      </c>
      <c r="E536">
        <v>231563</v>
      </c>
      <c r="F536" t="s">
        <v>932</v>
      </c>
      <c r="G536" t="s">
        <v>1227</v>
      </c>
      <c r="H536" s="1">
        <v>44719</v>
      </c>
      <c r="I536" t="s">
        <v>107</v>
      </c>
      <c r="J536" t="s">
        <v>919</v>
      </c>
      <c r="K536" s="1">
        <v>45306</v>
      </c>
      <c r="L536" s="1">
        <v>46231</v>
      </c>
      <c r="M536" t="s">
        <v>109</v>
      </c>
      <c r="N536" s="1">
        <v>46254</v>
      </c>
      <c r="O536">
        <v>191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 t="s">
        <v>26</v>
      </c>
      <c r="AI536" t="s">
        <v>27</v>
      </c>
      <c r="AJ536" s="1"/>
      <c r="AK536" t="s">
        <v>28</v>
      </c>
      <c r="AL53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36">
        <f>SUM(Rel_2026[[#This Row],[qtd_TrxContabil]:[VLR_EXP_SORTE]])</f>
        <v>191</v>
      </c>
      <c r="AN53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37" spans="1:40" x14ac:dyDescent="0.3">
      <c r="A537" t="str">
        <f>IF(Rel_2026[[#This Row],[Zero]]=0,"Zero",IF(Rel_2026[[#This Row],[Pontuação]]&gt;=10,"Sim",IF(Rel_2026[[#This Row],[Pontuação]]&gt;=5,"Próximo","Não")))</f>
        <v>Zero</v>
      </c>
      <c r="B537" t="str">
        <f>IF(Rel_2026[[#This Row],[Zero]]=0,"Zero",IF(Rel_2026[[#This Row],[Pontuação2]]&gt;=10,"Sim",IF(Rel_2026[[#This Row],[Pontuação2]]&gt;=5,"Próximo","Não")))</f>
        <v>Zero</v>
      </c>
      <c r="C537" t="str">
        <f>IFERROR(VLOOKUP(Rel_2026[[#This Row],[chave_loja]],Responsavel!A:B,2,FALSE),"EUCLIDES")</f>
        <v>CÉLIO</v>
      </c>
      <c r="D537" t="str">
        <f>LEFT(Rel_2026[[#This Row],[ag_pacb]],4)</f>
        <v>1579</v>
      </c>
      <c r="E537">
        <v>415523</v>
      </c>
      <c r="F537" t="s">
        <v>1101</v>
      </c>
      <c r="G537" t="s">
        <v>1102</v>
      </c>
      <c r="H537" s="1">
        <v>45884</v>
      </c>
      <c r="I537" t="s">
        <v>23</v>
      </c>
      <c r="J537" t="s">
        <v>801</v>
      </c>
      <c r="K537" s="1">
        <v>45873</v>
      </c>
      <c r="L537" s="1">
        <v>45904</v>
      </c>
      <c r="M537" t="s">
        <v>32</v>
      </c>
      <c r="N537" s="1">
        <v>46004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 t="s">
        <v>26</v>
      </c>
      <c r="AI537" t="s">
        <v>56</v>
      </c>
      <c r="AJ537" s="1">
        <v>46083</v>
      </c>
      <c r="AK537" t="s">
        <v>28</v>
      </c>
      <c r="AL53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37">
        <f>SUM(Rel_2026[[#This Row],[qtd_TrxContabil]:[VLR_EXP_SORTE]])</f>
        <v>0</v>
      </c>
      <c r="AN53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38" spans="1:40" x14ac:dyDescent="0.3">
      <c r="A538" t="str">
        <f>IF(Rel_2026[[#This Row],[Zero]]=0,"Zero",IF(Rel_2026[[#This Row],[Pontuação]]&gt;=10,"Sim",IF(Rel_2026[[#This Row],[Pontuação]]&gt;=5,"Próximo","Não")))</f>
        <v>Sim</v>
      </c>
      <c r="B538" t="str">
        <f>IF(Rel_2026[[#This Row],[Zero]]=0,"Zero",IF(Rel_2026[[#This Row],[Pontuação2]]&gt;=10,"Sim",IF(Rel_2026[[#This Row],[Pontuação2]]&gt;=5,"Próximo","Não")))</f>
        <v>Sim</v>
      </c>
      <c r="C538" t="str">
        <f>IFERROR(VLOOKUP(Rel_2026[[#This Row],[chave_loja]],Responsavel!A:B,2,FALSE),"EUCLIDES")</f>
        <v>CÉLIO</v>
      </c>
      <c r="D538" t="str">
        <f>LEFT(Rel_2026[[#This Row],[ag_pacb]],4)</f>
        <v>0625</v>
      </c>
      <c r="E538">
        <v>423508</v>
      </c>
      <c r="F538" t="s">
        <v>1213</v>
      </c>
      <c r="G538" t="s">
        <v>1214</v>
      </c>
      <c r="H538" s="1">
        <v>46129</v>
      </c>
      <c r="I538" t="s">
        <v>23</v>
      </c>
      <c r="J538" t="s">
        <v>24</v>
      </c>
      <c r="K538" s="1">
        <v>46122</v>
      </c>
      <c r="L538" s="1">
        <v>46149</v>
      </c>
      <c r="M538" t="s">
        <v>32</v>
      </c>
      <c r="N538" s="1">
        <v>46254</v>
      </c>
      <c r="O538">
        <v>0</v>
      </c>
      <c r="P538">
        <v>16</v>
      </c>
      <c r="Q538">
        <v>0</v>
      </c>
      <c r="R538">
        <v>16</v>
      </c>
      <c r="S538">
        <v>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6</v>
      </c>
      <c r="AC538">
        <v>0</v>
      </c>
      <c r="AD538">
        <v>0</v>
      </c>
      <c r="AE538">
        <v>0</v>
      </c>
      <c r="AF538">
        <v>15</v>
      </c>
      <c r="AG538">
        <v>0</v>
      </c>
      <c r="AH538" t="s">
        <v>26</v>
      </c>
      <c r="AI538" t="s">
        <v>27</v>
      </c>
      <c r="AJ538" s="1"/>
      <c r="AK538" t="s">
        <v>28</v>
      </c>
      <c r="AL53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48</v>
      </c>
      <c r="AM538">
        <f>SUM(Rel_2026[[#This Row],[qtd_TrxContabil]:[VLR_EXP_SORTE]])</f>
        <v>58</v>
      </c>
      <c r="AN53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96</v>
      </c>
    </row>
    <row r="539" spans="1:40" x14ac:dyDescent="0.3">
      <c r="A539" t="str">
        <f>IF(Rel_2026[[#This Row],[Zero]]=0,"Zero",IF(Rel_2026[[#This Row],[Pontuação]]&gt;=10,"Sim",IF(Rel_2026[[#This Row],[Pontuação]]&gt;=5,"Próximo","Não")))</f>
        <v>Não</v>
      </c>
      <c r="B539" t="str">
        <f>IF(Rel_2026[[#This Row],[Zero]]=0,"Zero",IF(Rel_2026[[#This Row],[Pontuação2]]&gt;=10,"Sim",IF(Rel_2026[[#This Row],[Pontuação2]]&gt;=5,"Próximo","Não")))</f>
        <v>Não</v>
      </c>
      <c r="C539" t="str">
        <f>IFERROR(VLOOKUP(Rel_2026[[#This Row],[chave_loja]],Responsavel!A:B,2,FALSE),"EUCLIDES")</f>
        <v>NYCOLLAS</v>
      </c>
      <c r="D539" t="str">
        <f>LEFT(Rel_2026[[#This Row],[ag_pacb]],4)</f>
        <v>0719</v>
      </c>
      <c r="E539">
        <v>400224</v>
      </c>
      <c r="F539" t="s">
        <v>339</v>
      </c>
      <c r="G539" t="s">
        <v>340</v>
      </c>
      <c r="H539" s="1">
        <v>45302</v>
      </c>
      <c r="I539" t="s">
        <v>23</v>
      </c>
      <c r="J539" t="s">
        <v>1215</v>
      </c>
      <c r="K539" s="1">
        <v>45306</v>
      </c>
      <c r="L539" s="1">
        <v>45420</v>
      </c>
      <c r="M539" t="s">
        <v>32</v>
      </c>
      <c r="N539" s="1">
        <v>46254</v>
      </c>
      <c r="O539">
        <v>234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 t="s">
        <v>38</v>
      </c>
      <c r="AI539" t="s">
        <v>27</v>
      </c>
      <c r="AJ539" s="1"/>
      <c r="AK539" t="s">
        <v>28</v>
      </c>
      <c r="AL53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39">
        <f>SUM(Rel_2026[[#This Row],[qtd_TrxContabil]:[VLR_EXP_SORTE]])</f>
        <v>234</v>
      </c>
      <c r="AN53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40" spans="1:40" x14ac:dyDescent="0.3">
      <c r="A540" t="str">
        <f>IF(Rel_2026[[#This Row],[Zero]]=0,"Zero",IF(Rel_2026[[#This Row],[Pontuação]]&gt;=10,"Sim",IF(Rel_2026[[#This Row],[Pontuação]]&gt;=5,"Próximo","Não")))</f>
        <v>Não</v>
      </c>
      <c r="B540" t="str">
        <f>IF(Rel_2026[[#This Row],[Zero]]=0,"Zero",IF(Rel_2026[[#This Row],[Pontuação2]]&gt;=10,"Sim",IF(Rel_2026[[#This Row],[Pontuação2]]&gt;=5,"Próximo","Não")))</f>
        <v>Não</v>
      </c>
      <c r="C540" t="str">
        <f>IFERROR(VLOOKUP(Rel_2026[[#This Row],[chave_loja]],Responsavel!A:B,2,FALSE),"EUCLIDES")</f>
        <v>GIL</v>
      </c>
      <c r="D540" t="str">
        <f>LEFT(Rel_2026[[#This Row],[ag_pacb]],4)</f>
        <v>0715</v>
      </c>
      <c r="E540">
        <v>223727</v>
      </c>
      <c r="F540" t="s">
        <v>231</v>
      </c>
      <c r="G540" t="s">
        <v>232</v>
      </c>
      <c r="H540" s="1">
        <v>46091</v>
      </c>
      <c r="I540" t="s">
        <v>23</v>
      </c>
      <c r="J540" t="s">
        <v>141</v>
      </c>
      <c r="K540" s="1">
        <v>44582</v>
      </c>
      <c r="L540" s="1">
        <v>46094</v>
      </c>
      <c r="M540" t="s">
        <v>32</v>
      </c>
      <c r="N540" s="1">
        <v>46254</v>
      </c>
      <c r="O540">
        <v>241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 t="s">
        <v>26</v>
      </c>
      <c r="AI540" t="s">
        <v>27</v>
      </c>
      <c r="AJ540" s="1"/>
      <c r="AK540" t="s">
        <v>28</v>
      </c>
      <c r="AL54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40">
        <f>SUM(Rel_2026[[#This Row],[qtd_TrxContabil]:[VLR_EXP_SORTE]])</f>
        <v>241</v>
      </c>
      <c r="AN54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41" spans="1:40" x14ac:dyDescent="0.3">
      <c r="A541" t="str">
        <f>IF(Rel_2026[[#This Row],[Zero]]=0,"Zero",IF(Rel_2026[[#This Row],[Pontuação]]&gt;=10,"Sim",IF(Rel_2026[[#This Row],[Pontuação]]&gt;=5,"Próximo","Não")))</f>
        <v>Próximo</v>
      </c>
      <c r="B541" t="str">
        <f>IF(Rel_2026[[#This Row],[Zero]]=0,"Zero",IF(Rel_2026[[#This Row],[Pontuação2]]&gt;=10,"Sim",IF(Rel_2026[[#This Row],[Pontuação2]]&gt;=5,"Próximo","Não")))</f>
        <v>Próximo</v>
      </c>
      <c r="C541" t="str">
        <f>IFERROR(VLOOKUP(Rel_2026[[#This Row],[chave_loja]],Responsavel!A:B,2,FALSE),"EUCLIDES")</f>
        <v>CÉLIO</v>
      </c>
      <c r="D541" t="str">
        <f>LEFT(Rel_2026[[#This Row],[ag_pacb]],4)</f>
        <v>2572</v>
      </c>
      <c r="E541">
        <v>407750</v>
      </c>
      <c r="F541" t="s">
        <v>220</v>
      </c>
      <c r="G541" t="s">
        <v>221</v>
      </c>
      <c r="H541" s="1">
        <v>45860</v>
      </c>
      <c r="I541" t="s">
        <v>23</v>
      </c>
      <c r="J541" t="s">
        <v>24</v>
      </c>
      <c r="K541" s="1">
        <v>45608</v>
      </c>
      <c r="L541" s="1">
        <v>45861</v>
      </c>
      <c r="M541" t="s">
        <v>25</v>
      </c>
      <c r="N541" s="1">
        <v>46254</v>
      </c>
      <c r="O541">
        <v>29</v>
      </c>
      <c r="P541">
        <v>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3</v>
      </c>
      <c r="AG541">
        <v>0</v>
      </c>
      <c r="AH541" t="s">
        <v>38</v>
      </c>
      <c r="AI541" t="s">
        <v>27</v>
      </c>
      <c r="AJ541" s="1"/>
      <c r="AK541" t="s">
        <v>28</v>
      </c>
      <c r="AL54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</v>
      </c>
      <c r="AM541">
        <f>SUM(Rel_2026[[#This Row],[qtd_TrxContabil]:[VLR_EXP_SORTE]])</f>
        <v>35</v>
      </c>
      <c r="AN54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</v>
      </c>
    </row>
    <row r="542" spans="1:40" x14ac:dyDescent="0.3">
      <c r="A542" t="str">
        <f>IF(Rel_2026[[#This Row],[Zero]]=0,"Zero",IF(Rel_2026[[#This Row],[Pontuação]]&gt;=10,"Sim",IF(Rel_2026[[#This Row],[Pontuação]]&gt;=5,"Próximo","Não")))</f>
        <v>Não</v>
      </c>
      <c r="B542" t="str">
        <f>IF(Rel_2026[[#This Row],[Zero]]=0,"Zero",IF(Rel_2026[[#This Row],[Pontuação2]]&gt;=10,"Sim",IF(Rel_2026[[#This Row],[Pontuação2]]&gt;=5,"Próximo","Não")))</f>
        <v>Não</v>
      </c>
      <c r="C542" t="str">
        <f>IFERROR(VLOOKUP(Rel_2026[[#This Row],[chave_loja]],Responsavel!A:B,2,FALSE),"EUCLIDES")</f>
        <v>ALEX SIQUEIRA</v>
      </c>
      <c r="D542" t="str">
        <f>LEFT(Rel_2026[[#This Row],[ag_pacb]],4)</f>
        <v>0726</v>
      </c>
      <c r="E542">
        <v>420262</v>
      </c>
      <c r="F542" t="s">
        <v>784</v>
      </c>
      <c r="G542" t="s">
        <v>1372</v>
      </c>
      <c r="H542" s="1">
        <v>46014</v>
      </c>
      <c r="I542" t="s">
        <v>23</v>
      </c>
      <c r="J542" t="s">
        <v>217</v>
      </c>
      <c r="K542" s="1">
        <v>46007</v>
      </c>
      <c r="L542" s="1">
        <v>46163</v>
      </c>
      <c r="M542" t="s">
        <v>109</v>
      </c>
      <c r="N542" s="1">
        <v>46254</v>
      </c>
      <c r="O542">
        <v>57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 t="s">
        <v>26</v>
      </c>
      <c r="AI542" t="s">
        <v>27</v>
      </c>
      <c r="AJ542" s="1"/>
      <c r="AK542" t="s">
        <v>28</v>
      </c>
      <c r="AL54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42">
        <f>SUM(Rel_2026[[#This Row],[qtd_TrxContabil]:[VLR_EXP_SORTE]])</f>
        <v>57</v>
      </c>
      <c r="AN54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43" spans="1:40" x14ac:dyDescent="0.3">
      <c r="A543" t="str">
        <f>IF(Rel_2026[[#This Row],[Zero]]=0,"Zero",IF(Rel_2026[[#This Row],[Pontuação]]&gt;=10,"Sim",IF(Rel_2026[[#This Row],[Pontuação]]&gt;=5,"Próximo","Não")))</f>
        <v>Próximo</v>
      </c>
      <c r="B543" t="str">
        <f>IF(Rel_2026[[#This Row],[Zero]]=0,"Zero",IF(Rel_2026[[#This Row],[Pontuação2]]&gt;=10,"Sim",IF(Rel_2026[[#This Row],[Pontuação2]]&gt;=5,"Próximo","Não")))</f>
        <v>Sim</v>
      </c>
      <c r="C543" t="str">
        <f>IFERROR(VLOOKUP(Rel_2026[[#This Row],[chave_loja]],Responsavel!A:B,2,FALSE),"EUCLIDES")</f>
        <v>ROSSY</v>
      </c>
      <c r="D543" t="str">
        <f>LEFT(Rel_2026[[#This Row],[ag_pacb]],4)</f>
        <v>5790</v>
      </c>
      <c r="E543">
        <v>159525</v>
      </c>
      <c r="F543" t="s">
        <v>898</v>
      </c>
      <c r="G543" t="s">
        <v>899</v>
      </c>
      <c r="H543" s="1">
        <v>45149</v>
      </c>
      <c r="I543" t="s">
        <v>107</v>
      </c>
      <c r="J543" t="s">
        <v>813</v>
      </c>
      <c r="K543" s="1">
        <v>43026</v>
      </c>
      <c r="L543" s="1">
        <v>45197</v>
      </c>
      <c r="M543" t="s">
        <v>109</v>
      </c>
      <c r="N543" s="1">
        <v>46254</v>
      </c>
      <c r="O543">
        <v>987</v>
      </c>
      <c r="P543">
        <v>3</v>
      </c>
      <c r="Q543">
        <v>0</v>
      </c>
      <c r="R543">
        <v>3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 t="s">
        <v>38</v>
      </c>
      <c r="AI543" t="s">
        <v>27</v>
      </c>
      <c r="AJ543" s="1"/>
      <c r="AK543" t="s">
        <v>28</v>
      </c>
      <c r="AL54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</v>
      </c>
      <c r="AM543">
        <f>SUM(Rel_2026[[#This Row],[qtd_TrxContabil]:[VLR_EXP_SORTE]])</f>
        <v>993</v>
      </c>
      <c r="AN54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</row>
    <row r="544" spans="1:40" x14ac:dyDescent="0.3">
      <c r="A544" t="str">
        <f>IF(Rel_2026[[#This Row],[Zero]]=0,"Zero",IF(Rel_2026[[#This Row],[Pontuação]]&gt;=10,"Sim",IF(Rel_2026[[#This Row],[Pontuação]]&gt;=5,"Próximo","Não")))</f>
        <v>Sim</v>
      </c>
      <c r="B544" t="str">
        <f>IF(Rel_2026[[#This Row],[Zero]]=0,"Zero",IF(Rel_2026[[#This Row],[Pontuação2]]&gt;=10,"Sim",IF(Rel_2026[[#This Row],[Pontuação2]]&gt;=5,"Próximo","Não")))</f>
        <v>Sim</v>
      </c>
      <c r="C544" t="str">
        <f>IFERROR(VLOOKUP(Rel_2026[[#This Row],[chave_loja]],Responsavel!A:B,2,FALSE),"EUCLIDES")</f>
        <v>NYCOLLAS</v>
      </c>
      <c r="D544" t="str">
        <f>LEFT(Rel_2026[[#This Row],[ag_pacb]],4)</f>
        <v>5447</v>
      </c>
      <c r="E544">
        <v>159729</v>
      </c>
      <c r="F544" t="s">
        <v>276</v>
      </c>
      <c r="G544" t="s">
        <v>277</v>
      </c>
      <c r="H544" s="1">
        <v>44853</v>
      </c>
      <c r="I544" t="s">
        <v>23</v>
      </c>
      <c r="J544" t="s">
        <v>67</v>
      </c>
      <c r="K544" s="1">
        <v>42976</v>
      </c>
      <c r="L544" s="1">
        <v>46217</v>
      </c>
      <c r="M544" t="s">
        <v>32</v>
      </c>
      <c r="N544" s="1">
        <v>46253</v>
      </c>
      <c r="O544">
        <v>129</v>
      </c>
      <c r="P544">
        <v>3</v>
      </c>
      <c r="Q544">
        <v>3</v>
      </c>
      <c r="R544">
        <v>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3</v>
      </c>
      <c r="AG544">
        <v>0</v>
      </c>
      <c r="AH544" t="s">
        <v>26</v>
      </c>
      <c r="AI544" t="s">
        <v>27</v>
      </c>
      <c r="AJ544" s="1"/>
      <c r="AK544" t="s">
        <v>28</v>
      </c>
      <c r="AL54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544">
        <f>SUM(Rel_2026[[#This Row],[qtd_TrxContabil]:[VLR_EXP_SORTE]])</f>
        <v>141</v>
      </c>
      <c r="AN54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</row>
    <row r="545" spans="1:40" x14ac:dyDescent="0.3">
      <c r="A545" t="str">
        <f>IF(Rel_2026[[#This Row],[Zero]]=0,"Zero",IF(Rel_2026[[#This Row],[Pontuação]]&gt;=10,"Sim",IF(Rel_2026[[#This Row],[Pontuação]]&gt;=5,"Próximo","Não")))</f>
        <v>Não</v>
      </c>
      <c r="B545" t="str">
        <f>IF(Rel_2026[[#This Row],[Zero]]=0,"Zero",IF(Rel_2026[[#This Row],[Pontuação2]]&gt;=10,"Sim",IF(Rel_2026[[#This Row],[Pontuação2]]&gt;=5,"Próximo","Não")))</f>
        <v>Não</v>
      </c>
      <c r="C545" t="str">
        <f>IFERROR(VLOOKUP(Rel_2026[[#This Row],[chave_loja]],Responsavel!A:B,2,FALSE),"EUCLIDES")</f>
        <v>ROSSY</v>
      </c>
      <c r="D545" t="str">
        <f>LEFT(Rel_2026[[#This Row],[ag_pacb]],4)</f>
        <v>5792</v>
      </c>
      <c r="E545">
        <v>423901</v>
      </c>
      <c r="F545" t="s">
        <v>1258</v>
      </c>
      <c r="G545" t="s">
        <v>1259</v>
      </c>
      <c r="H545" s="1">
        <v>46148</v>
      </c>
      <c r="I545" t="s">
        <v>107</v>
      </c>
      <c r="J545" t="s">
        <v>841</v>
      </c>
      <c r="K545" s="1">
        <v>46141</v>
      </c>
      <c r="L545" s="1">
        <v>46164</v>
      </c>
      <c r="M545" t="s">
        <v>109</v>
      </c>
      <c r="N545" s="1">
        <v>46254</v>
      </c>
      <c r="O545">
        <v>102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 t="s">
        <v>38</v>
      </c>
      <c r="AI545" t="s">
        <v>27</v>
      </c>
      <c r="AJ545" s="1"/>
      <c r="AK545" t="s">
        <v>28</v>
      </c>
      <c r="AL54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45">
        <f>SUM(Rel_2026[[#This Row],[qtd_TrxContabil]:[VLR_EXP_SORTE]])</f>
        <v>102</v>
      </c>
      <c r="AN54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46" spans="1:40" x14ac:dyDescent="0.3">
      <c r="A546" t="str">
        <f>IF(Rel_2026[[#This Row],[Zero]]=0,"Zero",IF(Rel_2026[[#This Row],[Pontuação]]&gt;=10,"Sim",IF(Rel_2026[[#This Row],[Pontuação]]&gt;=5,"Próximo","Não")))</f>
        <v>Zero</v>
      </c>
      <c r="B546" t="str">
        <f>IF(Rel_2026[[#This Row],[Zero]]=0,"Zero",IF(Rel_2026[[#This Row],[Pontuação2]]&gt;=10,"Sim",IF(Rel_2026[[#This Row],[Pontuação2]]&gt;=5,"Próximo","Não")))</f>
        <v>Zero</v>
      </c>
      <c r="C546" t="str">
        <f>IFERROR(VLOOKUP(Rel_2026[[#This Row],[chave_loja]],Responsavel!A:B,2,FALSE),"EUCLIDES")</f>
        <v>ISMAEL</v>
      </c>
      <c r="D546" t="str">
        <f>LEFT(Rel_2026[[#This Row],[ag_pacb]],4)</f>
        <v>1302</v>
      </c>
      <c r="E546">
        <v>407911</v>
      </c>
      <c r="F546" t="s">
        <v>1449</v>
      </c>
      <c r="G546" t="s">
        <v>1450</v>
      </c>
      <c r="H546" s="1">
        <v>45618</v>
      </c>
      <c r="I546" t="s">
        <v>23</v>
      </c>
      <c r="J546" t="s">
        <v>51</v>
      </c>
      <c r="K546" s="1">
        <v>45611</v>
      </c>
      <c r="L546" s="1">
        <v>45636</v>
      </c>
      <c r="M546" t="s">
        <v>32</v>
      </c>
      <c r="N546" s="1">
        <v>46218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 t="s">
        <v>38</v>
      </c>
      <c r="AI546" t="s">
        <v>27</v>
      </c>
      <c r="AJ546" s="1"/>
      <c r="AK546" t="s">
        <v>28</v>
      </c>
      <c r="AL54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46">
        <f>SUM(Rel_2026[[#This Row],[qtd_TrxContabil]:[VLR_EXP_SORTE]])</f>
        <v>0</v>
      </c>
      <c r="AN54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47" spans="1:40" x14ac:dyDescent="0.3">
      <c r="A547" t="str">
        <f>IF(Rel_2026[[#This Row],[Zero]]=0,"Zero",IF(Rel_2026[[#This Row],[Pontuação]]&gt;=10,"Sim",IF(Rel_2026[[#This Row],[Pontuação]]&gt;=5,"Próximo","Não")))</f>
        <v>Não</v>
      </c>
      <c r="B547" t="str">
        <f>IF(Rel_2026[[#This Row],[Zero]]=0,"Zero",IF(Rel_2026[[#This Row],[Pontuação2]]&gt;=10,"Sim",IF(Rel_2026[[#This Row],[Pontuação2]]&gt;=5,"Próximo","Não")))</f>
        <v>Não</v>
      </c>
      <c r="C547" t="str">
        <f>IFERROR(VLOOKUP(Rel_2026[[#This Row],[chave_loja]],Responsavel!A:B,2,FALSE),"EUCLIDES")</f>
        <v>ISMAEL</v>
      </c>
      <c r="D547" t="str">
        <f>LEFT(Rel_2026[[#This Row],[ag_pacb]],4)</f>
        <v>0704</v>
      </c>
      <c r="E547">
        <v>411909</v>
      </c>
      <c r="F547" t="s">
        <v>1325</v>
      </c>
      <c r="G547" t="s">
        <v>1326</v>
      </c>
      <c r="H547" s="1">
        <v>45803</v>
      </c>
      <c r="I547" t="s">
        <v>23</v>
      </c>
      <c r="J547" t="s">
        <v>266</v>
      </c>
      <c r="K547" s="1">
        <v>45776</v>
      </c>
      <c r="L547" s="1">
        <v>45834</v>
      </c>
      <c r="M547" t="s">
        <v>25</v>
      </c>
      <c r="N547" s="1">
        <v>46254</v>
      </c>
      <c r="O547">
        <v>80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 t="s">
        <v>26</v>
      </c>
      <c r="AI547" t="s">
        <v>27</v>
      </c>
      <c r="AJ547" s="1"/>
      <c r="AK547" t="s">
        <v>28</v>
      </c>
      <c r="AL54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47">
        <f>SUM(Rel_2026[[#This Row],[qtd_TrxContabil]:[VLR_EXP_SORTE]])</f>
        <v>80</v>
      </c>
      <c r="AN54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48" spans="1:40" x14ac:dyDescent="0.3">
      <c r="A548" t="str">
        <f>IF(Rel_2026[[#This Row],[Zero]]=0,"Zero",IF(Rel_2026[[#This Row],[Pontuação]]&gt;=10,"Sim",IF(Rel_2026[[#This Row],[Pontuação]]&gt;=5,"Próximo","Não")))</f>
        <v>Não</v>
      </c>
      <c r="B548" t="str">
        <f>IF(Rel_2026[[#This Row],[Zero]]=0,"Zero",IF(Rel_2026[[#This Row],[Pontuação2]]&gt;=10,"Sim",IF(Rel_2026[[#This Row],[Pontuação2]]&gt;=5,"Próximo","Não")))</f>
        <v>Não</v>
      </c>
      <c r="C548" t="str">
        <f>IFERROR(VLOOKUP(Rel_2026[[#This Row],[chave_loja]],Responsavel!A:B,2,FALSE),"EUCLIDES")</f>
        <v>JUNIOR</v>
      </c>
      <c r="D548" t="str">
        <f>LEFT(Rel_2026[[#This Row],[ag_pacb]],4)</f>
        <v>1351</v>
      </c>
      <c r="E548">
        <v>180887</v>
      </c>
      <c r="F548" t="s">
        <v>272</v>
      </c>
      <c r="G548" t="s">
        <v>273</v>
      </c>
      <c r="H548" s="1">
        <v>45140</v>
      </c>
      <c r="I548" t="s">
        <v>23</v>
      </c>
      <c r="J548" t="s">
        <v>239</v>
      </c>
      <c r="K548" s="1">
        <v>43825</v>
      </c>
      <c r="L548" s="1">
        <v>45646</v>
      </c>
      <c r="M548" t="s">
        <v>32</v>
      </c>
      <c r="N548" s="1">
        <v>46254</v>
      </c>
      <c r="O548">
        <v>179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 t="s">
        <v>26</v>
      </c>
      <c r="AI548" t="s">
        <v>27</v>
      </c>
      <c r="AJ548" s="1"/>
      <c r="AK548" t="s">
        <v>28</v>
      </c>
      <c r="AL54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48">
        <f>SUM(Rel_2026[[#This Row],[qtd_TrxContabil]:[VLR_EXP_SORTE]])</f>
        <v>179</v>
      </c>
      <c r="AN54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49" spans="1:40" x14ac:dyDescent="0.3">
      <c r="A549" t="str">
        <f>IF(Rel_2026[[#This Row],[Zero]]=0,"Zero",IF(Rel_2026[[#This Row],[Pontuação]]&gt;=10,"Sim",IF(Rel_2026[[#This Row],[Pontuação]]&gt;=5,"Próximo","Não")))</f>
        <v>Não</v>
      </c>
      <c r="B549" t="str">
        <f>IF(Rel_2026[[#This Row],[Zero]]=0,"Zero",IF(Rel_2026[[#This Row],[Pontuação2]]&gt;=10,"Sim",IF(Rel_2026[[#This Row],[Pontuação2]]&gt;=5,"Próximo","Não")))</f>
        <v>Não</v>
      </c>
      <c r="C549" t="str">
        <f>IFERROR(VLOOKUP(Rel_2026[[#This Row],[chave_loja]],Responsavel!A:B,2,FALSE),"EUCLIDES")</f>
        <v>JACK</v>
      </c>
      <c r="D549" t="str">
        <f>LEFT(Rel_2026[[#This Row],[ag_pacb]],4)</f>
        <v>0985</v>
      </c>
      <c r="E549">
        <v>164577</v>
      </c>
      <c r="F549" t="s">
        <v>1445</v>
      </c>
      <c r="G549" t="s">
        <v>1446</v>
      </c>
      <c r="H549" s="1">
        <v>45267</v>
      </c>
      <c r="I549" t="s">
        <v>107</v>
      </c>
      <c r="J549" t="s">
        <v>821</v>
      </c>
      <c r="K549" s="1">
        <v>43129</v>
      </c>
      <c r="L549" s="1">
        <v>46135</v>
      </c>
      <c r="M549" t="s">
        <v>109</v>
      </c>
      <c r="N549" s="1">
        <v>46254</v>
      </c>
      <c r="O549">
        <v>6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 t="s">
        <v>26</v>
      </c>
      <c r="AI549" t="s">
        <v>27</v>
      </c>
      <c r="AJ549" s="1"/>
      <c r="AK549" t="s">
        <v>28</v>
      </c>
      <c r="AL54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49">
        <f>SUM(Rel_2026[[#This Row],[qtd_TrxContabil]:[VLR_EXP_SORTE]])</f>
        <v>6</v>
      </c>
      <c r="AN54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50" spans="1:40" x14ac:dyDescent="0.3">
      <c r="A550" t="str">
        <f>IF(Rel_2026[[#This Row],[Zero]]=0,"Zero",IF(Rel_2026[[#This Row],[Pontuação]]&gt;=10,"Sim",IF(Rel_2026[[#This Row],[Pontuação]]&gt;=5,"Próximo","Não")))</f>
        <v>Sim</v>
      </c>
      <c r="B550" t="str">
        <f>IF(Rel_2026[[#This Row],[Zero]]=0,"Zero",IF(Rel_2026[[#This Row],[Pontuação2]]&gt;=10,"Sim",IF(Rel_2026[[#This Row],[Pontuação2]]&gt;=5,"Próximo","Não")))</f>
        <v>Sim</v>
      </c>
      <c r="C550" t="str">
        <f>IFERROR(VLOOKUP(Rel_2026[[#This Row],[chave_loja]],Responsavel!A:B,2,FALSE),"EUCLIDES")</f>
        <v>WASTHSON</v>
      </c>
      <c r="D550" t="str">
        <f>LEFT(Rel_2026[[#This Row],[ag_pacb]],4)</f>
        <v>5415</v>
      </c>
      <c r="E550">
        <v>83971</v>
      </c>
      <c r="F550" t="s">
        <v>248</v>
      </c>
      <c r="G550" t="s">
        <v>249</v>
      </c>
      <c r="H550" s="1">
        <v>44223</v>
      </c>
      <c r="I550" t="s">
        <v>23</v>
      </c>
      <c r="J550" t="s">
        <v>158</v>
      </c>
      <c r="K550" s="1">
        <v>42145</v>
      </c>
      <c r="L550" s="1">
        <v>46252</v>
      </c>
      <c r="M550" t="s">
        <v>32</v>
      </c>
      <c r="N550" s="1">
        <v>46254</v>
      </c>
      <c r="O550">
        <v>1073</v>
      </c>
      <c r="P550">
        <v>5</v>
      </c>
      <c r="Q550">
        <v>3</v>
      </c>
      <c r="R550">
        <v>2</v>
      </c>
      <c r="S550">
        <v>0</v>
      </c>
      <c r="T550">
        <v>0</v>
      </c>
      <c r="U550">
        <v>12416</v>
      </c>
      <c r="V550">
        <v>12416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 t="s">
        <v>26</v>
      </c>
      <c r="AI550" t="s">
        <v>27</v>
      </c>
      <c r="AJ550" s="1"/>
      <c r="AK550" t="s">
        <v>28</v>
      </c>
      <c r="AL55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39</v>
      </c>
      <c r="AM550">
        <f>SUM(Rel_2026[[#This Row],[qtd_TrxContabil]:[VLR_EXP_SORTE]])</f>
        <v>25915</v>
      </c>
      <c r="AN55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45</v>
      </c>
    </row>
    <row r="551" spans="1:40" x14ac:dyDescent="0.3">
      <c r="A551" t="str">
        <f>IF(Rel_2026[[#This Row],[Zero]]=0,"Zero",IF(Rel_2026[[#This Row],[Pontuação]]&gt;=10,"Sim",IF(Rel_2026[[#This Row],[Pontuação]]&gt;=5,"Próximo","Não")))</f>
        <v>Sim</v>
      </c>
      <c r="B551" t="str">
        <f>IF(Rel_2026[[#This Row],[Zero]]=0,"Zero",IF(Rel_2026[[#This Row],[Pontuação2]]&gt;=10,"Sim",IF(Rel_2026[[#This Row],[Pontuação2]]&gt;=5,"Próximo","Não")))</f>
        <v>Sim</v>
      </c>
      <c r="C551" t="str">
        <f>IFERROR(VLOOKUP(Rel_2026[[#This Row],[chave_loja]],Responsavel!A:B,2,FALSE),"EUCLIDES")</f>
        <v>JUNIOR</v>
      </c>
      <c r="D551" t="str">
        <f>LEFT(Rel_2026[[#This Row],[ag_pacb]],4)</f>
        <v>1351</v>
      </c>
      <c r="E551">
        <v>182181</v>
      </c>
      <c r="F551" t="s">
        <v>998</v>
      </c>
      <c r="G551" t="s">
        <v>1001</v>
      </c>
      <c r="H551" s="1">
        <v>45093</v>
      </c>
      <c r="I551" t="s">
        <v>23</v>
      </c>
      <c r="J551" t="s">
        <v>993</v>
      </c>
      <c r="K551" s="1">
        <v>44047</v>
      </c>
      <c r="L551" s="1">
        <v>46238</v>
      </c>
      <c r="M551" t="s">
        <v>32</v>
      </c>
      <c r="N551" s="1">
        <v>46254</v>
      </c>
      <c r="O551">
        <v>1124</v>
      </c>
      <c r="P551">
        <v>5</v>
      </c>
      <c r="Q551">
        <v>4</v>
      </c>
      <c r="R551">
        <v>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4</v>
      </c>
      <c r="AG551">
        <v>0</v>
      </c>
      <c r="AH551" t="s">
        <v>26</v>
      </c>
      <c r="AI551" t="s">
        <v>27</v>
      </c>
      <c r="AJ551" s="1"/>
      <c r="AK551" t="s">
        <v>28</v>
      </c>
      <c r="AL55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31</v>
      </c>
      <c r="AM551">
        <f>SUM(Rel_2026[[#This Row],[qtd_TrxContabil]:[VLR_EXP_SORTE]])</f>
        <v>1142</v>
      </c>
      <c r="AN55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46</v>
      </c>
    </row>
    <row r="552" spans="1:40" x14ac:dyDescent="0.3">
      <c r="A552" t="str">
        <f>IF(Rel_2026[[#This Row],[Zero]]=0,"Zero",IF(Rel_2026[[#This Row],[Pontuação]]&gt;=10,"Sim",IF(Rel_2026[[#This Row],[Pontuação]]&gt;=5,"Próximo","Não")))</f>
        <v>Não</v>
      </c>
      <c r="B552" t="str">
        <f>IF(Rel_2026[[#This Row],[Zero]]=0,"Zero",IF(Rel_2026[[#This Row],[Pontuação2]]&gt;=10,"Sim",IF(Rel_2026[[#This Row],[Pontuação2]]&gt;=5,"Próximo","Não")))</f>
        <v>Não</v>
      </c>
      <c r="C552" t="str">
        <f>IFERROR(VLOOKUP(Rel_2026[[#This Row],[chave_loja]],Responsavel!A:B,2,FALSE),"EUCLIDES")</f>
        <v>CÉLIO</v>
      </c>
      <c r="D552" t="str">
        <f>LEFT(Rel_2026[[#This Row],[ag_pacb]],4)</f>
        <v>0683</v>
      </c>
      <c r="E552">
        <v>424426</v>
      </c>
      <c r="F552" t="s">
        <v>1295</v>
      </c>
      <c r="G552" t="s">
        <v>1296</v>
      </c>
      <c r="H552" s="1">
        <v>46170</v>
      </c>
      <c r="I552" t="s">
        <v>23</v>
      </c>
      <c r="J552" t="s">
        <v>24</v>
      </c>
      <c r="K552" s="1">
        <v>46168</v>
      </c>
      <c r="L552" s="1"/>
      <c r="M552" t="s">
        <v>32</v>
      </c>
      <c r="N552" s="1">
        <v>46254</v>
      </c>
      <c r="O552">
        <v>30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100</v>
      </c>
      <c r="AH552" t="s">
        <v>38</v>
      </c>
      <c r="AI552" t="s">
        <v>27</v>
      </c>
      <c r="AJ552" s="1"/>
      <c r="AK552" t="s">
        <v>28</v>
      </c>
      <c r="AL55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</v>
      </c>
      <c r="AM552">
        <f>SUM(Rel_2026[[#This Row],[qtd_TrxContabil]:[VLR_EXP_SORTE]])</f>
        <v>130</v>
      </c>
      <c r="AN55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</v>
      </c>
    </row>
    <row r="553" spans="1:40" x14ac:dyDescent="0.3">
      <c r="A553" t="str">
        <f>IF(Rel_2026[[#This Row],[Zero]]=0,"Zero",IF(Rel_2026[[#This Row],[Pontuação]]&gt;=10,"Sim",IF(Rel_2026[[#This Row],[Pontuação]]&gt;=5,"Próximo","Não")))</f>
        <v>Zero</v>
      </c>
      <c r="B553" t="str">
        <f>IF(Rel_2026[[#This Row],[Zero]]=0,"Zero",IF(Rel_2026[[#This Row],[Pontuação2]]&gt;=10,"Sim",IF(Rel_2026[[#This Row],[Pontuação2]]&gt;=5,"Próximo","Não")))</f>
        <v>Zero</v>
      </c>
      <c r="C553" t="str">
        <f>IFERROR(VLOOKUP(Rel_2026[[#This Row],[chave_loja]],Responsavel!A:B,2,FALSE),"EUCLIDES")</f>
        <v>JUNIOR</v>
      </c>
      <c r="D553" t="str">
        <f>LEFT(Rel_2026[[#This Row],[ag_pacb]],4)</f>
        <v>5367</v>
      </c>
      <c r="E553">
        <v>144350</v>
      </c>
      <c r="F553" t="s">
        <v>1331</v>
      </c>
      <c r="G553" t="s">
        <v>1332</v>
      </c>
      <c r="H553" s="1">
        <v>46199</v>
      </c>
      <c r="I553" t="s">
        <v>23</v>
      </c>
      <c r="J553" t="s">
        <v>58</v>
      </c>
      <c r="K553" s="1">
        <v>42268</v>
      </c>
      <c r="L553" s="1">
        <v>42300</v>
      </c>
      <c r="M553" t="s">
        <v>32</v>
      </c>
      <c r="N553" s="1">
        <v>46199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 t="s">
        <v>26</v>
      </c>
      <c r="AI553" t="s">
        <v>27</v>
      </c>
      <c r="AJ553" s="1"/>
      <c r="AK553" t="s">
        <v>28</v>
      </c>
      <c r="AL55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53">
        <f>SUM(Rel_2026[[#This Row],[qtd_TrxContabil]:[VLR_EXP_SORTE]])</f>
        <v>0</v>
      </c>
      <c r="AN55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54" spans="1:40" x14ac:dyDescent="0.3">
      <c r="A554" t="str">
        <f>IF(Rel_2026[[#This Row],[Zero]]=0,"Zero",IF(Rel_2026[[#This Row],[Pontuação]]&gt;=10,"Sim",IF(Rel_2026[[#This Row],[Pontuação]]&gt;=5,"Próximo","Não")))</f>
        <v>Não</v>
      </c>
      <c r="B554" t="str">
        <f>IF(Rel_2026[[#This Row],[Zero]]=0,"Zero",IF(Rel_2026[[#This Row],[Pontuação2]]&gt;=10,"Sim",IF(Rel_2026[[#This Row],[Pontuação2]]&gt;=5,"Próximo","Não")))</f>
        <v>Não</v>
      </c>
      <c r="C554" t="str">
        <f>IFERROR(VLOOKUP(Rel_2026[[#This Row],[chave_loja]],Responsavel!A:B,2,FALSE),"EUCLIDES")</f>
        <v>CÉLIO</v>
      </c>
      <c r="D554" t="str">
        <f>LEFT(Rel_2026[[#This Row],[ag_pacb]],4)</f>
        <v>0645</v>
      </c>
      <c r="E554">
        <v>177515</v>
      </c>
      <c r="F554" t="s">
        <v>1299</v>
      </c>
      <c r="G554" t="s">
        <v>1300</v>
      </c>
      <c r="H554" s="1">
        <v>45401</v>
      </c>
      <c r="I554" t="s">
        <v>23</v>
      </c>
      <c r="J554" t="s">
        <v>24</v>
      </c>
      <c r="K554" s="1">
        <v>44327</v>
      </c>
      <c r="L554" s="1">
        <v>44315</v>
      </c>
      <c r="M554" t="s">
        <v>32</v>
      </c>
      <c r="N554" s="1">
        <v>46244</v>
      </c>
      <c r="O554">
        <v>95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 t="s">
        <v>26</v>
      </c>
      <c r="AI554" t="s">
        <v>27</v>
      </c>
      <c r="AJ554" s="1"/>
      <c r="AK554" t="s">
        <v>28</v>
      </c>
      <c r="AL55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54">
        <f>SUM(Rel_2026[[#This Row],[qtd_TrxContabil]:[VLR_EXP_SORTE]])</f>
        <v>95</v>
      </c>
      <c r="AN55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55" spans="1:40" x14ac:dyDescent="0.3">
      <c r="A555" t="str">
        <f>IF(Rel_2026[[#This Row],[Zero]]=0,"Zero",IF(Rel_2026[[#This Row],[Pontuação]]&gt;=10,"Sim",IF(Rel_2026[[#This Row],[Pontuação]]&gt;=5,"Próximo","Não")))</f>
        <v>Não</v>
      </c>
      <c r="B555" t="str">
        <f>IF(Rel_2026[[#This Row],[Zero]]=0,"Zero",IF(Rel_2026[[#This Row],[Pontuação2]]&gt;=10,"Sim",IF(Rel_2026[[#This Row],[Pontuação2]]&gt;=5,"Próximo","Não")))</f>
        <v>Não</v>
      </c>
      <c r="C555" t="str">
        <f>IFERROR(VLOOKUP(Rel_2026[[#This Row],[chave_loja]],Responsavel!A:B,2,FALSE),"EUCLIDES")</f>
        <v>WASTHSON</v>
      </c>
      <c r="D555" t="str">
        <f>LEFT(Rel_2026[[#This Row],[ag_pacb]],4)</f>
        <v>5415</v>
      </c>
      <c r="E555">
        <v>419441</v>
      </c>
      <c r="F555" t="s">
        <v>1396</v>
      </c>
      <c r="G555" t="s">
        <v>1397</v>
      </c>
      <c r="H555" s="1">
        <v>45973</v>
      </c>
      <c r="I555" t="s">
        <v>23</v>
      </c>
      <c r="J555" t="s">
        <v>759</v>
      </c>
      <c r="K555" s="1">
        <v>45967</v>
      </c>
      <c r="L555" s="1"/>
      <c r="M555" t="s">
        <v>32</v>
      </c>
      <c r="N555" s="1">
        <v>46254</v>
      </c>
      <c r="O555">
        <v>195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 t="s">
        <v>38</v>
      </c>
      <c r="AI555" t="s">
        <v>27</v>
      </c>
      <c r="AJ555" s="1"/>
      <c r="AK555" t="s">
        <v>28</v>
      </c>
      <c r="AL55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55">
        <f>SUM(Rel_2026[[#This Row],[qtd_TrxContabil]:[VLR_EXP_SORTE]])</f>
        <v>195</v>
      </c>
      <c r="AN55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56" spans="1:40" x14ac:dyDescent="0.3">
      <c r="A556" t="str">
        <f>IF(Rel_2026[[#This Row],[Zero]]=0,"Zero",IF(Rel_2026[[#This Row],[Pontuação]]&gt;=10,"Sim",IF(Rel_2026[[#This Row],[Pontuação]]&gt;=5,"Próximo","Não")))</f>
        <v>Sim</v>
      </c>
      <c r="B556" t="str">
        <f>IF(Rel_2026[[#This Row],[Zero]]=0,"Zero",IF(Rel_2026[[#This Row],[Pontuação2]]&gt;=10,"Sim",IF(Rel_2026[[#This Row],[Pontuação2]]&gt;=5,"Próximo","Não")))</f>
        <v>Sim</v>
      </c>
      <c r="C556" t="str">
        <f>IFERROR(VLOOKUP(Rel_2026[[#This Row],[chave_loja]],Responsavel!A:B,2,FALSE),"EUCLIDES")</f>
        <v>JACK</v>
      </c>
      <c r="D556" t="str">
        <f>LEFT(Rel_2026[[#This Row],[ag_pacb]],4)</f>
        <v>1522</v>
      </c>
      <c r="E556">
        <v>159594</v>
      </c>
      <c r="F556" t="s">
        <v>1443</v>
      </c>
      <c r="G556" t="s">
        <v>1444</v>
      </c>
      <c r="H556" s="1">
        <v>44734</v>
      </c>
      <c r="I556" t="s">
        <v>107</v>
      </c>
      <c r="J556" t="s">
        <v>733</v>
      </c>
      <c r="K556" s="1">
        <v>43042</v>
      </c>
      <c r="L556" s="1">
        <v>44823</v>
      </c>
      <c r="M556" t="s">
        <v>109</v>
      </c>
      <c r="N556" s="1">
        <v>46254</v>
      </c>
      <c r="O556">
        <v>38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24243</v>
      </c>
      <c r="V556">
        <v>24243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 t="s">
        <v>26</v>
      </c>
      <c r="AI556" t="s">
        <v>27</v>
      </c>
      <c r="AJ556" s="1"/>
      <c r="AK556" t="s">
        <v>28</v>
      </c>
      <c r="AL55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25</v>
      </c>
      <c r="AM556">
        <f>SUM(Rel_2026[[#This Row],[qtd_TrxContabil]:[VLR_EXP_SORTE]])</f>
        <v>48525</v>
      </c>
      <c r="AN55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25</v>
      </c>
    </row>
    <row r="557" spans="1:40" x14ac:dyDescent="0.3">
      <c r="A557" t="str">
        <f>IF(Rel_2026[[#This Row],[Zero]]=0,"Zero",IF(Rel_2026[[#This Row],[Pontuação]]&gt;=10,"Sim",IF(Rel_2026[[#This Row],[Pontuação]]&gt;=5,"Próximo","Não")))</f>
        <v>Não</v>
      </c>
      <c r="B557" t="str">
        <f>IF(Rel_2026[[#This Row],[Zero]]=0,"Zero",IF(Rel_2026[[#This Row],[Pontuação2]]&gt;=10,"Sim",IF(Rel_2026[[#This Row],[Pontuação2]]&gt;=5,"Próximo","Não")))</f>
        <v>Não</v>
      </c>
      <c r="C557" t="str">
        <f>IFERROR(VLOOKUP(Rel_2026[[#This Row],[chave_loja]],Responsavel!A:B,2,FALSE),"EUCLIDES")</f>
        <v>WASTHSON</v>
      </c>
      <c r="D557" t="str">
        <f>LEFT(Rel_2026[[#This Row],[ag_pacb]],4)</f>
        <v>5415</v>
      </c>
      <c r="E557">
        <v>89253</v>
      </c>
      <c r="F557" t="s">
        <v>581</v>
      </c>
      <c r="G557" t="s">
        <v>582</v>
      </c>
      <c r="H557" s="1">
        <v>44154</v>
      </c>
      <c r="I557" t="s">
        <v>23</v>
      </c>
      <c r="J557" t="s">
        <v>576</v>
      </c>
      <c r="K557" s="1">
        <v>42235</v>
      </c>
      <c r="L557" s="1">
        <v>45484</v>
      </c>
      <c r="M557" t="s">
        <v>32</v>
      </c>
      <c r="N557" s="1">
        <v>46254</v>
      </c>
      <c r="O557">
        <v>467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 t="s">
        <v>38</v>
      </c>
      <c r="AI557" t="s">
        <v>27</v>
      </c>
      <c r="AJ557" s="1"/>
      <c r="AK557" t="s">
        <v>28</v>
      </c>
      <c r="AL55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57">
        <f>SUM(Rel_2026[[#This Row],[qtd_TrxContabil]:[VLR_EXP_SORTE]])</f>
        <v>467</v>
      </c>
      <c r="AN55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58" spans="1:40" x14ac:dyDescent="0.3">
      <c r="A558" t="str">
        <f>IF(Rel_2026[[#This Row],[Zero]]=0,"Zero",IF(Rel_2026[[#This Row],[Pontuação]]&gt;=10,"Sim",IF(Rel_2026[[#This Row],[Pontuação]]&gt;=5,"Próximo","Não")))</f>
        <v>Não</v>
      </c>
      <c r="B558" t="str">
        <f>IF(Rel_2026[[#This Row],[Zero]]=0,"Zero",IF(Rel_2026[[#This Row],[Pontuação2]]&gt;=10,"Sim",IF(Rel_2026[[#This Row],[Pontuação2]]&gt;=5,"Próximo","Não")))</f>
        <v>Não</v>
      </c>
      <c r="C558" t="str">
        <f>IFERROR(VLOOKUP(Rel_2026[[#This Row],[chave_loja]],Responsavel!A:B,2,FALSE),"EUCLIDES")</f>
        <v>JUNIOR</v>
      </c>
      <c r="D558" t="str">
        <f>LEFT(Rel_2026[[#This Row],[ag_pacb]],4)</f>
        <v>1351</v>
      </c>
      <c r="E558">
        <v>144105</v>
      </c>
      <c r="F558" t="s">
        <v>543</v>
      </c>
      <c r="G558" t="s">
        <v>544</v>
      </c>
      <c r="H558" s="1">
        <v>44428</v>
      </c>
      <c r="I558" t="s">
        <v>23</v>
      </c>
      <c r="J558" t="s">
        <v>142</v>
      </c>
      <c r="K558" s="1">
        <v>42276</v>
      </c>
      <c r="L558" s="1">
        <v>45911</v>
      </c>
      <c r="M558" t="s">
        <v>32</v>
      </c>
      <c r="N558" s="1">
        <v>46254</v>
      </c>
      <c r="O558">
        <v>357</v>
      </c>
      <c r="P558">
        <v>0</v>
      </c>
      <c r="Q558">
        <v>0</v>
      </c>
      <c r="R558">
        <v>0</v>
      </c>
      <c r="S558">
        <v>0</v>
      </c>
      <c r="T558">
        <v>300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 t="s">
        <v>26</v>
      </c>
      <c r="AI558" t="s">
        <v>27</v>
      </c>
      <c r="AJ558" s="1"/>
      <c r="AK558" t="s">
        <v>28</v>
      </c>
      <c r="AL55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558">
        <f>SUM(Rel_2026[[#This Row],[qtd_TrxContabil]:[VLR_EXP_SORTE]])</f>
        <v>657</v>
      </c>
      <c r="AN55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</row>
    <row r="559" spans="1:40" x14ac:dyDescent="0.3">
      <c r="A559" t="str">
        <f>IF(Rel_2026[[#This Row],[Zero]]=0,"Zero",IF(Rel_2026[[#This Row],[Pontuação]]&gt;=10,"Sim",IF(Rel_2026[[#This Row],[Pontuação]]&gt;=5,"Próximo","Não")))</f>
        <v>Sim</v>
      </c>
      <c r="B559" t="str">
        <f>IF(Rel_2026[[#This Row],[Zero]]=0,"Zero",IF(Rel_2026[[#This Row],[Pontuação2]]&gt;=10,"Sim",IF(Rel_2026[[#This Row],[Pontuação2]]&gt;=5,"Próximo","Não")))</f>
        <v>Sim</v>
      </c>
      <c r="C559" t="str">
        <f>IFERROR(VLOOKUP(Rel_2026[[#This Row],[chave_loja]],Responsavel!A:B,2,FALSE),"EUCLIDES")</f>
        <v>GIL</v>
      </c>
      <c r="D559" t="str">
        <f>LEFT(Rel_2026[[#This Row],[ag_pacb]],4)</f>
        <v>5387</v>
      </c>
      <c r="E559">
        <v>174471</v>
      </c>
      <c r="F559" t="s">
        <v>565</v>
      </c>
      <c r="G559" t="s">
        <v>566</v>
      </c>
      <c r="H559" s="1">
        <v>46162</v>
      </c>
      <c r="I559" t="s">
        <v>23</v>
      </c>
      <c r="J559" t="s">
        <v>74</v>
      </c>
      <c r="K559" s="1">
        <v>43570</v>
      </c>
      <c r="L559" s="1">
        <v>45393</v>
      </c>
      <c r="M559" t="s">
        <v>32</v>
      </c>
      <c r="N559" s="1">
        <v>46254</v>
      </c>
      <c r="O559">
        <v>5580</v>
      </c>
      <c r="P559">
        <v>26</v>
      </c>
      <c r="Q559">
        <v>23</v>
      </c>
      <c r="R559">
        <v>23</v>
      </c>
      <c r="S559">
        <v>6</v>
      </c>
      <c r="T559">
        <v>1000</v>
      </c>
      <c r="U559">
        <v>105064</v>
      </c>
      <c r="V559">
        <v>105064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6</v>
      </c>
      <c r="AC559">
        <v>0</v>
      </c>
      <c r="AD559">
        <v>0</v>
      </c>
      <c r="AE559">
        <v>0</v>
      </c>
      <c r="AF559">
        <v>25</v>
      </c>
      <c r="AG559">
        <v>0</v>
      </c>
      <c r="AH559" t="s">
        <v>38</v>
      </c>
      <c r="AI559" t="s">
        <v>27</v>
      </c>
      <c r="AJ559" s="1"/>
      <c r="AK559" t="s">
        <v>28</v>
      </c>
      <c r="AL55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285</v>
      </c>
      <c r="AM559">
        <f>SUM(Rel_2026[[#This Row],[qtd_TrxContabil]:[VLR_EXP_SORTE]])</f>
        <v>216817</v>
      </c>
      <c r="AN55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354</v>
      </c>
    </row>
    <row r="560" spans="1:40" x14ac:dyDescent="0.3">
      <c r="A560" t="str">
        <f>IF(Rel_2026[[#This Row],[Zero]]=0,"Zero",IF(Rel_2026[[#This Row],[Pontuação]]&gt;=10,"Sim",IF(Rel_2026[[#This Row],[Pontuação]]&gt;=5,"Próximo","Não")))</f>
        <v>Próximo</v>
      </c>
      <c r="B560" t="str">
        <f>IF(Rel_2026[[#This Row],[Zero]]=0,"Zero",IF(Rel_2026[[#This Row],[Pontuação2]]&gt;=10,"Sim",IF(Rel_2026[[#This Row],[Pontuação2]]&gt;=5,"Próximo","Não")))</f>
        <v>Sim</v>
      </c>
      <c r="C560" t="str">
        <f>IFERROR(VLOOKUP(Rel_2026[[#This Row],[chave_loja]],Responsavel!A:B,2,FALSE),"EUCLIDES")</f>
        <v>ISMAEL</v>
      </c>
      <c r="D560" t="str">
        <f>LEFT(Rel_2026[[#This Row],[ag_pacb]],4)</f>
        <v>0704</v>
      </c>
      <c r="E560">
        <v>188795</v>
      </c>
      <c r="F560" t="s">
        <v>537</v>
      </c>
      <c r="G560" t="s">
        <v>538</v>
      </c>
      <c r="H560" s="1">
        <v>44351</v>
      </c>
      <c r="I560" t="s">
        <v>23</v>
      </c>
      <c r="J560" t="s">
        <v>75</v>
      </c>
      <c r="K560" s="1">
        <v>43977</v>
      </c>
      <c r="L560" s="1">
        <v>45819</v>
      </c>
      <c r="M560" t="s">
        <v>25</v>
      </c>
      <c r="N560" s="1">
        <v>46254</v>
      </c>
      <c r="O560">
        <v>718</v>
      </c>
      <c r="P560">
        <v>1</v>
      </c>
      <c r="Q560">
        <v>1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 t="s">
        <v>26</v>
      </c>
      <c r="AI560" t="s">
        <v>27</v>
      </c>
      <c r="AJ560" s="1"/>
      <c r="AK560" t="s">
        <v>28</v>
      </c>
      <c r="AL56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560">
        <f>SUM(Rel_2026[[#This Row],[qtd_TrxContabil]:[VLR_EXP_SORTE]])</f>
        <v>721</v>
      </c>
      <c r="AN56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561" spans="1:40" x14ac:dyDescent="0.3">
      <c r="A561" t="str">
        <f>IF(Rel_2026[[#This Row],[Zero]]=0,"Zero",IF(Rel_2026[[#This Row],[Pontuação]]&gt;=10,"Sim",IF(Rel_2026[[#This Row],[Pontuação]]&gt;=5,"Próximo","Não")))</f>
        <v>Sim</v>
      </c>
      <c r="B561" t="str">
        <f>IF(Rel_2026[[#This Row],[Zero]]=0,"Zero",IF(Rel_2026[[#This Row],[Pontuação2]]&gt;=10,"Sim",IF(Rel_2026[[#This Row],[Pontuação2]]&gt;=5,"Próximo","Não")))</f>
        <v>Sim</v>
      </c>
      <c r="C561" t="str">
        <f>IFERROR(VLOOKUP(Rel_2026[[#This Row],[chave_loja]],Responsavel!A:B,2,FALSE),"EUCLIDES")</f>
        <v>JUNIOR</v>
      </c>
      <c r="D561" t="str">
        <f>LEFT(Rel_2026[[#This Row],[ag_pacb]],4)</f>
        <v>0684</v>
      </c>
      <c r="E561">
        <v>151546</v>
      </c>
      <c r="F561" t="s">
        <v>763</v>
      </c>
      <c r="G561" t="s">
        <v>764</v>
      </c>
      <c r="H561" s="1">
        <v>44126</v>
      </c>
      <c r="I561" t="s">
        <v>23</v>
      </c>
      <c r="J561" t="s">
        <v>37</v>
      </c>
      <c r="K561" s="1">
        <v>42730</v>
      </c>
      <c r="L561" s="1">
        <v>46066</v>
      </c>
      <c r="M561" t="s">
        <v>32</v>
      </c>
      <c r="N561" s="1">
        <v>46254</v>
      </c>
      <c r="O561">
        <v>1231</v>
      </c>
      <c r="P561">
        <v>0</v>
      </c>
      <c r="Q561">
        <v>0</v>
      </c>
      <c r="R561">
        <v>0</v>
      </c>
      <c r="S561">
        <v>0</v>
      </c>
      <c r="T561">
        <v>964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 t="s">
        <v>38</v>
      </c>
      <c r="AI561" t="s">
        <v>27</v>
      </c>
      <c r="AJ561" s="1"/>
      <c r="AK561" t="s">
        <v>28</v>
      </c>
      <c r="AL56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561">
        <f>SUM(Rel_2026[[#This Row],[qtd_TrxContabil]:[VLR_EXP_SORTE]])</f>
        <v>2195</v>
      </c>
      <c r="AN56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562" spans="1:40" x14ac:dyDescent="0.3">
      <c r="A562" t="str">
        <f>IF(Rel_2026[[#This Row],[Zero]]=0,"Zero",IF(Rel_2026[[#This Row],[Pontuação]]&gt;=10,"Sim",IF(Rel_2026[[#This Row],[Pontuação]]&gt;=5,"Próximo","Não")))</f>
        <v>Sim</v>
      </c>
      <c r="B562" t="str">
        <f>IF(Rel_2026[[#This Row],[Zero]]=0,"Zero",IF(Rel_2026[[#This Row],[Pontuação2]]&gt;=10,"Sim",IF(Rel_2026[[#This Row],[Pontuação2]]&gt;=5,"Próximo","Não")))</f>
        <v>Sim</v>
      </c>
      <c r="C562" t="str">
        <f>IFERROR(VLOOKUP(Rel_2026[[#This Row],[chave_loja]],Responsavel!A:B,2,FALSE),"EUCLIDES")</f>
        <v>ROSSY</v>
      </c>
      <c r="D562" t="str">
        <f>LEFT(Rel_2026[[#This Row],[ag_pacb]],4)</f>
        <v>5792</v>
      </c>
      <c r="E562">
        <v>183166</v>
      </c>
      <c r="F562" t="s">
        <v>915</v>
      </c>
      <c r="G562" t="s">
        <v>916</v>
      </c>
      <c r="H562" s="1">
        <v>45226</v>
      </c>
      <c r="I562" t="s">
        <v>107</v>
      </c>
      <c r="J562" t="s">
        <v>855</v>
      </c>
      <c r="K562" s="1">
        <v>43991</v>
      </c>
      <c r="L562" s="1">
        <v>45621</v>
      </c>
      <c r="M562" t="s">
        <v>109</v>
      </c>
      <c r="N562" s="1">
        <v>46253</v>
      </c>
      <c r="O562">
        <v>384</v>
      </c>
      <c r="P562">
        <v>2</v>
      </c>
      <c r="Q562">
        <v>2</v>
      </c>
      <c r="R562">
        <v>2</v>
      </c>
      <c r="S562">
        <v>0</v>
      </c>
      <c r="T562">
        <v>2500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2</v>
      </c>
      <c r="AG562">
        <v>0</v>
      </c>
      <c r="AH562" t="s">
        <v>38</v>
      </c>
      <c r="AI562" t="s">
        <v>27</v>
      </c>
      <c r="AJ562" s="1"/>
      <c r="AK562" t="s">
        <v>28</v>
      </c>
      <c r="AL56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39</v>
      </c>
      <c r="AM562">
        <f>SUM(Rel_2026[[#This Row],[qtd_TrxContabil]:[VLR_EXP_SORTE]])</f>
        <v>2892</v>
      </c>
      <c r="AN56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45</v>
      </c>
    </row>
    <row r="563" spans="1:40" x14ac:dyDescent="0.3">
      <c r="A563" t="str">
        <f>IF(Rel_2026[[#This Row],[Zero]]=0,"Zero",IF(Rel_2026[[#This Row],[Pontuação]]&gt;=10,"Sim",IF(Rel_2026[[#This Row],[Pontuação]]&gt;=5,"Próximo","Não")))</f>
        <v>Não</v>
      </c>
      <c r="B563" t="str">
        <f>IF(Rel_2026[[#This Row],[Zero]]=0,"Zero",IF(Rel_2026[[#This Row],[Pontuação2]]&gt;=10,"Sim",IF(Rel_2026[[#This Row],[Pontuação2]]&gt;=5,"Próximo","Não")))</f>
        <v>Próximo</v>
      </c>
      <c r="C563" t="str">
        <f>IFERROR(VLOOKUP(Rel_2026[[#This Row],[chave_loja]],Responsavel!A:B,2,FALSE),"EUCLIDES")</f>
        <v>ROSSY</v>
      </c>
      <c r="D563" t="str">
        <f>LEFT(Rel_2026[[#This Row],[ag_pacb]],4)</f>
        <v>5792</v>
      </c>
      <c r="E563">
        <v>233333</v>
      </c>
      <c r="F563" t="s">
        <v>936</v>
      </c>
      <c r="G563" t="s">
        <v>937</v>
      </c>
      <c r="H563" s="1">
        <v>44705</v>
      </c>
      <c r="I563" t="s">
        <v>107</v>
      </c>
      <c r="J563" t="s">
        <v>855</v>
      </c>
      <c r="K563" s="1">
        <v>45306</v>
      </c>
      <c r="L563" s="1">
        <v>44734</v>
      </c>
      <c r="M563" t="s">
        <v>109</v>
      </c>
      <c r="N563" s="1">
        <v>46254</v>
      </c>
      <c r="O563">
        <v>124</v>
      </c>
      <c r="P563">
        <v>1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 t="s">
        <v>26</v>
      </c>
      <c r="AI563" t="s">
        <v>27</v>
      </c>
      <c r="AJ563" s="1"/>
      <c r="AK563" t="s">
        <v>28</v>
      </c>
      <c r="AL56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563">
        <f>SUM(Rel_2026[[#This Row],[qtd_TrxContabil]:[VLR_EXP_SORTE]])</f>
        <v>127</v>
      </c>
      <c r="AN56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564" spans="1:40" x14ac:dyDescent="0.3">
      <c r="A564" t="str">
        <f>IF(Rel_2026[[#This Row],[Zero]]=0,"Zero",IF(Rel_2026[[#This Row],[Pontuação]]&gt;=10,"Sim",IF(Rel_2026[[#This Row],[Pontuação]]&gt;=5,"Próximo","Não")))</f>
        <v>Sim</v>
      </c>
      <c r="B564" t="str">
        <f>IF(Rel_2026[[#This Row],[Zero]]=0,"Zero",IF(Rel_2026[[#This Row],[Pontuação2]]&gt;=10,"Sim",IF(Rel_2026[[#This Row],[Pontuação2]]&gt;=5,"Próximo","Não")))</f>
        <v>Sim</v>
      </c>
      <c r="C564" t="str">
        <f>IFERROR(VLOOKUP(Rel_2026[[#This Row],[chave_loja]],Responsavel!A:B,2,FALSE),"EUCLIDES")</f>
        <v>JACK</v>
      </c>
      <c r="D564" t="str">
        <f>LEFT(Rel_2026[[#This Row],[ag_pacb]],4)</f>
        <v>0985</v>
      </c>
      <c r="E564">
        <v>405979</v>
      </c>
      <c r="F564" t="s">
        <v>955</v>
      </c>
      <c r="G564" t="s">
        <v>956</v>
      </c>
      <c r="H564" s="1">
        <v>45560</v>
      </c>
      <c r="I564" t="s">
        <v>107</v>
      </c>
      <c r="J564" t="s">
        <v>823</v>
      </c>
      <c r="K564" s="1">
        <v>45538</v>
      </c>
      <c r="L564" s="1">
        <v>45562</v>
      </c>
      <c r="M564" t="s">
        <v>109</v>
      </c>
      <c r="N564" s="1">
        <v>46253</v>
      </c>
      <c r="O564">
        <v>271</v>
      </c>
      <c r="P564">
        <v>2</v>
      </c>
      <c r="Q564">
        <v>2</v>
      </c>
      <c r="R564">
        <v>2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 t="s">
        <v>38</v>
      </c>
      <c r="AI564" t="s">
        <v>27</v>
      </c>
      <c r="AJ564" s="1"/>
      <c r="AK564" t="s">
        <v>28</v>
      </c>
      <c r="AL56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564">
        <f>SUM(Rel_2026[[#This Row],[qtd_TrxContabil]:[VLR_EXP_SORTE]])</f>
        <v>278</v>
      </c>
      <c r="AN56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565" spans="1:40" x14ac:dyDescent="0.3">
      <c r="A565" t="str">
        <f>IF(Rel_2026[[#This Row],[Zero]]=0,"Zero",IF(Rel_2026[[#This Row],[Pontuação]]&gt;=10,"Sim",IF(Rel_2026[[#This Row],[Pontuação]]&gt;=5,"Próximo","Não")))</f>
        <v>Sim</v>
      </c>
      <c r="B565" t="str">
        <f>IF(Rel_2026[[#This Row],[Zero]]=0,"Zero",IF(Rel_2026[[#This Row],[Pontuação2]]&gt;=10,"Sim",IF(Rel_2026[[#This Row],[Pontuação2]]&gt;=5,"Próximo","Não")))</f>
        <v>Sim</v>
      </c>
      <c r="C565" t="str">
        <f>IFERROR(VLOOKUP(Rel_2026[[#This Row],[chave_loja]],Responsavel!A:B,2,FALSE),"EUCLIDES")</f>
        <v>ROSSY</v>
      </c>
      <c r="D565" t="str">
        <f>LEFT(Rel_2026[[#This Row],[ag_pacb]],4)</f>
        <v>5792</v>
      </c>
      <c r="E565">
        <v>410173</v>
      </c>
      <c r="F565" t="s">
        <v>963</v>
      </c>
      <c r="G565" t="s">
        <v>964</v>
      </c>
      <c r="H565" s="1">
        <v>45729</v>
      </c>
      <c r="I565" t="s">
        <v>107</v>
      </c>
      <c r="J565" t="s">
        <v>841</v>
      </c>
      <c r="K565" s="1">
        <v>45714</v>
      </c>
      <c r="L565" s="1">
        <v>46099</v>
      </c>
      <c r="M565" t="s">
        <v>109</v>
      </c>
      <c r="N565" s="1">
        <v>46254</v>
      </c>
      <c r="O565">
        <v>578</v>
      </c>
      <c r="P565">
        <v>4</v>
      </c>
      <c r="Q565">
        <v>0</v>
      </c>
      <c r="R565">
        <v>4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 t="s">
        <v>26</v>
      </c>
      <c r="AI565" t="s">
        <v>27</v>
      </c>
      <c r="AJ565" s="1"/>
      <c r="AK565" t="s">
        <v>28</v>
      </c>
      <c r="AL56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  <c r="AM565">
        <f>SUM(Rel_2026[[#This Row],[qtd_TrxContabil]:[VLR_EXP_SORTE]])</f>
        <v>586</v>
      </c>
      <c r="AN56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</row>
    <row r="566" spans="1:40" x14ac:dyDescent="0.3">
      <c r="A566" t="str">
        <f>IF(Rel_2026[[#This Row],[Zero]]=0,"Zero",IF(Rel_2026[[#This Row],[Pontuação]]&gt;=10,"Sim",IF(Rel_2026[[#This Row],[Pontuação]]&gt;=5,"Próximo","Não")))</f>
        <v>Próximo</v>
      </c>
      <c r="B566" t="str">
        <f>IF(Rel_2026[[#This Row],[Zero]]=0,"Zero",IF(Rel_2026[[#This Row],[Pontuação2]]&gt;=10,"Sim",IF(Rel_2026[[#This Row],[Pontuação2]]&gt;=5,"Próximo","Não")))</f>
        <v>Sim</v>
      </c>
      <c r="C566" t="str">
        <f>IFERROR(VLOOKUP(Rel_2026[[#This Row],[chave_loja]],Responsavel!A:B,2,FALSE),"EUCLIDES")</f>
        <v>JUNIOR</v>
      </c>
      <c r="D566" t="str">
        <f>LEFT(Rel_2026[[#This Row],[ag_pacb]],4)</f>
        <v>0684</v>
      </c>
      <c r="E566">
        <v>419599</v>
      </c>
      <c r="F566" t="s">
        <v>1382</v>
      </c>
      <c r="G566" t="s">
        <v>1383</v>
      </c>
      <c r="H566" s="1">
        <v>45992</v>
      </c>
      <c r="I566" t="s">
        <v>23</v>
      </c>
      <c r="J566" t="s">
        <v>37</v>
      </c>
      <c r="K566" s="1">
        <v>45976</v>
      </c>
      <c r="L566" s="1">
        <v>46017</v>
      </c>
      <c r="M566" t="s">
        <v>32</v>
      </c>
      <c r="N566" s="1">
        <v>46251</v>
      </c>
      <c r="O566">
        <v>320</v>
      </c>
      <c r="P566">
        <v>1</v>
      </c>
      <c r="Q566">
        <v>1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 t="s">
        <v>26</v>
      </c>
      <c r="AI566" t="s">
        <v>27</v>
      </c>
      <c r="AJ566" s="1"/>
      <c r="AK566" t="s">
        <v>28</v>
      </c>
      <c r="AL56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566">
        <f>SUM(Rel_2026[[#This Row],[qtd_TrxContabil]:[VLR_EXP_SORTE]])</f>
        <v>323</v>
      </c>
      <c r="AN56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567" spans="1:40" x14ac:dyDescent="0.3">
      <c r="A567" t="str">
        <f>IF(Rel_2026[[#This Row],[Zero]]=0,"Zero",IF(Rel_2026[[#This Row],[Pontuação]]&gt;=10,"Sim",IF(Rel_2026[[#This Row],[Pontuação]]&gt;=5,"Próximo","Não")))</f>
        <v>Sim</v>
      </c>
      <c r="B567" t="str">
        <f>IF(Rel_2026[[#This Row],[Zero]]=0,"Zero",IF(Rel_2026[[#This Row],[Pontuação2]]&gt;=10,"Sim",IF(Rel_2026[[#This Row],[Pontuação2]]&gt;=5,"Próximo","Não")))</f>
        <v>Sim</v>
      </c>
      <c r="C567" t="str">
        <f>IFERROR(VLOOKUP(Rel_2026[[#This Row],[chave_loja]],Responsavel!A:B,2,FALSE),"EUCLIDES")</f>
        <v>IVAN</v>
      </c>
      <c r="D567" t="str">
        <f>LEFT(Rel_2026[[#This Row],[ag_pacb]],4)</f>
        <v>5449</v>
      </c>
      <c r="E567">
        <v>182761</v>
      </c>
      <c r="F567" t="s">
        <v>590</v>
      </c>
      <c r="G567" t="s">
        <v>591</v>
      </c>
      <c r="H567" s="1">
        <v>44329</v>
      </c>
      <c r="I567" t="s">
        <v>23</v>
      </c>
      <c r="J567" t="s">
        <v>592</v>
      </c>
      <c r="K567" s="1">
        <v>43817</v>
      </c>
      <c r="L567" s="1">
        <v>46182</v>
      </c>
      <c r="M567" t="s">
        <v>25</v>
      </c>
      <c r="N567" s="1">
        <v>46254</v>
      </c>
      <c r="O567">
        <v>1993</v>
      </c>
      <c r="P567">
        <v>4</v>
      </c>
      <c r="Q567">
        <v>0</v>
      </c>
      <c r="R567">
        <v>4</v>
      </c>
      <c r="S567">
        <v>2</v>
      </c>
      <c r="T567">
        <v>250</v>
      </c>
      <c r="U567">
        <v>6000</v>
      </c>
      <c r="V567">
        <v>6000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 t="s">
        <v>38</v>
      </c>
      <c r="AI567" t="s">
        <v>27</v>
      </c>
      <c r="AJ567" s="1"/>
      <c r="AK567" t="s">
        <v>28</v>
      </c>
      <c r="AL56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567">
        <f>SUM(Rel_2026[[#This Row],[qtd_TrxContabil]:[VLR_EXP_SORTE]])</f>
        <v>14254</v>
      </c>
      <c r="AN56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33</v>
      </c>
    </row>
    <row r="568" spans="1:40" x14ac:dyDescent="0.3">
      <c r="A568" t="str">
        <f>IF(Rel_2026[[#This Row],[Zero]]=0,"Zero",IF(Rel_2026[[#This Row],[Pontuação]]&gt;=10,"Sim",IF(Rel_2026[[#This Row],[Pontuação]]&gt;=5,"Próximo","Não")))</f>
        <v>Não</v>
      </c>
      <c r="B568" t="str">
        <f>IF(Rel_2026[[#This Row],[Zero]]=0,"Zero",IF(Rel_2026[[#This Row],[Pontuação2]]&gt;=10,"Sim",IF(Rel_2026[[#This Row],[Pontuação2]]&gt;=5,"Próximo","Não")))</f>
        <v>Não</v>
      </c>
      <c r="C568" t="str">
        <f>IFERROR(VLOOKUP(Rel_2026[[#This Row],[chave_loja]],Responsavel!A:B,2,FALSE),"EUCLIDES")</f>
        <v>NYCOLLAS</v>
      </c>
      <c r="D568" t="str">
        <f>LEFT(Rel_2026[[#This Row],[ag_pacb]],4)</f>
        <v>0719</v>
      </c>
      <c r="E568">
        <v>411105</v>
      </c>
      <c r="F568" t="s">
        <v>393</v>
      </c>
      <c r="G568" t="s">
        <v>394</v>
      </c>
      <c r="H568" s="1">
        <v>45761</v>
      </c>
      <c r="I568" t="s">
        <v>23</v>
      </c>
      <c r="J568" t="s">
        <v>92</v>
      </c>
      <c r="K568" s="1">
        <v>45751</v>
      </c>
      <c r="L568" s="1">
        <v>45771</v>
      </c>
      <c r="M568" t="s">
        <v>32</v>
      </c>
      <c r="N568" s="1">
        <v>46251</v>
      </c>
      <c r="O568">
        <v>200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 t="s">
        <v>38</v>
      </c>
      <c r="AI568" t="s">
        <v>27</v>
      </c>
      <c r="AJ568" s="1"/>
      <c r="AK568" t="s">
        <v>28</v>
      </c>
      <c r="AL56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68">
        <f>SUM(Rel_2026[[#This Row],[qtd_TrxContabil]:[VLR_EXP_SORTE]])</f>
        <v>200</v>
      </c>
      <c r="AN56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69" spans="1:40" x14ac:dyDescent="0.3">
      <c r="A569" t="str">
        <f>IF(Rel_2026[[#This Row],[Zero]]=0,"Zero",IF(Rel_2026[[#This Row],[Pontuação]]&gt;=10,"Sim",IF(Rel_2026[[#This Row],[Pontuação]]&gt;=5,"Próximo","Não")))</f>
        <v>Sim</v>
      </c>
      <c r="B569" t="str">
        <f>IF(Rel_2026[[#This Row],[Zero]]=0,"Zero",IF(Rel_2026[[#This Row],[Pontuação2]]&gt;=10,"Sim",IF(Rel_2026[[#This Row],[Pontuação2]]&gt;=5,"Próximo","Não")))</f>
        <v>Sim</v>
      </c>
      <c r="C569" t="str">
        <f>IFERROR(VLOOKUP(Rel_2026[[#This Row],[chave_loja]],Responsavel!A:B,2,FALSE),"EUCLIDES")</f>
        <v>DARIO</v>
      </c>
      <c r="D569" t="str">
        <f>LEFT(Rel_2026[[#This Row],[ag_pacb]],4)</f>
        <v>0703</v>
      </c>
      <c r="E569">
        <v>49302</v>
      </c>
      <c r="F569" t="s">
        <v>530</v>
      </c>
      <c r="G569" t="s">
        <v>531</v>
      </c>
      <c r="H569" s="1">
        <v>44407</v>
      </c>
      <c r="I569" t="s">
        <v>23</v>
      </c>
      <c r="J569" t="s">
        <v>532</v>
      </c>
      <c r="K569" s="1">
        <v>42124</v>
      </c>
      <c r="L569" s="1">
        <v>46163</v>
      </c>
      <c r="M569" t="s">
        <v>25</v>
      </c>
      <c r="N569" s="1">
        <v>46254</v>
      </c>
      <c r="O569">
        <v>1072</v>
      </c>
      <c r="P569">
        <v>2</v>
      </c>
      <c r="Q569">
        <v>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 t="s">
        <v>26</v>
      </c>
      <c r="AI569" t="s">
        <v>27</v>
      </c>
      <c r="AJ569" s="1"/>
      <c r="AK569" t="s">
        <v>28</v>
      </c>
      <c r="AL56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569">
        <f>SUM(Rel_2026[[#This Row],[qtd_TrxContabil]:[VLR_EXP_SORTE]])</f>
        <v>1076</v>
      </c>
      <c r="AN56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</row>
    <row r="570" spans="1:40" x14ac:dyDescent="0.3">
      <c r="A570" t="str">
        <f>IF(Rel_2026[[#This Row],[Zero]]=0,"Zero",IF(Rel_2026[[#This Row],[Pontuação]]&gt;=10,"Sim",IF(Rel_2026[[#This Row],[Pontuação]]&gt;=5,"Próximo","Não")))</f>
        <v>Sim</v>
      </c>
      <c r="B570" t="str">
        <f>IF(Rel_2026[[#This Row],[Zero]]=0,"Zero",IF(Rel_2026[[#This Row],[Pontuação2]]&gt;=10,"Sim",IF(Rel_2026[[#This Row],[Pontuação2]]&gt;=5,"Próximo","Não")))</f>
        <v>Sim</v>
      </c>
      <c r="C570" t="str">
        <f>IFERROR(VLOOKUP(Rel_2026[[#This Row],[chave_loja]],Responsavel!A:B,2,FALSE),"EUCLIDES")</f>
        <v>WASTHSON</v>
      </c>
      <c r="D570" t="str">
        <f>LEFT(Rel_2026[[#This Row],[ag_pacb]],4)</f>
        <v>0702</v>
      </c>
      <c r="E570">
        <v>177653</v>
      </c>
      <c r="F570" t="s">
        <v>408</v>
      </c>
      <c r="G570" t="s">
        <v>409</v>
      </c>
      <c r="H570" s="1">
        <v>45127</v>
      </c>
      <c r="I570" t="s">
        <v>23</v>
      </c>
      <c r="J570" t="s">
        <v>114</v>
      </c>
      <c r="K570" s="1">
        <v>43642</v>
      </c>
      <c r="L570" s="1">
        <v>46169</v>
      </c>
      <c r="M570" t="s">
        <v>32</v>
      </c>
      <c r="N570" s="1">
        <v>46254</v>
      </c>
      <c r="O570">
        <v>703</v>
      </c>
      <c r="P570">
        <v>4</v>
      </c>
      <c r="Q570">
        <v>1</v>
      </c>
      <c r="R570">
        <v>3</v>
      </c>
      <c r="S570">
        <v>0</v>
      </c>
      <c r="T570">
        <v>1339</v>
      </c>
      <c r="U570">
        <v>40030</v>
      </c>
      <c r="V570">
        <v>40030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4</v>
      </c>
      <c r="AG570">
        <v>0</v>
      </c>
      <c r="AH570" t="s">
        <v>38</v>
      </c>
      <c r="AI570" t="s">
        <v>27</v>
      </c>
      <c r="AJ570" s="1"/>
      <c r="AK570" t="s">
        <v>28</v>
      </c>
      <c r="AL57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70</v>
      </c>
      <c r="AM570">
        <f>SUM(Rel_2026[[#This Row],[qtd_TrxContabil]:[VLR_EXP_SORTE]])</f>
        <v>82115</v>
      </c>
      <c r="AN57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79</v>
      </c>
    </row>
    <row r="571" spans="1:40" x14ac:dyDescent="0.3">
      <c r="A571" t="str">
        <f>IF(Rel_2026[[#This Row],[Zero]]=0,"Zero",IF(Rel_2026[[#This Row],[Pontuação]]&gt;=10,"Sim",IF(Rel_2026[[#This Row],[Pontuação]]&gt;=5,"Próximo","Não")))</f>
        <v>Zero</v>
      </c>
      <c r="B571" t="str">
        <f>IF(Rel_2026[[#This Row],[Zero]]=0,"Zero",IF(Rel_2026[[#This Row],[Pontuação2]]&gt;=10,"Sim",IF(Rel_2026[[#This Row],[Pontuação2]]&gt;=5,"Próximo","Não")))</f>
        <v>Zero</v>
      </c>
      <c r="C571" t="str">
        <f>IFERROR(VLOOKUP(Rel_2026[[#This Row],[chave_loja]],Responsavel!A:B,2,FALSE),"EUCLIDES")</f>
        <v>JUNIOR</v>
      </c>
      <c r="D571" t="str">
        <f>LEFT(Rel_2026[[#This Row],[ag_pacb]],4)</f>
        <v>2245</v>
      </c>
      <c r="E571">
        <v>422864</v>
      </c>
      <c r="F571" t="s">
        <v>1410</v>
      </c>
      <c r="G571" t="s">
        <v>1411</v>
      </c>
      <c r="H571" s="1">
        <v>46098</v>
      </c>
      <c r="I571" t="s">
        <v>23</v>
      </c>
      <c r="J571" t="s">
        <v>162</v>
      </c>
      <c r="K571" s="1">
        <v>46092</v>
      </c>
      <c r="L571" s="1">
        <v>46127</v>
      </c>
      <c r="M571" t="s">
        <v>32</v>
      </c>
      <c r="N571" s="1">
        <v>46171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 t="s">
        <v>26</v>
      </c>
      <c r="AI571" t="s">
        <v>27</v>
      </c>
      <c r="AJ571" s="1"/>
      <c r="AK571" t="s">
        <v>28</v>
      </c>
      <c r="AL57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71">
        <f>SUM(Rel_2026[[#This Row],[qtd_TrxContabil]:[VLR_EXP_SORTE]])</f>
        <v>0</v>
      </c>
      <c r="AN57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72" spans="1:40" x14ac:dyDescent="0.3">
      <c r="A572" t="str">
        <f>IF(Rel_2026[[#This Row],[Zero]]=0,"Zero",IF(Rel_2026[[#This Row],[Pontuação]]&gt;=10,"Sim",IF(Rel_2026[[#This Row],[Pontuação]]&gt;=5,"Próximo","Não")))</f>
        <v>Não</v>
      </c>
      <c r="B572" t="str">
        <f>IF(Rel_2026[[#This Row],[Zero]]=0,"Zero",IF(Rel_2026[[#This Row],[Pontuação2]]&gt;=10,"Sim",IF(Rel_2026[[#This Row],[Pontuação2]]&gt;=5,"Próximo","Não")))</f>
        <v>Não</v>
      </c>
      <c r="C572" t="str">
        <f>IFERROR(VLOOKUP(Rel_2026[[#This Row],[chave_loja]],Responsavel!A:B,2,FALSE),"EUCLIDES")</f>
        <v>CÉLIO</v>
      </c>
      <c r="D572" t="str">
        <f>LEFT(Rel_2026[[#This Row],[ag_pacb]],4)</f>
        <v>1234</v>
      </c>
      <c r="E572">
        <v>424834</v>
      </c>
      <c r="F572" t="s">
        <v>1335</v>
      </c>
      <c r="G572" t="s">
        <v>1336</v>
      </c>
      <c r="H572" s="1">
        <v>46195</v>
      </c>
      <c r="I572" t="s">
        <v>23</v>
      </c>
      <c r="J572" t="s">
        <v>24</v>
      </c>
      <c r="K572" s="1">
        <v>46189</v>
      </c>
      <c r="L572" s="1">
        <v>46225</v>
      </c>
      <c r="M572" t="s">
        <v>32</v>
      </c>
      <c r="N572" s="1">
        <v>46244</v>
      </c>
      <c r="O572">
        <v>23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 t="s">
        <v>26</v>
      </c>
      <c r="AI572" t="s">
        <v>27</v>
      </c>
      <c r="AJ572" s="1"/>
      <c r="AK572" t="s">
        <v>28</v>
      </c>
      <c r="AL57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72">
        <f>SUM(Rel_2026[[#This Row],[qtd_TrxContabil]:[VLR_EXP_SORTE]])</f>
        <v>23</v>
      </c>
      <c r="AN57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73" spans="1:40" x14ac:dyDescent="0.3">
      <c r="A573" t="str">
        <f>IF(Rel_2026[[#This Row],[Zero]]=0,"Zero",IF(Rel_2026[[#This Row],[Pontuação]]&gt;=10,"Sim",IF(Rel_2026[[#This Row],[Pontuação]]&gt;=5,"Próximo","Não")))</f>
        <v>Não</v>
      </c>
      <c r="B573" t="str">
        <f>IF(Rel_2026[[#This Row],[Zero]]=0,"Zero",IF(Rel_2026[[#This Row],[Pontuação2]]&gt;=10,"Sim",IF(Rel_2026[[#This Row],[Pontuação2]]&gt;=5,"Próximo","Não")))</f>
        <v>Não</v>
      </c>
      <c r="C573" t="str">
        <f>IFERROR(VLOOKUP(Rel_2026[[#This Row],[chave_loja]],Responsavel!A:B,2,FALSE),"EUCLIDES")</f>
        <v>ISMAEL</v>
      </c>
      <c r="D573" t="str">
        <f>LEFT(Rel_2026[[#This Row],[ag_pacb]],4)</f>
        <v>1302</v>
      </c>
      <c r="E573">
        <v>424165</v>
      </c>
      <c r="F573" t="s">
        <v>1284</v>
      </c>
      <c r="G573" t="s">
        <v>1285</v>
      </c>
      <c r="H573" s="1">
        <v>46168</v>
      </c>
      <c r="I573" t="s">
        <v>23</v>
      </c>
      <c r="J573" t="s">
        <v>71</v>
      </c>
      <c r="K573" s="1">
        <v>46154</v>
      </c>
      <c r="L573" s="1">
        <v>46227</v>
      </c>
      <c r="M573" t="s">
        <v>32</v>
      </c>
      <c r="N573" s="1">
        <v>46254</v>
      </c>
      <c r="O573">
        <v>300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 t="s">
        <v>38</v>
      </c>
      <c r="AI573" t="s">
        <v>27</v>
      </c>
      <c r="AJ573" s="1"/>
      <c r="AK573" t="s">
        <v>28</v>
      </c>
      <c r="AL57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73">
        <f>SUM(Rel_2026[[#This Row],[qtd_TrxContabil]:[VLR_EXP_SORTE]])</f>
        <v>300</v>
      </c>
      <c r="AN57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74" spans="1:40" x14ac:dyDescent="0.3">
      <c r="A574" t="str">
        <f>IF(Rel_2026[[#This Row],[Zero]]=0,"Zero",IF(Rel_2026[[#This Row],[Pontuação]]&gt;=10,"Sim",IF(Rel_2026[[#This Row],[Pontuação]]&gt;=5,"Próximo","Não")))</f>
        <v>Não</v>
      </c>
      <c r="B574" t="str">
        <f>IF(Rel_2026[[#This Row],[Zero]]=0,"Zero",IF(Rel_2026[[#This Row],[Pontuação2]]&gt;=10,"Sim",IF(Rel_2026[[#This Row],[Pontuação2]]&gt;=5,"Próximo","Não")))</f>
        <v>Não</v>
      </c>
      <c r="C574" t="str">
        <f>IFERROR(VLOOKUP(Rel_2026[[#This Row],[chave_loja]],Responsavel!A:B,2,FALSE),"EUCLIDES")</f>
        <v>GIL</v>
      </c>
      <c r="D574" t="str">
        <f>LEFT(Rel_2026[[#This Row],[ag_pacb]],4)</f>
        <v>0715</v>
      </c>
      <c r="E574">
        <v>147505</v>
      </c>
      <c r="F574" t="s">
        <v>535</v>
      </c>
      <c r="G574" t="s">
        <v>536</v>
      </c>
      <c r="H574" s="1">
        <v>44544</v>
      </c>
      <c r="I574" t="s">
        <v>23</v>
      </c>
      <c r="J574" t="s">
        <v>202</v>
      </c>
      <c r="K574" s="1">
        <v>42432</v>
      </c>
      <c r="L574" s="1">
        <v>46148</v>
      </c>
      <c r="M574" t="s">
        <v>32</v>
      </c>
      <c r="N574" s="1">
        <v>46254</v>
      </c>
      <c r="O574">
        <v>628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2800</v>
      </c>
      <c r="V574">
        <v>2800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45</v>
      </c>
      <c r="AH574" t="s">
        <v>38</v>
      </c>
      <c r="AI574" t="s">
        <v>27</v>
      </c>
      <c r="AJ574" s="1"/>
      <c r="AK574" t="s">
        <v>28</v>
      </c>
      <c r="AL57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</v>
      </c>
      <c r="AM574">
        <f>SUM(Rel_2026[[#This Row],[qtd_TrxContabil]:[VLR_EXP_SORTE]])</f>
        <v>6273</v>
      </c>
      <c r="AN57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</v>
      </c>
    </row>
    <row r="575" spans="1:40" x14ac:dyDescent="0.3">
      <c r="A575" t="str">
        <f>IF(Rel_2026[[#This Row],[Zero]]=0,"Zero",IF(Rel_2026[[#This Row],[Pontuação]]&gt;=10,"Sim",IF(Rel_2026[[#This Row],[Pontuação]]&gt;=5,"Próximo","Não")))</f>
        <v>Não</v>
      </c>
      <c r="B575" t="str">
        <f>IF(Rel_2026[[#This Row],[Zero]]=0,"Zero",IF(Rel_2026[[#This Row],[Pontuação2]]&gt;=10,"Sim",IF(Rel_2026[[#This Row],[Pontuação2]]&gt;=5,"Próximo","Não")))</f>
        <v>Não</v>
      </c>
      <c r="C575" t="str">
        <f>IFERROR(VLOOKUP(Rel_2026[[#This Row],[chave_loja]],Responsavel!A:B,2,FALSE),"EUCLIDES")</f>
        <v>DARIO</v>
      </c>
      <c r="D575" t="str">
        <f>LEFT(Rel_2026[[#This Row],[ag_pacb]],4)</f>
        <v>1781</v>
      </c>
      <c r="E575">
        <v>156399</v>
      </c>
      <c r="F575" t="s">
        <v>476</v>
      </c>
      <c r="G575" t="s">
        <v>477</v>
      </c>
      <c r="H575" s="1">
        <v>45244</v>
      </c>
      <c r="I575" t="s">
        <v>23</v>
      </c>
      <c r="J575" t="s">
        <v>478</v>
      </c>
      <c r="K575" s="1">
        <v>42930</v>
      </c>
      <c r="L575" s="1">
        <v>44834</v>
      </c>
      <c r="M575" t="s">
        <v>25</v>
      </c>
      <c r="N575" s="1">
        <v>46254</v>
      </c>
      <c r="O575">
        <v>2491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 t="s">
        <v>38</v>
      </c>
      <c r="AI575" t="s">
        <v>27</v>
      </c>
      <c r="AJ575" s="1"/>
      <c r="AK575" t="s">
        <v>28</v>
      </c>
      <c r="AL57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75">
        <f>SUM(Rel_2026[[#This Row],[qtd_TrxContabil]:[VLR_EXP_SORTE]])</f>
        <v>2491</v>
      </c>
      <c r="AN57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76" spans="1:40" x14ac:dyDescent="0.3">
      <c r="A576" t="str">
        <f>IF(Rel_2026[[#This Row],[Zero]]=0,"Zero",IF(Rel_2026[[#This Row],[Pontuação]]&gt;=10,"Sim",IF(Rel_2026[[#This Row],[Pontuação]]&gt;=5,"Próximo","Não")))</f>
        <v>Zero</v>
      </c>
      <c r="B576" t="str">
        <f>IF(Rel_2026[[#This Row],[Zero]]=0,"Zero",IF(Rel_2026[[#This Row],[Pontuação2]]&gt;=10,"Sim",IF(Rel_2026[[#This Row],[Pontuação2]]&gt;=5,"Próximo","Não")))</f>
        <v>Zero</v>
      </c>
      <c r="C576" t="str">
        <f>IFERROR(VLOOKUP(Rel_2026[[#This Row],[chave_loja]],Responsavel!A:B,2,FALSE),"EUCLIDES")</f>
        <v>ROSSY</v>
      </c>
      <c r="D576" t="str">
        <f>LEFT(Rel_2026[[#This Row],[ag_pacb]],4)</f>
        <v>0854</v>
      </c>
      <c r="E576">
        <v>417617</v>
      </c>
      <c r="F576" t="s">
        <v>971</v>
      </c>
      <c r="G576" t="s">
        <v>972</v>
      </c>
      <c r="H576" s="1">
        <v>45919</v>
      </c>
      <c r="I576" t="s">
        <v>875</v>
      </c>
      <c r="J576" t="s">
        <v>876</v>
      </c>
      <c r="K576" s="1">
        <v>45912</v>
      </c>
      <c r="L576" s="1">
        <v>45925</v>
      </c>
      <c r="M576" t="s">
        <v>109</v>
      </c>
      <c r="N576" s="1">
        <v>46216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 t="s">
        <v>26</v>
      </c>
      <c r="AI576" t="s">
        <v>27</v>
      </c>
      <c r="AJ576" s="1"/>
      <c r="AK576" t="s">
        <v>28</v>
      </c>
      <c r="AL57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76">
        <f>SUM(Rel_2026[[#This Row],[qtd_TrxContabil]:[VLR_EXP_SORTE]])</f>
        <v>0</v>
      </c>
      <c r="AN57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77" spans="1:40" x14ac:dyDescent="0.3">
      <c r="A577" t="str">
        <f>IF(Rel_2026[[#This Row],[Zero]]=0,"Zero",IF(Rel_2026[[#This Row],[Pontuação]]&gt;=10,"Sim",IF(Rel_2026[[#This Row],[Pontuação]]&gt;=5,"Próximo","Não")))</f>
        <v>Zero</v>
      </c>
      <c r="B577" t="str">
        <f>IF(Rel_2026[[#This Row],[Zero]]=0,"Zero",IF(Rel_2026[[#This Row],[Pontuação2]]&gt;=10,"Sim",IF(Rel_2026[[#This Row],[Pontuação2]]&gt;=5,"Próximo","Não")))</f>
        <v>Zero</v>
      </c>
      <c r="C577" t="str">
        <f>IFERROR(VLOOKUP(Rel_2026[[#This Row],[chave_loja]],Responsavel!A:B,2,FALSE),"EUCLIDES")</f>
        <v>JUNIOR</v>
      </c>
      <c r="D577" t="str">
        <f>LEFT(Rel_2026[[#This Row],[ag_pacb]],4)</f>
        <v>1351</v>
      </c>
      <c r="E577">
        <v>422756</v>
      </c>
      <c r="F577" t="s">
        <v>1369</v>
      </c>
      <c r="G577" t="s">
        <v>1370</v>
      </c>
      <c r="H577" s="1">
        <v>46091</v>
      </c>
      <c r="I577" t="s">
        <v>23</v>
      </c>
      <c r="J577" t="s">
        <v>993</v>
      </c>
      <c r="K577" s="1">
        <v>46085</v>
      </c>
      <c r="L577" s="1">
        <v>46136</v>
      </c>
      <c r="M577" t="s">
        <v>32</v>
      </c>
      <c r="N577" s="1">
        <v>46202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 t="s">
        <v>26</v>
      </c>
      <c r="AI577" t="s">
        <v>27</v>
      </c>
      <c r="AJ577" s="1"/>
      <c r="AK577" t="s">
        <v>28</v>
      </c>
      <c r="AL57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77">
        <f>SUM(Rel_2026[[#This Row],[qtd_TrxContabil]:[VLR_EXP_SORTE]])</f>
        <v>0</v>
      </c>
      <c r="AN57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78" spans="1:40" x14ac:dyDescent="0.3">
      <c r="A578" t="str">
        <f>IF(Rel_2026[[#This Row],[Zero]]=0,"Zero",IF(Rel_2026[[#This Row],[Pontuação]]&gt;=10,"Sim",IF(Rel_2026[[#This Row],[Pontuação]]&gt;=5,"Próximo","Não")))</f>
        <v>Não</v>
      </c>
      <c r="B578" t="str">
        <f>IF(Rel_2026[[#This Row],[Zero]]=0,"Zero",IF(Rel_2026[[#This Row],[Pontuação2]]&gt;=10,"Sim",IF(Rel_2026[[#This Row],[Pontuação2]]&gt;=5,"Próximo","Não")))</f>
        <v>Não</v>
      </c>
      <c r="C578" t="str">
        <f>IFERROR(VLOOKUP(Rel_2026[[#This Row],[chave_loja]],Responsavel!A:B,2,FALSE),"EUCLIDES")</f>
        <v>GIL</v>
      </c>
      <c r="D578" t="str">
        <f>LEFT(Rel_2026[[#This Row],[ag_pacb]],4)</f>
        <v>0715</v>
      </c>
      <c r="E578">
        <v>169798</v>
      </c>
      <c r="F578" t="s">
        <v>351</v>
      </c>
      <c r="G578" t="s">
        <v>352</v>
      </c>
      <c r="H578" s="1">
        <v>46136</v>
      </c>
      <c r="I578" t="s">
        <v>23</v>
      </c>
      <c r="J578" t="s">
        <v>240</v>
      </c>
      <c r="K578" s="1">
        <v>43370</v>
      </c>
      <c r="L578" s="1">
        <v>45266</v>
      </c>
      <c r="M578" t="s">
        <v>32</v>
      </c>
      <c r="N578" s="1">
        <v>46254</v>
      </c>
      <c r="O578">
        <v>202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 t="s">
        <v>26</v>
      </c>
      <c r="AI578" t="s">
        <v>27</v>
      </c>
      <c r="AJ578" s="1"/>
      <c r="AK578" t="s">
        <v>28</v>
      </c>
      <c r="AL57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78">
        <f>SUM(Rel_2026[[#This Row],[qtd_TrxContabil]:[VLR_EXP_SORTE]])</f>
        <v>202</v>
      </c>
      <c r="AN57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79" spans="1:40" x14ac:dyDescent="0.3">
      <c r="A579" t="str">
        <f>IF(Rel_2026[[#This Row],[Zero]]=0,"Zero",IF(Rel_2026[[#This Row],[Pontuação]]&gt;=10,"Sim",IF(Rel_2026[[#This Row],[Pontuação]]&gt;=5,"Próximo","Não")))</f>
        <v>Próximo</v>
      </c>
      <c r="B579" t="str">
        <f>IF(Rel_2026[[#This Row],[Zero]]=0,"Zero",IF(Rel_2026[[#This Row],[Pontuação2]]&gt;=10,"Sim",IF(Rel_2026[[#This Row],[Pontuação2]]&gt;=5,"Próximo","Não")))</f>
        <v>Sim</v>
      </c>
      <c r="C579" t="str">
        <f>IFERROR(VLOOKUP(Rel_2026[[#This Row],[chave_loja]],Responsavel!A:B,2,FALSE),"EUCLIDES")</f>
        <v>WASTHSON</v>
      </c>
      <c r="D579" t="str">
        <f>LEFT(Rel_2026[[#This Row],[ag_pacb]],4)</f>
        <v>0458</v>
      </c>
      <c r="E579">
        <v>227208</v>
      </c>
      <c r="F579" t="s">
        <v>1016</v>
      </c>
      <c r="G579" t="s">
        <v>1017</v>
      </c>
      <c r="H579" s="1">
        <v>45134</v>
      </c>
      <c r="I579" t="s">
        <v>23</v>
      </c>
      <c r="J579" t="s">
        <v>759</v>
      </c>
      <c r="K579" s="1">
        <v>44804</v>
      </c>
      <c r="L579" s="1">
        <v>44596</v>
      </c>
      <c r="M579" t="s">
        <v>32</v>
      </c>
      <c r="N579" s="1">
        <v>46254</v>
      </c>
      <c r="O579">
        <v>2238</v>
      </c>
      <c r="P579">
        <v>1</v>
      </c>
      <c r="Q579">
        <v>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 t="s">
        <v>38</v>
      </c>
      <c r="AI579" t="s">
        <v>27</v>
      </c>
      <c r="AJ579" s="1"/>
      <c r="AK579" t="s">
        <v>28</v>
      </c>
      <c r="AL57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579">
        <f>SUM(Rel_2026[[#This Row],[qtd_TrxContabil]:[VLR_EXP_SORTE]])</f>
        <v>2241</v>
      </c>
      <c r="AN57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580" spans="1:40" x14ac:dyDescent="0.3">
      <c r="A580" t="str">
        <f>IF(Rel_2026[[#This Row],[Zero]]=0,"Zero",IF(Rel_2026[[#This Row],[Pontuação]]&gt;=10,"Sim",IF(Rel_2026[[#This Row],[Pontuação]]&gt;=5,"Próximo","Não")))</f>
        <v>Próximo</v>
      </c>
      <c r="B580" t="str">
        <f>IF(Rel_2026[[#This Row],[Zero]]=0,"Zero",IF(Rel_2026[[#This Row],[Pontuação2]]&gt;=10,"Sim",IF(Rel_2026[[#This Row],[Pontuação2]]&gt;=5,"Próximo","Não")))</f>
        <v>Próximo</v>
      </c>
      <c r="C580" t="str">
        <f>IFERROR(VLOOKUP(Rel_2026[[#This Row],[chave_loja]],Responsavel!A:B,2,FALSE),"EUCLIDES")</f>
        <v>WASTHSON</v>
      </c>
      <c r="D580" t="str">
        <f>LEFT(Rel_2026[[#This Row],[ag_pacb]],4)</f>
        <v>5415</v>
      </c>
      <c r="E580">
        <v>228563</v>
      </c>
      <c r="F580" t="s">
        <v>157</v>
      </c>
      <c r="G580" t="s">
        <v>702</v>
      </c>
      <c r="H580" s="1">
        <v>44581</v>
      </c>
      <c r="I580" t="s">
        <v>23</v>
      </c>
      <c r="J580" t="s">
        <v>158</v>
      </c>
      <c r="K580" s="1">
        <v>45306</v>
      </c>
      <c r="L580" s="1">
        <v>44638</v>
      </c>
      <c r="M580" t="s">
        <v>32</v>
      </c>
      <c r="N580" s="1">
        <v>46254</v>
      </c>
      <c r="O580">
        <v>627</v>
      </c>
      <c r="P580">
        <v>2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 t="s">
        <v>26</v>
      </c>
      <c r="AI580" t="s">
        <v>27</v>
      </c>
      <c r="AJ580" s="1"/>
      <c r="AK580" t="s">
        <v>28</v>
      </c>
      <c r="AL58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  <c r="AM580">
        <f>SUM(Rel_2026[[#This Row],[qtd_TrxContabil]:[VLR_EXP_SORTE]])</f>
        <v>630</v>
      </c>
      <c r="AN58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</v>
      </c>
    </row>
    <row r="581" spans="1:40" x14ac:dyDescent="0.3">
      <c r="A581" t="str">
        <f>IF(Rel_2026[[#This Row],[Zero]]=0,"Zero",IF(Rel_2026[[#This Row],[Pontuação]]&gt;=10,"Sim",IF(Rel_2026[[#This Row],[Pontuação]]&gt;=5,"Próximo","Não")))</f>
        <v>Sim</v>
      </c>
      <c r="B581" t="str">
        <f>IF(Rel_2026[[#This Row],[Zero]]=0,"Zero",IF(Rel_2026[[#This Row],[Pontuação2]]&gt;=10,"Sim",IF(Rel_2026[[#This Row],[Pontuação2]]&gt;=5,"Próximo","Não")))</f>
        <v>Sim</v>
      </c>
      <c r="C581" t="str">
        <f>IFERROR(VLOOKUP(Rel_2026[[#This Row],[chave_loja]],Responsavel!A:B,2,FALSE),"EUCLIDES")</f>
        <v>JACK</v>
      </c>
      <c r="D581" t="str">
        <f>LEFT(Rel_2026[[#This Row],[ag_pacb]],4)</f>
        <v>0985</v>
      </c>
      <c r="E581">
        <v>47457</v>
      </c>
      <c r="F581" t="s">
        <v>819</v>
      </c>
      <c r="G581" t="s">
        <v>820</v>
      </c>
      <c r="H581" s="1">
        <v>44135</v>
      </c>
      <c r="I581" t="s">
        <v>107</v>
      </c>
      <c r="J581" t="s">
        <v>821</v>
      </c>
      <c r="K581" s="1">
        <v>42244</v>
      </c>
      <c r="L581" s="1">
        <v>45455</v>
      </c>
      <c r="M581" t="s">
        <v>109</v>
      </c>
      <c r="N581" s="1">
        <v>46254</v>
      </c>
      <c r="O581">
        <v>1073</v>
      </c>
      <c r="P581">
        <v>3</v>
      </c>
      <c r="Q581">
        <v>0</v>
      </c>
      <c r="R581">
        <v>2</v>
      </c>
      <c r="S581">
        <v>0</v>
      </c>
      <c r="T581">
        <v>1683</v>
      </c>
      <c r="U581">
        <v>2244</v>
      </c>
      <c r="V581">
        <v>2244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1</v>
      </c>
      <c r="AE581">
        <v>0</v>
      </c>
      <c r="AF581">
        <v>1</v>
      </c>
      <c r="AG581">
        <v>10</v>
      </c>
      <c r="AH581" t="s">
        <v>26</v>
      </c>
      <c r="AI581" t="s">
        <v>27</v>
      </c>
      <c r="AJ581" s="1"/>
      <c r="AK581" t="s">
        <v>28</v>
      </c>
      <c r="AL58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  <c r="AM581">
        <f>SUM(Rel_2026[[#This Row],[qtd_TrxContabil]:[VLR_EXP_SORTE]])</f>
        <v>7262</v>
      </c>
      <c r="AN58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36</v>
      </c>
    </row>
    <row r="582" spans="1:40" x14ac:dyDescent="0.3">
      <c r="A582" t="str">
        <f>IF(Rel_2026[[#This Row],[Zero]]=0,"Zero",IF(Rel_2026[[#This Row],[Pontuação]]&gt;=10,"Sim",IF(Rel_2026[[#This Row],[Pontuação]]&gt;=5,"Próximo","Não")))</f>
        <v>Sim</v>
      </c>
      <c r="B582" t="str">
        <f>IF(Rel_2026[[#This Row],[Zero]]=0,"Zero",IF(Rel_2026[[#This Row],[Pontuação2]]&gt;=10,"Sim",IF(Rel_2026[[#This Row],[Pontuação2]]&gt;=5,"Próximo","Não")))</f>
        <v>Sim</v>
      </c>
      <c r="C582" t="str">
        <f>IFERROR(VLOOKUP(Rel_2026[[#This Row],[chave_loja]],Responsavel!A:B,2,FALSE),"EUCLIDES")</f>
        <v>PAULO</v>
      </c>
      <c r="D582" t="str">
        <f>LEFT(Rel_2026[[#This Row],[ag_pacb]],4)</f>
        <v>0937</v>
      </c>
      <c r="E582">
        <v>74848</v>
      </c>
      <c r="F582" t="s">
        <v>1118</v>
      </c>
      <c r="G582" t="s">
        <v>1119</v>
      </c>
      <c r="H582" s="1">
        <v>44279</v>
      </c>
      <c r="I582" t="s">
        <v>107</v>
      </c>
      <c r="J582" t="s">
        <v>1120</v>
      </c>
      <c r="K582" s="1">
        <v>42221</v>
      </c>
      <c r="L582" s="1">
        <v>45548</v>
      </c>
      <c r="M582" t="s">
        <v>109</v>
      </c>
      <c r="N582" s="1">
        <v>46254</v>
      </c>
      <c r="O582">
        <v>554</v>
      </c>
      <c r="P582">
        <v>5</v>
      </c>
      <c r="Q582">
        <v>4</v>
      </c>
      <c r="R582">
        <v>5</v>
      </c>
      <c r="S582">
        <v>2</v>
      </c>
      <c r="T582">
        <v>0</v>
      </c>
      <c r="U582">
        <v>24000</v>
      </c>
      <c r="V582">
        <v>24000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2</v>
      </c>
      <c r="AC582">
        <v>0</v>
      </c>
      <c r="AD582">
        <v>0</v>
      </c>
      <c r="AE582">
        <v>0</v>
      </c>
      <c r="AF582">
        <v>5</v>
      </c>
      <c r="AG582">
        <v>0</v>
      </c>
      <c r="AH582" t="s">
        <v>38</v>
      </c>
      <c r="AI582" t="s">
        <v>27</v>
      </c>
      <c r="AJ582" s="1"/>
      <c r="AK582" t="s">
        <v>28</v>
      </c>
      <c r="AL58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55</v>
      </c>
      <c r="AM582">
        <f>SUM(Rel_2026[[#This Row],[qtd_TrxContabil]:[VLR_EXP_SORTE]])</f>
        <v>48577</v>
      </c>
      <c r="AN58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70</v>
      </c>
    </row>
    <row r="583" spans="1:40" x14ac:dyDescent="0.3">
      <c r="A583" t="str">
        <f>IF(Rel_2026[[#This Row],[Zero]]=0,"Zero",IF(Rel_2026[[#This Row],[Pontuação]]&gt;=10,"Sim",IF(Rel_2026[[#This Row],[Pontuação]]&gt;=5,"Próximo","Não")))</f>
        <v>Sim</v>
      </c>
      <c r="B583" t="str">
        <f>IF(Rel_2026[[#This Row],[Zero]]=0,"Zero",IF(Rel_2026[[#This Row],[Pontuação2]]&gt;=10,"Sim",IF(Rel_2026[[#This Row],[Pontuação2]]&gt;=5,"Próximo","Não")))</f>
        <v>Sim</v>
      </c>
      <c r="C583" t="str">
        <f>IFERROR(VLOOKUP(Rel_2026[[#This Row],[chave_loja]],Responsavel!A:B,2,FALSE),"EUCLIDES")</f>
        <v>WASTHSON</v>
      </c>
      <c r="D583" t="str">
        <f>LEFT(Rel_2026[[#This Row],[ag_pacb]],4)</f>
        <v>5415</v>
      </c>
      <c r="E583">
        <v>155427</v>
      </c>
      <c r="F583" t="s">
        <v>1278</v>
      </c>
      <c r="G583" t="s">
        <v>1279</v>
      </c>
      <c r="H583" s="1">
        <v>45159</v>
      </c>
      <c r="I583" t="s">
        <v>23</v>
      </c>
      <c r="J583" t="s">
        <v>199</v>
      </c>
      <c r="K583" s="1">
        <v>42744</v>
      </c>
      <c r="L583" s="1">
        <v>44636</v>
      </c>
      <c r="M583" t="s">
        <v>32</v>
      </c>
      <c r="N583" s="1">
        <v>46254</v>
      </c>
      <c r="O583">
        <v>2294</v>
      </c>
      <c r="P583">
        <v>10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 t="s">
        <v>26</v>
      </c>
      <c r="AI583" t="s">
        <v>27</v>
      </c>
      <c r="AJ583" s="1"/>
      <c r="AK583" t="s">
        <v>28</v>
      </c>
      <c r="AL58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  <c r="AM583">
        <f>SUM(Rel_2026[[#This Row],[qtd_TrxContabil]:[VLR_EXP_SORTE]])</f>
        <v>2304</v>
      </c>
      <c r="AN58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</row>
    <row r="584" spans="1:40" x14ac:dyDescent="0.3">
      <c r="A584" t="str">
        <f>IF(Rel_2026[[#This Row],[Zero]]=0,"Zero",IF(Rel_2026[[#This Row],[Pontuação]]&gt;=10,"Sim",IF(Rel_2026[[#This Row],[Pontuação]]&gt;=5,"Próximo","Não")))</f>
        <v>Zero</v>
      </c>
      <c r="B584" t="str">
        <f>IF(Rel_2026[[#This Row],[Zero]]=0,"Zero",IF(Rel_2026[[#This Row],[Pontuação2]]&gt;=10,"Sim",IF(Rel_2026[[#This Row],[Pontuação2]]&gt;=5,"Próximo","Não")))</f>
        <v>Zero</v>
      </c>
      <c r="C584" t="str">
        <f>IFERROR(VLOOKUP(Rel_2026[[#This Row],[chave_loja]],Responsavel!A:B,2,FALSE),"EUCLIDES")</f>
        <v>CÉLIO</v>
      </c>
      <c r="D584" t="str">
        <f>LEFT(Rel_2026[[#This Row],[ag_pacb]],4)</f>
        <v>0742</v>
      </c>
      <c r="E584">
        <v>412634</v>
      </c>
      <c r="F584" t="s">
        <v>100</v>
      </c>
      <c r="G584" t="s">
        <v>101</v>
      </c>
      <c r="H584" s="1">
        <v>45799</v>
      </c>
      <c r="I584" t="s">
        <v>23</v>
      </c>
      <c r="J584" t="s">
        <v>24</v>
      </c>
      <c r="K584" s="1">
        <v>45791</v>
      </c>
      <c r="L584" s="1">
        <v>45818</v>
      </c>
      <c r="M584" t="s">
        <v>32</v>
      </c>
      <c r="N584" s="1">
        <v>46007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 t="s">
        <v>26</v>
      </c>
      <c r="AI584" t="s">
        <v>56</v>
      </c>
      <c r="AJ584" s="1">
        <v>46083</v>
      </c>
      <c r="AK584" t="s">
        <v>28</v>
      </c>
      <c r="AL58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84">
        <f>SUM(Rel_2026[[#This Row],[qtd_TrxContabil]:[VLR_EXP_SORTE]])</f>
        <v>0</v>
      </c>
      <c r="AN58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85" spans="1:40" x14ac:dyDescent="0.3">
      <c r="A585" t="str">
        <f>IF(Rel_2026[[#This Row],[Zero]]=0,"Zero",IF(Rel_2026[[#This Row],[Pontuação]]&gt;=10,"Sim",IF(Rel_2026[[#This Row],[Pontuação]]&gt;=5,"Próximo","Não")))</f>
        <v>Zero</v>
      </c>
      <c r="B585" t="str">
        <f>IF(Rel_2026[[#This Row],[Zero]]=0,"Zero",IF(Rel_2026[[#This Row],[Pontuação2]]&gt;=10,"Sim",IF(Rel_2026[[#This Row],[Pontuação2]]&gt;=5,"Próximo","Não")))</f>
        <v>Zero</v>
      </c>
      <c r="C585" t="str">
        <f>IFERROR(VLOOKUP(Rel_2026[[#This Row],[chave_loja]],Responsavel!A:B,2,FALSE),"EUCLIDES")</f>
        <v>CÉLIO</v>
      </c>
      <c r="D585" t="str">
        <f>LEFT(Rel_2026[[#This Row],[ag_pacb]],4)</f>
        <v>0645</v>
      </c>
      <c r="E585">
        <v>414401</v>
      </c>
      <c r="F585" t="s">
        <v>1042</v>
      </c>
      <c r="G585" t="s">
        <v>1043</v>
      </c>
      <c r="H585" s="1">
        <v>45905</v>
      </c>
      <c r="I585" t="s">
        <v>23</v>
      </c>
      <c r="J585" t="s">
        <v>24</v>
      </c>
      <c r="K585" s="1">
        <v>45838</v>
      </c>
      <c r="L585" s="1">
        <v>45965</v>
      </c>
      <c r="M585" t="s">
        <v>32</v>
      </c>
      <c r="N585" s="1">
        <v>46209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 t="s">
        <v>38</v>
      </c>
      <c r="AI585" t="s">
        <v>27</v>
      </c>
      <c r="AJ585" s="1"/>
      <c r="AK585" t="s">
        <v>28</v>
      </c>
      <c r="AL58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85">
        <f>SUM(Rel_2026[[#This Row],[qtd_TrxContabil]:[VLR_EXP_SORTE]])</f>
        <v>0</v>
      </c>
      <c r="AN58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86" spans="1:40" x14ac:dyDescent="0.3">
      <c r="A586" t="str">
        <f>IF(Rel_2026[[#This Row],[Zero]]=0,"Zero",IF(Rel_2026[[#This Row],[Pontuação]]&gt;=10,"Sim",IF(Rel_2026[[#This Row],[Pontuação]]&gt;=5,"Próximo","Não")))</f>
        <v>Não</v>
      </c>
      <c r="B586" t="str">
        <f>IF(Rel_2026[[#This Row],[Zero]]=0,"Zero",IF(Rel_2026[[#This Row],[Pontuação2]]&gt;=10,"Sim",IF(Rel_2026[[#This Row],[Pontuação2]]&gt;=5,"Próximo","Não")))</f>
        <v>Não</v>
      </c>
      <c r="C586" t="str">
        <f>IFERROR(VLOOKUP(Rel_2026[[#This Row],[chave_loja]],Responsavel!A:B,2,FALSE),"EUCLIDES")</f>
        <v>ISMAEL</v>
      </c>
      <c r="D586" t="str">
        <f>LEFT(Rel_2026[[#This Row],[ag_pacb]],4)</f>
        <v>1302</v>
      </c>
      <c r="E586">
        <v>421735</v>
      </c>
      <c r="F586" t="s">
        <v>1046</v>
      </c>
      <c r="G586" t="s">
        <v>1047</v>
      </c>
      <c r="H586" s="1">
        <v>46038</v>
      </c>
      <c r="I586" t="s">
        <v>23</v>
      </c>
      <c r="J586" t="s">
        <v>51</v>
      </c>
      <c r="K586" s="1">
        <v>46032</v>
      </c>
      <c r="L586" s="1">
        <v>46050</v>
      </c>
      <c r="M586" t="s">
        <v>32</v>
      </c>
      <c r="N586" s="1">
        <v>46253</v>
      </c>
      <c r="O586">
        <v>209</v>
      </c>
      <c r="P586">
        <v>0</v>
      </c>
      <c r="Q586">
        <v>0</v>
      </c>
      <c r="R586">
        <v>0</v>
      </c>
      <c r="S586">
        <v>0</v>
      </c>
      <c r="T586">
        <v>150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 t="s">
        <v>26</v>
      </c>
      <c r="AI586" t="s">
        <v>27</v>
      </c>
      <c r="AJ586" s="1"/>
      <c r="AK586" t="s">
        <v>28</v>
      </c>
      <c r="AL58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</v>
      </c>
      <c r="AM586">
        <f>SUM(Rel_2026[[#This Row],[qtd_TrxContabil]:[VLR_EXP_SORTE]])</f>
        <v>359</v>
      </c>
      <c r="AN58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</v>
      </c>
    </row>
    <row r="587" spans="1:40" x14ac:dyDescent="0.3">
      <c r="A587" t="str">
        <f>IF(Rel_2026[[#This Row],[Zero]]=0,"Zero",IF(Rel_2026[[#This Row],[Pontuação]]&gt;=10,"Sim",IF(Rel_2026[[#This Row],[Pontuação]]&gt;=5,"Próximo","Não")))</f>
        <v>Não</v>
      </c>
      <c r="B587" t="str">
        <f>IF(Rel_2026[[#This Row],[Zero]]=0,"Zero",IF(Rel_2026[[#This Row],[Pontuação2]]&gt;=10,"Sim",IF(Rel_2026[[#This Row],[Pontuação2]]&gt;=5,"Próximo","Não")))</f>
        <v>Não</v>
      </c>
      <c r="C587" t="str">
        <f>IFERROR(VLOOKUP(Rel_2026[[#This Row],[chave_loja]],Responsavel!A:B,2,FALSE),"EUCLIDES")</f>
        <v>ROSSY</v>
      </c>
      <c r="D587" t="str">
        <f>LEFT(Rel_2026[[#This Row],[ag_pacb]],4)</f>
        <v>3848</v>
      </c>
      <c r="E587">
        <v>239280</v>
      </c>
      <c r="F587" t="s">
        <v>918</v>
      </c>
      <c r="G587" t="s">
        <v>1225</v>
      </c>
      <c r="H587" s="1">
        <v>44809</v>
      </c>
      <c r="I587" t="s">
        <v>107</v>
      </c>
      <c r="J587" t="s">
        <v>818</v>
      </c>
      <c r="K587" s="1">
        <v>45306</v>
      </c>
      <c r="L587" s="1">
        <v>44893</v>
      </c>
      <c r="M587" t="s">
        <v>109</v>
      </c>
      <c r="N587" s="1">
        <v>46254</v>
      </c>
      <c r="O587">
        <v>484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 t="s">
        <v>26</v>
      </c>
      <c r="AI587" t="s">
        <v>27</v>
      </c>
      <c r="AJ587" s="1"/>
      <c r="AK587" t="s">
        <v>28</v>
      </c>
      <c r="AL58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87">
        <f>SUM(Rel_2026[[#This Row],[qtd_TrxContabil]:[VLR_EXP_SORTE]])</f>
        <v>484</v>
      </c>
      <c r="AN58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88" spans="1:40" x14ac:dyDescent="0.3">
      <c r="A588" t="str">
        <f>IF(Rel_2026[[#This Row],[Zero]]=0,"Zero",IF(Rel_2026[[#This Row],[Pontuação]]&gt;=10,"Sim",IF(Rel_2026[[#This Row],[Pontuação]]&gt;=5,"Próximo","Não")))</f>
        <v>Não</v>
      </c>
      <c r="B588" t="str">
        <f>IF(Rel_2026[[#This Row],[Zero]]=0,"Zero",IF(Rel_2026[[#This Row],[Pontuação2]]&gt;=10,"Sim",IF(Rel_2026[[#This Row],[Pontuação2]]&gt;=5,"Próximo","Não")))</f>
        <v>Não</v>
      </c>
      <c r="C588" t="str">
        <f>IFERROR(VLOOKUP(Rel_2026[[#This Row],[chave_loja]],Responsavel!A:B,2,FALSE),"EUCLIDES")</f>
        <v>JUNIOR</v>
      </c>
      <c r="D588" t="str">
        <f>LEFT(Rel_2026[[#This Row],[ag_pacb]],4)</f>
        <v>1351</v>
      </c>
      <c r="E588">
        <v>236145</v>
      </c>
      <c r="F588" t="s">
        <v>205</v>
      </c>
      <c r="G588" t="s">
        <v>206</v>
      </c>
      <c r="H588" s="1">
        <v>45212</v>
      </c>
      <c r="I588" t="s">
        <v>23</v>
      </c>
      <c r="J588" t="s">
        <v>142</v>
      </c>
      <c r="K588" s="1">
        <v>44809</v>
      </c>
      <c r="L588" s="1">
        <v>44783</v>
      </c>
      <c r="M588" t="s">
        <v>32</v>
      </c>
      <c r="N588" s="1">
        <v>46251</v>
      </c>
      <c r="O588">
        <v>145</v>
      </c>
      <c r="P588">
        <v>0</v>
      </c>
      <c r="Q588">
        <v>0</v>
      </c>
      <c r="R588">
        <v>0</v>
      </c>
      <c r="S588">
        <v>0</v>
      </c>
      <c r="T588">
        <v>200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 t="s">
        <v>26</v>
      </c>
      <c r="AI588" t="s">
        <v>27</v>
      </c>
      <c r="AJ588" s="1"/>
      <c r="AK588" t="s">
        <v>28</v>
      </c>
      <c r="AL58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</v>
      </c>
      <c r="AM588">
        <f>SUM(Rel_2026[[#This Row],[qtd_TrxContabil]:[VLR_EXP_SORTE]])</f>
        <v>345</v>
      </c>
      <c r="AN58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</v>
      </c>
    </row>
    <row r="589" spans="1:40" x14ac:dyDescent="0.3">
      <c r="A589" t="str">
        <f>IF(Rel_2026[[#This Row],[Zero]]=0,"Zero",IF(Rel_2026[[#This Row],[Pontuação]]&gt;=10,"Sim",IF(Rel_2026[[#This Row],[Pontuação]]&gt;=5,"Próximo","Não")))</f>
        <v>Sim</v>
      </c>
      <c r="B589" t="str">
        <f>IF(Rel_2026[[#This Row],[Zero]]=0,"Zero",IF(Rel_2026[[#This Row],[Pontuação2]]&gt;=10,"Sim",IF(Rel_2026[[#This Row],[Pontuação2]]&gt;=5,"Próximo","Não")))</f>
        <v>Sim</v>
      </c>
      <c r="C589" t="str">
        <f>IFERROR(VLOOKUP(Rel_2026[[#This Row],[chave_loja]],Responsavel!A:B,2,FALSE),"EUCLIDES")</f>
        <v>IVAN</v>
      </c>
      <c r="D589" t="str">
        <f>LEFT(Rel_2026[[#This Row],[ag_pacb]],4)</f>
        <v>0765</v>
      </c>
      <c r="E589">
        <v>422229</v>
      </c>
      <c r="F589" t="s">
        <v>1108</v>
      </c>
      <c r="G589" t="s">
        <v>1109</v>
      </c>
      <c r="H589" s="1">
        <v>46080</v>
      </c>
      <c r="I589" t="s">
        <v>23</v>
      </c>
      <c r="J589" t="s">
        <v>1013</v>
      </c>
      <c r="K589" s="1">
        <v>46053</v>
      </c>
      <c r="L589" s="1">
        <v>46090</v>
      </c>
      <c r="M589" t="s">
        <v>25</v>
      </c>
      <c r="N589" s="1">
        <v>46254</v>
      </c>
      <c r="O589">
        <v>185</v>
      </c>
      <c r="P589">
        <v>18</v>
      </c>
      <c r="Q589">
        <v>12</v>
      </c>
      <c r="R589">
        <v>13</v>
      </c>
      <c r="S589">
        <v>4</v>
      </c>
      <c r="T589">
        <v>1950</v>
      </c>
      <c r="U589">
        <v>43000</v>
      </c>
      <c r="V589">
        <v>43000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3</v>
      </c>
      <c r="AC589">
        <v>0</v>
      </c>
      <c r="AD589">
        <v>0</v>
      </c>
      <c r="AE589">
        <v>10</v>
      </c>
      <c r="AF589">
        <v>12</v>
      </c>
      <c r="AG589">
        <v>0</v>
      </c>
      <c r="AH589" t="s">
        <v>26</v>
      </c>
      <c r="AI589" t="s">
        <v>27</v>
      </c>
      <c r="AJ589" s="1"/>
      <c r="AK589" t="s">
        <v>28</v>
      </c>
      <c r="AL58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175</v>
      </c>
      <c r="AM589">
        <f>SUM(Rel_2026[[#This Row],[qtd_TrxContabil]:[VLR_EXP_SORTE]])</f>
        <v>88207</v>
      </c>
      <c r="AN58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214</v>
      </c>
    </row>
    <row r="590" spans="1:40" x14ac:dyDescent="0.3">
      <c r="A590" t="str">
        <f>IF(Rel_2026[[#This Row],[Zero]]=0,"Zero",IF(Rel_2026[[#This Row],[Pontuação]]&gt;=10,"Sim",IF(Rel_2026[[#This Row],[Pontuação]]&gt;=5,"Próximo","Não")))</f>
        <v>Sim</v>
      </c>
      <c r="B590" t="str">
        <f>IF(Rel_2026[[#This Row],[Zero]]=0,"Zero",IF(Rel_2026[[#This Row],[Pontuação2]]&gt;=10,"Sim",IF(Rel_2026[[#This Row],[Pontuação2]]&gt;=5,"Próximo","Não")))</f>
        <v>Sim</v>
      </c>
      <c r="C590" t="str">
        <f>IFERROR(VLOOKUP(Rel_2026[[#This Row],[chave_loja]],Responsavel!A:B,2,FALSE),"EUCLIDES")</f>
        <v>DARIO</v>
      </c>
      <c r="D590" t="str">
        <f>LEFT(Rel_2026[[#This Row],[ag_pacb]],4)</f>
        <v>5438</v>
      </c>
      <c r="E590">
        <v>424534</v>
      </c>
      <c r="F590" t="s">
        <v>1297</v>
      </c>
      <c r="G590" t="s">
        <v>1298</v>
      </c>
      <c r="H590" s="1">
        <v>46176</v>
      </c>
      <c r="I590" t="s">
        <v>23</v>
      </c>
      <c r="J590" t="s">
        <v>599</v>
      </c>
      <c r="K590" s="1">
        <v>46171</v>
      </c>
      <c r="L590" s="1">
        <v>46195</v>
      </c>
      <c r="M590" t="s">
        <v>25</v>
      </c>
      <c r="N590" s="1">
        <v>46254</v>
      </c>
      <c r="O590">
        <v>153</v>
      </c>
      <c r="P590">
        <v>25</v>
      </c>
      <c r="Q590">
        <v>20</v>
      </c>
      <c r="R590">
        <v>23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1200</v>
      </c>
      <c r="Z590">
        <v>0</v>
      </c>
      <c r="AA590">
        <v>0</v>
      </c>
      <c r="AB590">
        <v>0</v>
      </c>
      <c r="AC590">
        <v>0</v>
      </c>
      <c r="AD590">
        <v>3</v>
      </c>
      <c r="AE590">
        <v>0</v>
      </c>
      <c r="AF590">
        <v>19</v>
      </c>
      <c r="AG590">
        <v>0</v>
      </c>
      <c r="AH590" t="s">
        <v>26</v>
      </c>
      <c r="AI590" t="s">
        <v>27</v>
      </c>
      <c r="AJ590" s="1"/>
      <c r="AK590" t="s">
        <v>28</v>
      </c>
      <c r="AL59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160</v>
      </c>
      <c r="AM590">
        <f>SUM(Rel_2026[[#This Row],[qtd_TrxContabil]:[VLR_EXP_SORTE]])</f>
        <v>1443</v>
      </c>
      <c r="AN59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229</v>
      </c>
    </row>
    <row r="591" spans="1:40" x14ac:dyDescent="0.3">
      <c r="A591" t="str">
        <f>IF(Rel_2026[[#This Row],[Zero]]=0,"Zero",IF(Rel_2026[[#This Row],[Pontuação]]&gt;=10,"Sim",IF(Rel_2026[[#This Row],[Pontuação]]&gt;=5,"Próximo","Não")))</f>
        <v>Sim</v>
      </c>
      <c r="B591" t="str">
        <f>IF(Rel_2026[[#This Row],[Zero]]=0,"Zero",IF(Rel_2026[[#This Row],[Pontuação2]]&gt;=10,"Sim",IF(Rel_2026[[#This Row],[Pontuação2]]&gt;=5,"Próximo","Não")))</f>
        <v>Sim</v>
      </c>
      <c r="C591" t="str">
        <f>IFERROR(VLOOKUP(Rel_2026[[#This Row],[chave_loja]],Responsavel!A:B,2,FALSE),"EUCLIDES")</f>
        <v>IVAN</v>
      </c>
      <c r="D591" t="str">
        <f>LEFT(Rel_2026[[#This Row],[ag_pacb]],4)</f>
        <v>0716</v>
      </c>
      <c r="E591">
        <v>185994</v>
      </c>
      <c r="F591" t="s">
        <v>176</v>
      </c>
      <c r="G591" t="s">
        <v>177</v>
      </c>
      <c r="H591" s="1">
        <v>45127</v>
      </c>
      <c r="I591" t="s">
        <v>23</v>
      </c>
      <c r="J591" t="s">
        <v>178</v>
      </c>
      <c r="K591" s="1">
        <v>44092</v>
      </c>
      <c r="L591" s="1">
        <v>46168</v>
      </c>
      <c r="M591" t="s">
        <v>25</v>
      </c>
      <c r="N591" s="1">
        <v>46254</v>
      </c>
      <c r="O591">
        <v>1566</v>
      </c>
      <c r="P591">
        <v>18</v>
      </c>
      <c r="Q591">
        <v>0</v>
      </c>
      <c r="R591">
        <v>7</v>
      </c>
      <c r="S591">
        <v>4</v>
      </c>
      <c r="T591">
        <v>939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 t="s">
        <v>26</v>
      </c>
      <c r="AI591" t="s">
        <v>27</v>
      </c>
      <c r="AJ591" s="1"/>
      <c r="AK591" t="s">
        <v>28</v>
      </c>
      <c r="AL59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63</v>
      </c>
      <c r="AM591">
        <f>SUM(Rel_2026[[#This Row],[qtd_TrxContabil]:[VLR_EXP_SORTE]])</f>
        <v>2534</v>
      </c>
      <c r="AN59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84</v>
      </c>
    </row>
    <row r="592" spans="1:40" x14ac:dyDescent="0.3">
      <c r="A592" t="str">
        <f>IF(Rel_2026[[#This Row],[Zero]]=0,"Zero",IF(Rel_2026[[#This Row],[Pontuação]]&gt;=10,"Sim",IF(Rel_2026[[#This Row],[Pontuação]]&gt;=5,"Próximo","Não")))</f>
        <v>Sim</v>
      </c>
      <c r="B592" t="str">
        <f>IF(Rel_2026[[#This Row],[Zero]]=0,"Zero",IF(Rel_2026[[#This Row],[Pontuação2]]&gt;=10,"Sim",IF(Rel_2026[[#This Row],[Pontuação2]]&gt;=5,"Próximo","Não")))</f>
        <v>Sim</v>
      </c>
      <c r="C592" t="str">
        <f>IFERROR(VLOOKUP(Rel_2026[[#This Row],[chave_loja]],Responsavel!A:B,2,FALSE),"EUCLIDES")</f>
        <v>IVAN</v>
      </c>
      <c r="D592" t="str">
        <f>LEFT(Rel_2026[[#This Row],[ag_pacb]],4)</f>
        <v>5366</v>
      </c>
      <c r="E592">
        <v>244635</v>
      </c>
      <c r="F592" t="s">
        <v>138</v>
      </c>
      <c r="G592" t="s">
        <v>139</v>
      </c>
      <c r="H592" s="1">
        <v>45115</v>
      </c>
      <c r="I592" t="s">
        <v>23</v>
      </c>
      <c r="J592" t="s">
        <v>140</v>
      </c>
      <c r="K592" s="1">
        <v>45306</v>
      </c>
      <c r="L592" s="1">
        <v>46037</v>
      </c>
      <c r="M592" t="s">
        <v>25</v>
      </c>
      <c r="N592" s="1">
        <v>46254</v>
      </c>
      <c r="O592">
        <v>55</v>
      </c>
      <c r="P592">
        <v>7</v>
      </c>
      <c r="Q592">
        <v>5</v>
      </c>
      <c r="R592">
        <v>7</v>
      </c>
      <c r="S592">
        <v>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 t="s">
        <v>26</v>
      </c>
      <c r="AI592" t="s">
        <v>27</v>
      </c>
      <c r="AJ592" s="1"/>
      <c r="AK592" t="s">
        <v>28</v>
      </c>
      <c r="AL59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41</v>
      </c>
      <c r="AM592">
        <f>SUM(Rel_2026[[#This Row],[qtd_TrxContabil]:[VLR_EXP_SORTE]])</f>
        <v>76</v>
      </c>
      <c r="AN59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62</v>
      </c>
    </row>
    <row r="593" spans="1:40" x14ac:dyDescent="0.3">
      <c r="A593" t="str">
        <f>IF(Rel_2026[[#This Row],[Zero]]=0,"Zero",IF(Rel_2026[[#This Row],[Pontuação]]&gt;=10,"Sim",IF(Rel_2026[[#This Row],[Pontuação]]&gt;=5,"Próximo","Não")))</f>
        <v>Sim</v>
      </c>
      <c r="B593" t="str">
        <f>IF(Rel_2026[[#This Row],[Zero]]=0,"Zero",IF(Rel_2026[[#This Row],[Pontuação2]]&gt;=10,"Sim",IF(Rel_2026[[#This Row],[Pontuação2]]&gt;=5,"Próximo","Não")))</f>
        <v>Sim</v>
      </c>
      <c r="C593" t="str">
        <f>IFERROR(VLOOKUP(Rel_2026[[#This Row],[chave_loja]],Responsavel!A:B,2,FALSE),"EUCLIDES")</f>
        <v>ALEX SIQUEIRA</v>
      </c>
      <c r="D593" t="str">
        <f>LEFT(Rel_2026[[#This Row],[ag_pacb]],4)</f>
        <v>0752</v>
      </c>
      <c r="E593">
        <v>403515</v>
      </c>
      <c r="F593" t="s">
        <v>768</v>
      </c>
      <c r="G593" t="s">
        <v>769</v>
      </c>
      <c r="H593" s="1">
        <v>45912</v>
      </c>
      <c r="I593" t="s">
        <v>23</v>
      </c>
      <c r="J593" t="s">
        <v>117</v>
      </c>
      <c r="K593" s="1">
        <v>45441</v>
      </c>
      <c r="L593" s="1">
        <v>45946</v>
      </c>
      <c r="M593" t="s">
        <v>109</v>
      </c>
      <c r="N593" s="1">
        <v>46254</v>
      </c>
      <c r="O593">
        <v>88</v>
      </c>
      <c r="P593">
        <v>3</v>
      </c>
      <c r="Q593">
        <v>3</v>
      </c>
      <c r="R593">
        <v>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 t="s">
        <v>26</v>
      </c>
      <c r="AI593" t="s">
        <v>27</v>
      </c>
      <c r="AJ593" s="1"/>
      <c r="AK593" t="s">
        <v>28</v>
      </c>
      <c r="AL59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593">
        <f>SUM(Rel_2026[[#This Row],[qtd_TrxContabil]:[VLR_EXP_SORTE]])</f>
        <v>97</v>
      </c>
      <c r="AN59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</row>
    <row r="594" spans="1:40" x14ac:dyDescent="0.3">
      <c r="A594" t="str">
        <f>IF(Rel_2026[[#This Row],[Zero]]=0,"Zero",IF(Rel_2026[[#This Row],[Pontuação]]&gt;=10,"Sim",IF(Rel_2026[[#This Row],[Pontuação]]&gt;=5,"Próximo","Não")))</f>
        <v>Não</v>
      </c>
      <c r="B594" t="str">
        <f>IF(Rel_2026[[#This Row],[Zero]]=0,"Zero",IF(Rel_2026[[#This Row],[Pontuação2]]&gt;=10,"Sim",IF(Rel_2026[[#This Row],[Pontuação2]]&gt;=5,"Próximo","Não")))</f>
        <v>Não</v>
      </c>
      <c r="C594" t="str">
        <f>IFERROR(VLOOKUP(Rel_2026[[#This Row],[chave_loja]],Responsavel!A:B,2,FALSE),"EUCLIDES")</f>
        <v>NYCOLLAS</v>
      </c>
      <c r="D594" t="str">
        <f>LEFT(Rel_2026[[#This Row],[ag_pacb]],4)</f>
        <v>5443</v>
      </c>
      <c r="E594">
        <v>419205</v>
      </c>
      <c r="F594" t="s">
        <v>757</v>
      </c>
      <c r="G594" t="s">
        <v>758</v>
      </c>
      <c r="H594" s="1">
        <v>45986</v>
      </c>
      <c r="I594" t="s">
        <v>23</v>
      </c>
      <c r="J594" t="s">
        <v>260</v>
      </c>
      <c r="K594" s="1">
        <v>45957</v>
      </c>
      <c r="L594" s="1">
        <v>45986</v>
      </c>
      <c r="M594" t="s">
        <v>32</v>
      </c>
      <c r="N594" s="1">
        <v>46253</v>
      </c>
      <c r="O594">
        <v>10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 t="s">
        <v>38</v>
      </c>
      <c r="AI594" t="s">
        <v>27</v>
      </c>
      <c r="AJ594" s="1"/>
      <c r="AK594" t="s">
        <v>28</v>
      </c>
      <c r="AL59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94">
        <f>SUM(Rel_2026[[#This Row],[qtd_TrxContabil]:[VLR_EXP_SORTE]])</f>
        <v>10</v>
      </c>
      <c r="AN59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95" spans="1:40" x14ac:dyDescent="0.3">
      <c r="A595" t="str">
        <f>IF(Rel_2026[[#This Row],[Zero]]=0,"Zero",IF(Rel_2026[[#This Row],[Pontuação]]&gt;=10,"Sim",IF(Rel_2026[[#This Row],[Pontuação]]&gt;=5,"Próximo","Não")))</f>
        <v>Próximo</v>
      </c>
      <c r="B595" t="str">
        <f>IF(Rel_2026[[#This Row],[Zero]]=0,"Zero",IF(Rel_2026[[#This Row],[Pontuação2]]&gt;=10,"Sim",IF(Rel_2026[[#This Row],[Pontuação2]]&gt;=5,"Próximo","Não")))</f>
        <v>Sim</v>
      </c>
      <c r="C595" t="str">
        <f>IFERROR(VLOOKUP(Rel_2026[[#This Row],[chave_loja]],Responsavel!A:B,2,FALSE),"EUCLIDES")</f>
        <v>NYCOLLAS</v>
      </c>
      <c r="D595" t="str">
        <f>LEFT(Rel_2026[[#This Row],[ag_pacb]],4)</f>
        <v>0699</v>
      </c>
      <c r="E595">
        <v>420073</v>
      </c>
      <c r="F595" t="s">
        <v>795</v>
      </c>
      <c r="G595" t="s">
        <v>796</v>
      </c>
      <c r="H595" s="1">
        <v>45999</v>
      </c>
      <c r="I595" t="s">
        <v>23</v>
      </c>
      <c r="J595" t="s">
        <v>125</v>
      </c>
      <c r="K595" s="1">
        <v>45994</v>
      </c>
      <c r="L595" s="1">
        <v>46052</v>
      </c>
      <c r="M595" t="s">
        <v>32</v>
      </c>
      <c r="N595" s="1">
        <v>46254</v>
      </c>
      <c r="O595">
        <v>42</v>
      </c>
      <c r="P595">
        <v>1</v>
      </c>
      <c r="Q595">
        <v>1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 t="s">
        <v>26</v>
      </c>
      <c r="AI595" t="s">
        <v>27</v>
      </c>
      <c r="AJ595" s="1"/>
      <c r="AK595" t="s">
        <v>28</v>
      </c>
      <c r="AL59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595">
        <f>SUM(Rel_2026[[#This Row],[qtd_TrxContabil]:[VLR_EXP_SORTE]])</f>
        <v>45</v>
      </c>
      <c r="AN59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596" spans="1:40" x14ac:dyDescent="0.3">
      <c r="A596" t="str">
        <f>IF(Rel_2026[[#This Row],[Zero]]=0,"Zero",IF(Rel_2026[[#This Row],[Pontuação]]&gt;=10,"Sim",IF(Rel_2026[[#This Row],[Pontuação]]&gt;=5,"Próximo","Não")))</f>
        <v>Não</v>
      </c>
      <c r="B596" t="str">
        <f>IF(Rel_2026[[#This Row],[Zero]]=0,"Zero",IF(Rel_2026[[#This Row],[Pontuação2]]&gt;=10,"Sim",IF(Rel_2026[[#This Row],[Pontuação2]]&gt;=5,"Próximo","Não")))</f>
        <v>Não</v>
      </c>
      <c r="C596" t="str">
        <f>IFERROR(VLOOKUP(Rel_2026[[#This Row],[chave_loja]],Responsavel!A:B,2,FALSE),"EUCLIDES")</f>
        <v>JOSELITO</v>
      </c>
      <c r="D596" t="str">
        <f>LEFT(Rel_2026[[#This Row],[ag_pacb]],4)</f>
        <v>0685</v>
      </c>
      <c r="E596">
        <v>158332</v>
      </c>
      <c r="F596" t="s">
        <v>1184</v>
      </c>
      <c r="G596" t="s">
        <v>1185</v>
      </c>
      <c r="H596" s="1">
        <v>45191</v>
      </c>
      <c r="I596" t="s">
        <v>23</v>
      </c>
      <c r="J596" t="s">
        <v>216</v>
      </c>
      <c r="K596" s="1">
        <v>42919</v>
      </c>
      <c r="L596" s="1">
        <v>44650</v>
      </c>
      <c r="M596" t="s">
        <v>25</v>
      </c>
      <c r="N596" s="1">
        <v>46251</v>
      </c>
      <c r="O596">
        <v>243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 t="s">
        <v>26</v>
      </c>
      <c r="AI596" t="s">
        <v>27</v>
      </c>
      <c r="AJ596" s="1"/>
      <c r="AK596" t="s">
        <v>28</v>
      </c>
      <c r="AL59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96">
        <f>SUM(Rel_2026[[#This Row],[qtd_TrxContabil]:[VLR_EXP_SORTE]])</f>
        <v>243</v>
      </c>
      <c r="AN59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97" spans="1:40" x14ac:dyDescent="0.3">
      <c r="A597" t="str">
        <f>IF(Rel_2026[[#This Row],[Zero]]=0,"Zero",IF(Rel_2026[[#This Row],[Pontuação]]&gt;=10,"Sim",IF(Rel_2026[[#This Row],[Pontuação]]&gt;=5,"Próximo","Não")))</f>
        <v>Sim</v>
      </c>
      <c r="B597" t="str">
        <f>IF(Rel_2026[[#This Row],[Zero]]=0,"Zero",IF(Rel_2026[[#This Row],[Pontuação2]]&gt;=10,"Sim",IF(Rel_2026[[#This Row],[Pontuação2]]&gt;=5,"Próximo","Não")))</f>
        <v>Sim</v>
      </c>
      <c r="C597" t="str">
        <f>IFERROR(VLOOKUP(Rel_2026[[#This Row],[chave_loja]],Responsavel!A:B,2,FALSE),"EUCLIDES")</f>
        <v>GIL</v>
      </c>
      <c r="D597" t="str">
        <f>LEFT(Rel_2026[[#This Row],[ag_pacb]],4)</f>
        <v>5387</v>
      </c>
      <c r="E597">
        <v>412242</v>
      </c>
      <c r="F597" t="s">
        <v>1246</v>
      </c>
      <c r="G597" t="s">
        <v>1247</v>
      </c>
      <c r="H597" s="1">
        <v>45792</v>
      </c>
      <c r="I597" t="s">
        <v>23</v>
      </c>
      <c r="J597" t="s">
        <v>74</v>
      </c>
      <c r="K597" s="1">
        <v>45783</v>
      </c>
      <c r="L597" s="1">
        <v>45855</v>
      </c>
      <c r="M597" t="s">
        <v>32</v>
      </c>
      <c r="N597" s="1">
        <v>46251</v>
      </c>
      <c r="O597">
        <v>44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10500</v>
      </c>
      <c r="V597">
        <v>10500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 t="s">
        <v>38</v>
      </c>
      <c r="AI597" t="s">
        <v>27</v>
      </c>
      <c r="AJ597" s="1"/>
      <c r="AK597" t="s">
        <v>28</v>
      </c>
      <c r="AL59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</v>
      </c>
      <c r="AM597">
        <f>SUM(Rel_2026[[#This Row],[qtd_TrxContabil]:[VLR_EXP_SORTE]])</f>
        <v>21044</v>
      </c>
      <c r="AN59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</v>
      </c>
    </row>
    <row r="598" spans="1:40" x14ac:dyDescent="0.3">
      <c r="A598" t="str">
        <f>IF(Rel_2026[[#This Row],[Zero]]=0,"Zero",IF(Rel_2026[[#This Row],[Pontuação]]&gt;=10,"Sim",IF(Rel_2026[[#This Row],[Pontuação]]&gt;=5,"Próximo","Não")))</f>
        <v>Sim</v>
      </c>
      <c r="B598" t="str">
        <f>IF(Rel_2026[[#This Row],[Zero]]=0,"Zero",IF(Rel_2026[[#This Row],[Pontuação2]]&gt;=10,"Sim",IF(Rel_2026[[#This Row],[Pontuação2]]&gt;=5,"Próximo","Não")))</f>
        <v>Sim</v>
      </c>
      <c r="C598" t="str">
        <f>IFERROR(VLOOKUP(Rel_2026[[#This Row],[chave_loja]],Responsavel!A:B,2,FALSE),"EUCLIDES")</f>
        <v>JUNIOR</v>
      </c>
      <c r="D598" t="str">
        <f>LEFT(Rel_2026[[#This Row],[ag_pacb]],4)</f>
        <v>5367</v>
      </c>
      <c r="E598">
        <v>415339</v>
      </c>
      <c r="F598" t="s">
        <v>222</v>
      </c>
      <c r="G598" t="s">
        <v>223</v>
      </c>
      <c r="H598" s="1">
        <v>45877</v>
      </c>
      <c r="I598" t="s">
        <v>23</v>
      </c>
      <c r="J598" t="s">
        <v>96</v>
      </c>
      <c r="K598" s="1">
        <v>45868</v>
      </c>
      <c r="L598" s="1">
        <v>45889</v>
      </c>
      <c r="M598" t="s">
        <v>32</v>
      </c>
      <c r="N598" s="1">
        <v>46253</v>
      </c>
      <c r="O598">
        <v>167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 t="s">
        <v>26</v>
      </c>
      <c r="AI598" t="s">
        <v>27</v>
      </c>
      <c r="AJ598" s="1"/>
      <c r="AK598" t="s">
        <v>28</v>
      </c>
      <c r="AL59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598">
        <f>SUM(Rel_2026[[#This Row],[qtd_TrxContabil]:[VLR_EXP_SORTE]])</f>
        <v>177</v>
      </c>
      <c r="AN59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599" spans="1:40" x14ac:dyDescent="0.3">
      <c r="A599" t="str">
        <f>IF(Rel_2026[[#This Row],[Zero]]=0,"Zero",IF(Rel_2026[[#This Row],[Pontuação]]&gt;=10,"Sim",IF(Rel_2026[[#This Row],[Pontuação]]&gt;=5,"Próximo","Não")))</f>
        <v>Não</v>
      </c>
      <c r="B599" t="str">
        <f>IF(Rel_2026[[#This Row],[Zero]]=0,"Zero",IF(Rel_2026[[#This Row],[Pontuação2]]&gt;=10,"Sim",IF(Rel_2026[[#This Row],[Pontuação2]]&gt;=5,"Próximo","Não")))</f>
        <v>Não</v>
      </c>
      <c r="C599" t="str">
        <f>IFERROR(VLOOKUP(Rel_2026[[#This Row],[chave_loja]],Responsavel!A:B,2,FALSE),"EUCLIDES")</f>
        <v>ROSSY</v>
      </c>
      <c r="D599" t="str">
        <f>LEFT(Rel_2026[[#This Row],[ag_pacb]],4)</f>
        <v>5798</v>
      </c>
      <c r="E599">
        <v>417200</v>
      </c>
      <c r="F599" t="s">
        <v>1207</v>
      </c>
      <c r="G599" t="s">
        <v>1208</v>
      </c>
      <c r="H599" s="1">
        <v>45916</v>
      </c>
      <c r="I599" t="s">
        <v>107</v>
      </c>
      <c r="J599" t="s">
        <v>832</v>
      </c>
      <c r="K599" s="1">
        <v>45908</v>
      </c>
      <c r="L599" s="1">
        <v>45930</v>
      </c>
      <c r="M599" t="s">
        <v>109</v>
      </c>
      <c r="N599" s="1">
        <v>46253</v>
      </c>
      <c r="O599">
        <v>66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 t="s">
        <v>26</v>
      </c>
      <c r="AI599" t="s">
        <v>27</v>
      </c>
      <c r="AJ599" s="1"/>
      <c r="AK599" t="s">
        <v>28</v>
      </c>
      <c r="AL59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99">
        <f>SUM(Rel_2026[[#This Row],[qtd_TrxContabil]:[VLR_EXP_SORTE]])</f>
        <v>66</v>
      </c>
      <c r="AN59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600" spans="1:40" x14ac:dyDescent="0.3">
      <c r="A600" t="str">
        <f>IF(Rel_2026[[#This Row],[Zero]]=0,"Zero",IF(Rel_2026[[#This Row],[Pontuação]]&gt;=10,"Sim",IF(Rel_2026[[#This Row],[Pontuação]]&gt;=5,"Próximo","Não")))</f>
        <v>Não</v>
      </c>
      <c r="B600" t="str">
        <f>IF(Rel_2026[[#This Row],[Zero]]=0,"Zero",IF(Rel_2026[[#This Row],[Pontuação2]]&gt;=10,"Sim",IF(Rel_2026[[#This Row],[Pontuação2]]&gt;=5,"Próximo","Não")))</f>
        <v>Não</v>
      </c>
      <c r="C600" t="str">
        <f>IFERROR(VLOOKUP(Rel_2026[[#This Row],[chave_loja]],Responsavel!A:B,2,FALSE),"EUCLIDES")</f>
        <v>WASTHSON</v>
      </c>
      <c r="D600" t="str">
        <f>LEFT(Rel_2026[[#This Row],[ag_pacb]],4)</f>
        <v>0458</v>
      </c>
      <c r="E600">
        <v>422804</v>
      </c>
      <c r="F600" t="s">
        <v>1361</v>
      </c>
      <c r="G600" t="s">
        <v>1362</v>
      </c>
      <c r="H600" s="1">
        <v>46093</v>
      </c>
      <c r="I600" t="s">
        <v>23</v>
      </c>
      <c r="J600" t="s">
        <v>759</v>
      </c>
      <c r="K600" s="1">
        <v>46087</v>
      </c>
      <c r="L600" s="1">
        <v>46132</v>
      </c>
      <c r="M600" t="s">
        <v>32</v>
      </c>
      <c r="N600" s="1">
        <v>46254</v>
      </c>
      <c r="O600">
        <v>200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 t="s">
        <v>26</v>
      </c>
      <c r="AI600" t="s">
        <v>27</v>
      </c>
      <c r="AJ600" s="1"/>
      <c r="AK600" t="s">
        <v>28</v>
      </c>
      <c r="AL60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600">
        <f>SUM(Rel_2026[[#This Row],[qtd_TrxContabil]:[VLR_EXP_SORTE]])</f>
        <v>200</v>
      </c>
      <c r="AN60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601" spans="1:40" x14ac:dyDescent="0.3">
      <c r="A601" t="str">
        <f>IF(Rel_2026[[#This Row],[Zero]]=0,"Zero",IF(Rel_2026[[#This Row],[Pontuação]]&gt;=10,"Sim",IF(Rel_2026[[#This Row],[Pontuação]]&gt;=5,"Próximo","Não")))</f>
        <v>Não</v>
      </c>
      <c r="B601" t="str">
        <f>IF(Rel_2026[[#This Row],[Zero]]=0,"Zero",IF(Rel_2026[[#This Row],[Pontuação2]]&gt;=10,"Sim",IF(Rel_2026[[#This Row],[Pontuação2]]&gt;=5,"Próximo","Não")))</f>
        <v>Não</v>
      </c>
      <c r="C601" t="str">
        <f>IFERROR(VLOOKUP(Rel_2026[[#This Row],[chave_loja]],Responsavel!A:B,2,FALSE),"EUCLIDES")</f>
        <v>ROSSY</v>
      </c>
      <c r="D601" t="str">
        <f>LEFT(Rel_2026[[#This Row],[ag_pacb]],4)</f>
        <v>5798</v>
      </c>
      <c r="E601">
        <v>232570</v>
      </c>
      <c r="F601" t="s">
        <v>934</v>
      </c>
      <c r="G601" t="s">
        <v>935</v>
      </c>
      <c r="H601" s="1">
        <v>44769</v>
      </c>
      <c r="I601" t="s">
        <v>107</v>
      </c>
      <c r="J601" t="s">
        <v>838</v>
      </c>
      <c r="K601" s="1">
        <v>44804</v>
      </c>
      <c r="L601" s="1">
        <v>44733</v>
      </c>
      <c r="M601" t="s">
        <v>109</v>
      </c>
      <c r="N601" s="1">
        <v>46254</v>
      </c>
      <c r="O601">
        <v>216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 t="s">
        <v>26</v>
      </c>
      <c r="AI601" t="s">
        <v>27</v>
      </c>
      <c r="AJ601" s="1"/>
      <c r="AK601" t="s">
        <v>28</v>
      </c>
      <c r="AL60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601">
        <f>SUM(Rel_2026[[#This Row],[qtd_TrxContabil]:[VLR_EXP_SORTE]])</f>
        <v>216</v>
      </c>
      <c r="AN60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602" spans="1:40" x14ac:dyDescent="0.3">
      <c r="A602" t="str">
        <f>IF(Rel_2026[[#This Row],[Zero]]=0,"Zero",IF(Rel_2026[[#This Row],[Pontuação]]&gt;=10,"Sim",IF(Rel_2026[[#This Row],[Pontuação]]&gt;=5,"Próximo","Não")))</f>
        <v>Sim</v>
      </c>
      <c r="B602" t="str">
        <f>IF(Rel_2026[[#This Row],[Zero]]=0,"Zero",IF(Rel_2026[[#This Row],[Pontuação2]]&gt;=10,"Sim",IF(Rel_2026[[#This Row],[Pontuação2]]&gt;=5,"Próximo","Não")))</f>
        <v>Sim</v>
      </c>
      <c r="C602" t="str">
        <f>IFERROR(VLOOKUP(Rel_2026[[#This Row],[chave_loja]],Responsavel!A:B,2,FALSE),"EUCLIDES")</f>
        <v>CÉLIO</v>
      </c>
      <c r="D602" t="str">
        <f>LEFT(Rel_2026[[#This Row],[ag_pacb]],4)</f>
        <v>0713</v>
      </c>
      <c r="E602">
        <v>418052</v>
      </c>
      <c r="F602" t="s">
        <v>718</v>
      </c>
      <c r="G602" t="s">
        <v>719</v>
      </c>
      <c r="H602" s="1">
        <v>45943</v>
      </c>
      <c r="I602" t="s">
        <v>23</v>
      </c>
      <c r="J602" t="s">
        <v>24</v>
      </c>
      <c r="K602" s="1">
        <v>45923</v>
      </c>
      <c r="L602" s="1">
        <v>45950</v>
      </c>
      <c r="M602" t="s">
        <v>25</v>
      </c>
      <c r="N602" s="1">
        <v>46254</v>
      </c>
      <c r="O602">
        <v>35</v>
      </c>
      <c r="P602">
        <v>3</v>
      </c>
      <c r="Q602">
        <v>1</v>
      </c>
      <c r="R602">
        <v>3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2</v>
      </c>
      <c r="AG602">
        <v>0</v>
      </c>
      <c r="AH602" t="s">
        <v>26</v>
      </c>
      <c r="AI602" t="s">
        <v>27</v>
      </c>
      <c r="AJ602" s="1"/>
      <c r="AK602" t="s">
        <v>28</v>
      </c>
      <c r="AL60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</v>
      </c>
      <c r="AM602">
        <f>SUM(Rel_2026[[#This Row],[qtd_TrxContabil]:[VLR_EXP_SORTE]])</f>
        <v>46</v>
      </c>
      <c r="AN60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22</v>
      </c>
    </row>
    <row r="603" spans="1:40" x14ac:dyDescent="0.3">
      <c r="A603" t="str">
        <f>IF(Rel_2026[[#This Row],[Zero]]=0,"Zero",IF(Rel_2026[[#This Row],[Pontuação]]&gt;=10,"Sim",IF(Rel_2026[[#This Row],[Pontuação]]&gt;=5,"Próximo","Não")))</f>
        <v>Sim</v>
      </c>
      <c r="B603" t="str">
        <f>IF(Rel_2026[[#This Row],[Zero]]=0,"Zero",IF(Rel_2026[[#This Row],[Pontuação2]]&gt;=10,"Sim",IF(Rel_2026[[#This Row],[Pontuação2]]&gt;=5,"Próximo","Não")))</f>
        <v>Sim</v>
      </c>
      <c r="C603" t="str">
        <f>IFERROR(VLOOKUP(Rel_2026[[#This Row],[chave_loja]],Responsavel!A:B,2,FALSE),"EUCLIDES")</f>
        <v>IVAN</v>
      </c>
      <c r="D603" t="str">
        <f>LEFT(Rel_2026[[#This Row],[ag_pacb]],4)</f>
        <v>0767</v>
      </c>
      <c r="E603">
        <v>92610</v>
      </c>
      <c r="F603" t="s">
        <v>557</v>
      </c>
      <c r="G603" t="s">
        <v>558</v>
      </c>
      <c r="H603" s="1">
        <v>44231</v>
      </c>
      <c r="I603" t="s">
        <v>23</v>
      </c>
      <c r="J603" t="s">
        <v>93</v>
      </c>
      <c r="K603" s="1">
        <v>42221</v>
      </c>
      <c r="L603" s="1">
        <v>45467</v>
      </c>
      <c r="M603" t="s">
        <v>25</v>
      </c>
      <c r="N603" s="1">
        <v>46254</v>
      </c>
      <c r="O603">
        <v>1755</v>
      </c>
      <c r="P603">
        <v>2</v>
      </c>
      <c r="Q603">
        <v>1</v>
      </c>
      <c r="R603">
        <v>2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 t="s">
        <v>38</v>
      </c>
      <c r="AI603" t="s">
        <v>27</v>
      </c>
      <c r="AJ603" s="1"/>
      <c r="AK603" t="s">
        <v>28</v>
      </c>
      <c r="AL60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603">
        <f>SUM(Rel_2026[[#This Row],[qtd_TrxContabil]:[VLR_EXP_SORTE]])</f>
        <v>1760</v>
      </c>
      <c r="AN60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16</v>
      </c>
    </row>
    <row r="604" spans="1:40" x14ac:dyDescent="0.3">
      <c r="A604" t="str">
        <f>IF(Rel_2026[[#This Row],[Zero]]=0,"Zero",IF(Rel_2026[[#This Row],[Pontuação]]&gt;=10,"Sim",IF(Rel_2026[[#This Row],[Pontuação]]&gt;=5,"Próximo","Não")))</f>
        <v>Próximo</v>
      </c>
      <c r="B604" t="str">
        <f>IF(Rel_2026[[#This Row],[Zero]]=0,"Zero",IF(Rel_2026[[#This Row],[Pontuação2]]&gt;=10,"Sim",IF(Rel_2026[[#This Row],[Pontuação2]]&gt;=5,"Próximo","Não")))</f>
        <v>Sim</v>
      </c>
      <c r="C604" t="str">
        <f>IFERROR(VLOOKUP(Rel_2026[[#This Row],[chave_loja]],Responsavel!A:B,2,FALSE),"EUCLIDES")</f>
        <v>PAULO</v>
      </c>
      <c r="D604" t="str">
        <f>LEFT(Rel_2026[[#This Row],[ag_pacb]],4)</f>
        <v>0937</v>
      </c>
      <c r="E604">
        <v>174735</v>
      </c>
      <c r="F604" t="s">
        <v>807</v>
      </c>
      <c r="G604" t="s">
        <v>1121</v>
      </c>
      <c r="H604" s="1">
        <v>45841</v>
      </c>
      <c r="I604" t="s">
        <v>107</v>
      </c>
      <c r="J604" t="s">
        <v>1122</v>
      </c>
      <c r="K604" s="1">
        <v>43585</v>
      </c>
      <c r="L604" s="1">
        <v>45341</v>
      </c>
      <c r="M604" t="s">
        <v>109</v>
      </c>
      <c r="N604" s="1">
        <v>46254</v>
      </c>
      <c r="O604">
        <v>727</v>
      </c>
      <c r="P604">
        <v>1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 t="s">
        <v>38</v>
      </c>
      <c r="AI604" t="s">
        <v>27</v>
      </c>
      <c r="AJ604" s="1"/>
      <c r="AK604" t="s">
        <v>28</v>
      </c>
      <c r="AL60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604">
        <f>SUM(Rel_2026[[#This Row],[qtd_TrxContabil]:[VLR_EXP_SORTE]])</f>
        <v>731</v>
      </c>
      <c r="AN60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605" spans="1:40" x14ac:dyDescent="0.3">
      <c r="A605" t="str">
        <f>IF(Rel_2026[[#This Row],[Zero]]=0,"Zero",IF(Rel_2026[[#This Row],[Pontuação]]&gt;=10,"Sim",IF(Rel_2026[[#This Row],[Pontuação]]&gt;=5,"Próximo","Não")))</f>
        <v>Sim</v>
      </c>
      <c r="B605" t="str">
        <f>IF(Rel_2026[[#This Row],[Zero]]=0,"Zero",IF(Rel_2026[[#This Row],[Pontuação2]]&gt;=10,"Sim",IF(Rel_2026[[#This Row],[Pontuação2]]&gt;=5,"Próximo","Não")))</f>
        <v>Sim</v>
      </c>
      <c r="C605" t="str">
        <f>IFERROR(VLOOKUP(Rel_2026[[#This Row],[chave_loja]],Responsavel!A:B,2,FALSE),"EUCLIDES")</f>
        <v>WASTHSON</v>
      </c>
      <c r="D605" t="str">
        <f>LEFT(Rel_2026[[#This Row],[ag_pacb]],4)</f>
        <v>5415</v>
      </c>
      <c r="E605">
        <v>231002</v>
      </c>
      <c r="F605" t="s">
        <v>197</v>
      </c>
      <c r="G605" t="s">
        <v>198</v>
      </c>
      <c r="H605" s="1">
        <v>45202</v>
      </c>
      <c r="I605" t="s">
        <v>23</v>
      </c>
      <c r="J605" t="s">
        <v>199</v>
      </c>
      <c r="K605" s="1">
        <v>45147</v>
      </c>
      <c r="L605" s="1">
        <v>46049</v>
      </c>
      <c r="M605" t="s">
        <v>32</v>
      </c>
      <c r="N605" s="1">
        <v>46254</v>
      </c>
      <c r="O605">
        <v>401</v>
      </c>
      <c r="P605">
        <v>3</v>
      </c>
      <c r="Q605">
        <v>0</v>
      </c>
      <c r="R605">
        <v>3</v>
      </c>
      <c r="S605">
        <v>1</v>
      </c>
      <c r="T605">
        <v>300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 t="s">
        <v>26</v>
      </c>
      <c r="AI605" t="s">
        <v>27</v>
      </c>
      <c r="AJ605" s="1"/>
      <c r="AK605" t="s">
        <v>28</v>
      </c>
      <c r="AL60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  <c r="AM605">
        <f>SUM(Rel_2026[[#This Row],[qtd_TrxContabil]:[VLR_EXP_SORTE]])</f>
        <v>708</v>
      </c>
      <c r="AN60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</row>
    <row r="606" spans="1:40" x14ac:dyDescent="0.3">
      <c r="A606" t="str">
        <f>IF(Rel_2026[[#This Row],[Zero]]=0,"Zero",IF(Rel_2026[[#This Row],[Pontuação]]&gt;=10,"Sim",IF(Rel_2026[[#This Row],[Pontuação]]&gt;=5,"Próximo","Não")))</f>
        <v>Sim</v>
      </c>
      <c r="B606" t="str">
        <f>IF(Rel_2026[[#This Row],[Zero]]=0,"Zero",IF(Rel_2026[[#This Row],[Pontuação2]]&gt;=10,"Sim",IF(Rel_2026[[#This Row],[Pontuação2]]&gt;=5,"Próximo","Não")))</f>
        <v>Sim</v>
      </c>
      <c r="C606" t="str">
        <f>IFERROR(VLOOKUP(Rel_2026[[#This Row],[chave_loja]],Responsavel!A:B,2,FALSE),"EUCLIDES")</f>
        <v>ISMAEL</v>
      </c>
      <c r="D606" t="str">
        <f>LEFT(Rel_2026[[#This Row],[ag_pacb]],4)</f>
        <v>1302</v>
      </c>
      <c r="E606">
        <v>121165</v>
      </c>
      <c r="F606" t="s">
        <v>119</v>
      </c>
      <c r="G606" t="s">
        <v>120</v>
      </c>
      <c r="H606" s="1">
        <v>45132</v>
      </c>
      <c r="I606" t="s">
        <v>23</v>
      </c>
      <c r="J606" t="s">
        <v>121</v>
      </c>
      <c r="K606" s="1">
        <v>42130</v>
      </c>
      <c r="L606" s="1">
        <v>45513</v>
      </c>
      <c r="M606" t="s">
        <v>32</v>
      </c>
      <c r="N606" s="1">
        <v>46254</v>
      </c>
      <c r="O606">
        <v>515</v>
      </c>
      <c r="P606">
        <v>0</v>
      </c>
      <c r="Q606">
        <v>0</v>
      </c>
      <c r="R606">
        <v>0</v>
      </c>
      <c r="S606">
        <v>0</v>
      </c>
      <c r="T606">
        <v>2800</v>
      </c>
      <c r="U606">
        <v>15090</v>
      </c>
      <c r="V606">
        <v>15090</v>
      </c>
      <c r="W606">
        <v>0</v>
      </c>
      <c r="X606">
        <v>0</v>
      </c>
      <c r="Y606">
        <v>8802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 t="s">
        <v>38</v>
      </c>
      <c r="AI606" t="s">
        <v>27</v>
      </c>
      <c r="AJ606" s="1"/>
      <c r="AK606" t="s">
        <v>28</v>
      </c>
      <c r="AL60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61</v>
      </c>
      <c r="AM606">
        <f>SUM(Rel_2026[[#This Row],[qtd_TrxContabil]:[VLR_EXP_SORTE]])</f>
        <v>42297</v>
      </c>
      <c r="AN60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61</v>
      </c>
    </row>
    <row r="607" spans="1:40" x14ac:dyDescent="0.3">
      <c r="A607" t="str">
        <f>IF(Rel_2026[[#This Row],[Zero]]=0,"Zero",IF(Rel_2026[[#This Row],[Pontuação]]&gt;=10,"Sim",IF(Rel_2026[[#This Row],[Pontuação]]&gt;=5,"Próximo","Não")))</f>
        <v>Sim</v>
      </c>
      <c r="B607" t="str">
        <f>IF(Rel_2026[[#This Row],[Zero]]=0,"Zero",IF(Rel_2026[[#This Row],[Pontuação2]]&gt;=10,"Sim",IF(Rel_2026[[#This Row],[Pontuação2]]&gt;=5,"Próximo","Não")))</f>
        <v>Sim</v>
      </c>
      <c r="C607" t="str">
        <f>IFERROR(VLOOKUP(Rel_2026[[#This Row],[chave_loja]],Responsavel!A:B,2,FALSE),"EUCLIDES")</f>
        <v>JACK</v>
      </c>
      <c r="D607" t="str">
        <f>LEFT(Rel_2026[[#This Row],[ag_pacb]],4)</f>
        <v>1522</v>
      </c>
      <c r="E607">
        <v>401567</v>
      </c>
      <c r="F607" t="s">
        <v>950</v>
      </c>
      <c r="G607" t="s">
        <v>951</v>
      </c>
      <c r="H607" s="1">
        <v>45365</v>
      </c>
      <c r="I607" t="s">
        <v>107</v>
      </c>
      <c r="J607" t="s">
        <v>952</v>
      </c>
      <c r="K607" s="1">
        <v>45350</v>
      </c>
      <c r="L607" s="1">
        <v>45377</v>
      </c>
      <c r="M607" t="s">
        <v>109</v>
      </c>
      <c r="N607" s="1">
        <v>46254</v>
      </c>
      <c r="O607">
        <v>503</v>
      </c>
      <c r="P607">
        <v>2</v>
      </c>
      <c r="Q607">
        <v>2</v>
      </c>
      <c r="R607">
        <v>2</v>
      </c>
      <c r="S607">
        <v>0</v>
      </c>
      <c r="T607">
        <v>0</v>
      </c>
      <c r="U607">
        <v>9500</v>
      </c>
      <c r="V607">
        <v>9500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2</v>
      </c>
      <c r="AG607">
        <v>0</v>
      </c>
      <c r="AH607" t="s">
        <v>26</v>
      </c>
      <c r="AI607" t="s">
        <v>27</v>
      </c>
      <c r="AJ607" s="1"/>
      <c r="AK607" t="s">
        <v>28</v>
      </c>
      <c r="AL60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  <c r="AM607">
        <f>SUM(Rel_2026[[#This Row],[qtd_TrxContabil]:[VLR_EXP_SORTE]])</f>
        <v>19511</v>
      </c>
      <c r="AN60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</row>
    <row r="608" spans="1:40" x14ac:dyDescent="0.3">
      <c r="A608" t="str">
        <f>IF(Rel_2026[[#This Row],[Zero]]=0,"Zero",IF(Rel_2026[[#This Row],[Pontuação]]&gt;=10,"Sim",IF(Rel_2026[[#This Row],[Pontuação]]&gt;=5,"Próximo","Não")))</f>
        <v>Não</v>
      </c>
      <c r="B608" t="str">
        <f>IF(Rel_2026[[#This Row],[Zero]]=0,"Zero",IF(Rel_2026[[#This Row],[Pontuação2]]&gt;=10,"Sim",IF(Rel_2026[[#This Row],[Pontuação2]]&gt;=5,"Próximo","Não")))</f>
        <v>Não</v>
      </c>
      <c r="C608" t="str">
        <f>IFERROR(VLOOKUP(Rel_2026[[#This Row],[chave_loja]],Responsavel!A:B,2,FALSE),"EUCLIDES")</f>
        <v>JUNIOR</v>
      </c>
      <c r="D608" t="str">
        <f>LEFT(Rel_2026[[#This Row],[ag_pacb]],4)</f>
        <v>0684</v>
      </c>
      <c r="E608">
        <v>245648</v>
      </c>
      <c r="F608" t="s">
        <v>627</v>
      </c>
      <c r="G608" t="s">
        <v>628</v>
      </c>
      <c r="H608" s="1">
        <v>45009</v>
      </c>
      <c r="I608" t="s">
        <v>23</v>
      </c>
      <c r="J608" t="s">
        <v>133</v>
      </c>
      <c r="K608" s="1">
        <v>45155</v>
      </c>
      <c r="L608" s="1">
        <v>45075</v>
      </c>
      <c r="M608" t="s">
        <v>32</v>
      </c>
      <c r="N608" s="1">
        <v>46251</v>
      </c>
      <c r="O608">
        <v>59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 t="s">
        <v>26</v>
      </c>
      <c r="AI608" t="s">
        <v>27</v>
      </c>
      <c r="AJ608" s="1"/>
      <c r="AK608" t="s">
        <v>28</v>
      </c>
      <c r="AL60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608">
        <f>SUM(Rel_2026[[#This Row],[qtd_TrxContabil]:[VLR_EXP_SORTE]])</f>
        <v>59</v>
      </c>
      <c r="AN60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609" spans="1:40" x14ac:dyDescent="0.3">
      <c r="A609" t="str">
        <f>IF(Rel_2026[[#This Row],[Zero]]=0,"Zero",IF(Rel_2026[[#This Row],[Pontuação]]&gt;=10,"Sim",IF(Rel_2026[[#This Row],[Pontuação]]&gt;=5,"Próximo","Não")))</f>
        <v>Sim</v>
      </c>
      <c r="B609" t="str">
        <f>IF(Rel_2026[[#This Row],[Zero]]=0,"Zero",IF(Rel_2026[[#This Row],[Pontuação2]]&gt;=10,"Sim",IF(Rel_2026[[#This Row],[Pontuação2]]&gt;=5,"Próximo","Não")))</f>
        <v>Sim</v>
      </c>
      <c r="C609" t="str">
        <f>IFERROR(VLOOKUP(Rel_2026[[#This Row],[chave_loja]],Responsavel!A:B,2,FALSE),"EUCLIDES")</f>
        <v>IVAN</v>
      </c>
      <c r="D609" t="str">
        <f>LEFT(Rel_2026[[#This Row],[ag_pacb]],4)</f>
        <v>5386</v>
      </c>
      <c r="E609">
        <v>249790</v>
      </c>
      <c r="F609" t="s">
        <v>343</v>
      </c>
      <c r="G609" t="s">
        <v>344</v>
      </c>
      <c r="H609" s="1">
        <v>45139</v>
      </c>
      <c r="I609" t="s">
        <v>23</v>
      </c>
      <c r="J609" t="s">
        <v>81</v>
      </c>
      <c r="K609" s="1">
        <v>45306</v>
      </c>
      <c r="L609" s="1">
        <v>46029</v>
      </c>
      <c r="M609" t="s">
        <v>25</v>
      </c>
      <c r="N609" s="1">
        <v>46246</v>
      </c>
      <c r="O609">
        <v>4</v>
      </c>
      <c r="P609">
        <v>2</v>
      </c>
      <c r="Q609">
        <v>1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 t="s">
        <v>26</v>
      </c>
      <c r="AI609" t="s">
        <v>27</v>
      </c>
      <c r="AJ609" s="1"/>
      <c r="AK609" t="s">
        <v>28</v>
      </c>
      <c r="AL60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609">
        <f>SUM(Rel_2026[[#This Row],[qtd_TrxContabil]:[VLR_EXP_SORTE]])</f>
        <v>9</v>
      </c>
      <c r="AN60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</v>
      </c>
    </row>
    <row r="610" spans="1:40" x14ac:dyDescent="0.3">
      <c r="A610" t="str">
        <f>IF(Rel_2026[[#This Row],[Zero]]=0,"Zero",IF(Rel_2026[[#This Row],[Pontuação]]&gt;=10,"Sim",IF(Rel_2026[[#This Row],[Pontuação]]&gt;=5,"Próximo","Não")))</f>
        <v>Sim</v>
      </c>
      <c r="B610" t="str">
        <f>IF(Rel_2026[[#This Row],[Zero]]=0,"Zero",IF(Rel_2026[[#This Row],[Pontuação2]]&gt;=10,"Sim",IF(Rel_2026[[#This Row],[Pontuação2]]&gt;=5,"Próximo","Não")))</f>
        <v>Sim</v>
      </c>
      <c r="C610" t="str">
        <f>IFERROR(VLOOKUP(Rel_2026[[#This Row],[chave_loja]],Responsavel!A:B,2,FALSE),"EUCLIDES")</f>
        <v>DARIO</v>
      </c>
      <c r="D610" t="str">
        <f>LEFT(Rel_2026[[#This Row],[ag_pacb]],4)</f>
        <v>5438</v>
      </c>
      <c r="E610">
        <v>401965</v>
      </c>
      <c r="F610" t="s">
        <v>1429</v>
      </c>
      <c r="G610" t="s">
        <v>1430</v>
      </c>
      <c r="H610" s="1">
        <v>46245</v>
      </c>
      <c r="I610" t="s">
        <v>23</v>
      </c>
      <c r="J610" t="s">
        <v>599</v>
      </c>
      <c r="K610" s="1">
        <v>45370</v>
      </c>
      <c r="L610" s="1">
        <v>46084</v>
      </c>
      <c r="M610" t="s">
        <v>25</v>
      </c>
      <c r="N610" s="1">
        <v>46253</v>
      </c>
      <c r="O610">
        <v>181</v>
      </c>
      <c r="P610">
        <v>7</v>
      </c>
      <c r="Q610">
        <v>2</v>
      </c>
      <c r="R610">
        <v>5</v>
      </c>
      <c r="S610">
        <v>0</v>
      </c>
      <c r="T610">
        <v>650</v>
      </c>
      <c r="U610">
        <v>7488</v>
      </c>
      <c r="V610">
        <v>7488</v>
      </c>
      <c r="W610">
        <v>0</v>
      </c>
      <c r="X610">
        <v>0</v>
      </c>
      <c r="Y610">
        <v>6335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5</v>
      </c>
      <c r="AG610">
        <v>0</v>
      </c>
      <c r="AH610" t="s">
        <v>38</v>
      </c>
      <c r="AI610" t="s">
        <v>27</v>
      </c>
      <c r="AJ610" s="1"/>
      <c r="AK610" t="s">
        <v>28</v>
      </c>
      <c r="AL6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56</v>
      </c>
      <c r="AM610">
        <f>SUM(Rel_2026[[#This Row],[qtd_TrxContabil]:[VLR_EXP_SORTE]])</f>
        <v>22161</v>
      </c>
      <c r="AN6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71</v>
      </c>
    </row>
    <row r="611" spans="1:40" x14ac:dyDescent="0.3">
      <c r="A611" t="str">
        <f>IF(Rel_2026[[#This Row],[Zero]]=0,"Zero",IF(Rel_2026[[#This Row],[Pontuação]]&gt;=10,"Sim",IF(Rel_2026[[#This Row],[Pontuação]]&gt;=5,"Próximo","Não")))</f>
        <v>Zero</v>
      </c>
      <c r="B611" t="str">
        <f>IF(Rel_2026[[#This Row],[Zero]]=0,"Zero",IF(Rel_2026[[#This Row],[Pontuação2]]&gt;=10,"Sim",IF(Rel_2026[[#This Row],[Pontuação2]]&gt;=5,"Próximo","Não")))</f>
        <v>Zero</v>
      </c>
      <c r="C611" t="str">
        <f>IFERROR(VLOOKUP(Rel_2026[[#This Row],[chave_loja]],Responsavel!A:B,2,FALSE),"EUCLIDES")</f>
        <v>IVAN</v>
      </c>
      <c r="D611" t="str">
        <f>LEFT(Rel_2026[[#This Row],[ag_pacb]],4)</f>
        <v>0767</v>
      </c>
      <c r="E611">
        <v>416397</v>
      </c>
      <c r="F611" t="s">
        <v>1451</v>
      </c>
      <c r="G611" t="s">
        <v>1452</v>
      </c>
      <c r="H611" s="1">
        <v>45908</v>
      </c>
      <c r="I611" t="s">
        <v>23</v>
      </c>
      <c r="J611" t="s">
        <v>61</v>
      </c>
      <c r="K611" s="1">
        <v>45896</v>
      </c>
      <c r="L611" s="1">
        <v>45918</v>
      </c>
      <c r="M611" t="s">
        <v>25</v>
      </c>
      <c r="N611" s="1">
        <v>46214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 t="s">
        <v>26</v>
      </c>
      <c r="AI611" t="s">
        <v>27</v>
      </c>
      <c r="AJ611" s="1"/>
      <c r="AK611" t="s">
        <v>28</v>
      </c>
      <c r="AL6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611">
        <f>SUM(Rel_2026[[#This Row],[qtd_TrxContabil]:[VLR_EXP_SORTE]])</f>
        <v>0</v>
      </c>
      <c r="AN6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612" spans="1:40" x14ac:dyDescent="0.3">
      <c r="A612" t="str">
        <f>IF(Rel_2026[[#This Row],[Zero]]=0,"Zero",IF(Rel_2026[[#This Row],[Pontuação]]&gt;=10,"Sim",IF(Rel_2026[[#This Row],[Pontuação]]&gt;=5,"Próximo","Não")))</f>
        <v>Sim</v>
      </c>
      <c r="B612" t="str">
        <f>IF(Rel_2026[[#This Row],[Zero]]=0,"Zero",IF(Rel_2026[[#This Row],[Pontuação2]]&gt;=10,"Sim",IF(Rel_2026[[#This Row],[Pontuação2]]&gt;=5,"Próximo","Não")))</f>
        <v>Sim</v>
      </c>
      <c r="C612" t="str">
        <f>IFERROR(VLOOKUP(Rel_2026[[#This Row],[chave_loja]],Responsavel!A:B,2,FALSE),"EUCLIDES")</f>
        <v>JUNIOR</v>
      </c>
      <c r="D612" t="str">
        <f>LEFT(Rel_2026[[#This Row],[ag_pacb]],4)</f>
        <v>1351</v>
      </c>
      <c r="E612">
        <v>425204</v>
      </c>
      <c r="F612" t="s">
        <v>1384</v>
      </c>
      <c r="G612" t="s">
        <v>1385</v>
      </c>
      <c r="H612" s="1">
        <v>46227</v>
      </c>
      <c r="I612" t="s">
        <v>23</v>
      </c>
      <c r="J612" t="s">
        <v>993</v>
      </c>
      <c r="K612" s="1">
        <v>46213</v>
      </c>
      <c r="L612" s="1">
        <v>46238</v>
      </c>
      <c r="M612" t="s">
        <v>32</v>
      </c>
      <c r="N612" s="1">
        <v>46253</v>
      </c>
      <c r="O612">
        <v>83</v>
      </c>
      <c r="P612">
        <v>10</v>
      </c>
      <c r="Q612">
        <v>2</v>
      </c>
      <c r="R612">
        <v>9</v>
      </c>
      <c r="S612">
        <v>2</v>
      </c>
      <c r="T612">
        <v>528</v>
      </c>
      <c r="U612">
        <v>24666</v>
      </c>
      <c r="V612">
        <v>24666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1</v>
      </c>
      <c r="AC612">
        <v>0</v>
      </c>
      <c r="AD612">
        <v>0</v>
      </c>
      <c r="AE612">
        <v>0</v>
      </c>
      <c r="AF612">
        <v>8</v>
      </c>
      <c r="AG612">
        <v>5</v>
      </c>
      <c r="AH612" t="s">
        <v>26</v>
      </c>
      <c r="AI612" t="s">
        <v>27</v>
      </c>
      <c r="AJ612" s="1"/>
      <c r="AK612" t="s">
        <v>28</v>
      </c>
      <c r="AL6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69</v>
      </c>
      <c r="AM612">
        <f>SUM(Rel_2026[[#This Row],[qtd_TrxContabil]:[VLR_EXP_SORTE]])</f>
        <v>49981</v>
      </c>
      <c r="AN6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96</v>
      </c>
    </row>
    <row r="613" spans="1:40" x14ac:dyDescent="0.3">
      <c r="A613" t="str">
        <f>IF(Rel_2026[[#This Row],[Zero]]=0,"Zero",IF(Rel_2026[[#This Row],[Pontuação]]&gt;=10,"Sim",IF(Rel_2026[[#This Row],[Pontuação]]&gt;=5,"Próximo","Não")))</f>
        <v>Sim</v>
      </c>
      <c r="B613" t="str">
        <f>IF(Rel_2026[[#This Row],[Zero]]=0,"Zero",IF(Rel_2026[[#This Row],[Pontuação2]]&gt;=10,"Sim",IF(Rel_2026[[#This Row],[Pontuação2]]&gt;=5,"Próximo","Não")))</f>
        <v>Sim</v>
      </c>
      <c r="C613" t="str">
        <f>IFERROR(VLOOKUP(Rel_2026[[#This Row],[chave_loja]],Responsavel!A:B,2,FALSE),"EUCLIDES")</f>
        <v>GIL</v>
      </c>
      <c r="D613" t="str">
        <f>LEFT(Rel_2026[[#This Row],[ag_pacb]],4)</f>
        <v>5387</v>
      </c>
      <c r="E613">
        <v>180619</v>
      </c>
      <c r="F613" t="s">
        <v>522</v>
      </c>
      <c r="G613" t="s">
        <v>523</v>
      </c>
      <c r="H613" s="1">
        <v>46146</v>
      </c>
      <c r="I613" t="s">
        <v>23</v>
      </c>
      <c r="J613" t="s">
        <v>130</v>
      </c>
      <c r="K613" s="1">
        <v>43892</v>
      </c>
      <c r="L613" s="1">
        <v>45757</v>
      </c>
      <c r="M613" t="s">
        <v>32</v>
      </c>
      <c r="N613" s="1">
        <v>46254</v>
      </c>
      <c r="O613">
        <v>624</v>
      </c>
      <c r="P613">
        <v>0</v>
      </c>
      <c r="Q613">
        <v>0</v>
      </c>
      <c r="R613">
        <v>0</v>
      </c>
      <c r="S613">
        <v>0</v>
      </c>
      <c r="T613">
        <v>1000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 t="s">
        <v>38</v>
      </c>
      <c r="AI613" t="s">
        <v>27</v>
      </c>
      <c r="AJ613" s="1"/>
      <c r="AK613" t="s">
        <v>28</v>
      </c>
      <c r="AL6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613">
        <f>SUM(Rel_2026[[#This Row],[qtd_TrxContabil]:[VLR_EXP_SORTE]])</f>
        <v>1624</v>
      </c>
      <c r="AN6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614" spans="1:40" x14ac:dyDescent="0.3">
      <c r="A614" t="str">
        <f>IF(Rel_2026[[#This Row],[Zero]]=0,"Zero",IF(Rel_2026[[#This Row],[Pontuação]]&gt;=10,"Sim",IF(Rel_2026[[#This Row],[Pontuação]]&gt;=5,"Próximo","Não")))</f>
        <v>Próximo</v>
      </c>
      <c r="B614" t="str">
        <f>IF(Rel_2026[[#This Row],[Zero]]=0,"Zero",IF(Rel_2026[[#This Row],[Pontuação2]]&gt;=10,"Sim",IF(Rel_2026[[#This Row],[Pontuação2]]&gt;=5,"Próximo","Não")))</f>
        <v>Sim</v>
      </c>
      <c r="C614" t="str">
        <f>IFERROR(VLOOKUP(Rel_2026[[#This Row],[chave_loja]],Responsavel!A:B,2,FALSE),"EUCLIDES")</f>
        <v>ALEX SIQUEIRA</v>
      </c>
      <c r="D614" t="str">
        <f>LEFT(Rel_2026[[#This Row],[ag_pacb]],4)</f>
        <v>0726</v>
      </c>
      <c r="E614">
        <v>425001</v>
      </c>
      <c r="F614" t="s">
        <v>1357</v>
      </c>
      <c r="G614" t="s">
        <v>1358</v>
      </c>
      <c r="H614" s="1">
        <v>46203</v>
      </c>
      <c r="I614" t="s">
        <v>23</v>
      </c>
      <c r="J614" t="s">
        <v>192</v>
      </c>
      <c r="K614" s="1">
        <v>46198</v>
      </c>
      <c r="L614" s="1">
        <v>46246</v>
      </c>
      <c r="M614" t="s">
        <v>109</v>
      </c>
      <c r="N614" s="1">
        <v>46246</v>
      </c>
      <c r="O614">
        <v>1</v>
      </c>
      <c r="P614">
        <v>1</v>
      </c>
      <c r="Q614">
        <v>1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 t="s">
        <v>26</v>
      </c>
      <c r="AI614" t="s">
        <v>27</v>
      </c>
      <c r="AJ614" s="1"/>
      <c r="AK614" t="s">
        <v>28</v>
      </c>
      <c r="AL6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614">
        <f>SUM(Rel_2026[[#This Row],[qtd_TrxContabil]:[VLR_EXP_SORTE]])</f>
        <v>4</v>
      </c>
      <c r="AN6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615" spans="1:40" x14ac:dyDescent="0.3">
      <c r="A615" t="str">
        <f>IF(Rel_2026[[#This Row],[Zero]]=0,"Zero",IF(Rel_2026[[#This Row],[Pontuação]]&gt;=10,"Sim",IF(Rel_2026[[#This Row],[Pontuação]]&gt;=5,"Próximo","Não")))</f>
        <v>Não</v>
      </c>
      <c r="B615" t="str">
        <f>IF(Rel_2026[[#This Row],[Zero]]=0,"Zero",IF(Rel_2026[[#This Row],[Pontuação2]]&gt;=10,"Sim",IF(Rel_2026[[#This Row],[Pontuação2]]&gt;=5,"Próximo","Não")))</f>
        <v>Não</v>
      </c>
      <c r="C615" t="str">
        <f>IFERROR(VLOOKUP(Rel_2026[[#This Row],[chave_loja]],Responsavel!A:B,2,FALSE),"EUCLIDES")</f>
        <v>JACK</v>
      </c>
      <c r="D615" t="str">
        <f>LEFT(Rel_2026[[#This Row],[ag_pacb]],4)</f>
        <v>1522</v>
      </c>
      <c r="E615">
        <v>166694</v>
      </c>
      <c r="F615" t="s">
        <v>905</v>
      </c>
      <c r="G615" t="s">
        <v>906</v>
      </c>
      <c r="H615" s="1">
        <v>44141</v>
      </c>
      <c r="I615" t="s">
        <v>107</v>
      </c>
      <c r="J615" t="s">
        <v>849</v>
      </c>
      <c r="K615" s="1">
        <v>43922</v>
      </c>
      <c r="L615" s="1">
        <v>46141</v>
      </c>
      <c r="M615" t="s">
        <v>109</v>
      </c>
      <c r="N615" s="1">
        <v>46254</v>
      </c>
      <c r="O615">
        <v>378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1712</v>
      </c>
      <c r="V615">
        <v>1712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25</v>
      </c>
      <c r="AH615" t="s">
        <v>38</v>
      </c>
      <c r="AI615" t="s">
        <v>27</v>
      </c>
      <c r="AJ615" s="1"/>
      <c r="AK615" t="s">
        <v>28</v>
      </c>
      <c r="AL6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</v>
      </c>
      <c r="AM615">
        <f>SUM(Rel_2026[[#This Row],[qtd_TrxContabil]:[VLR_EXP_SORTE]])</f>
        <v>3828</v>
      </c>
      <c r="AN6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</v>
      </c>
    </row>
    <row r="616" spans="1:40" x14ac:dyDescent="0.3">
      <c r="A616" t="str">
        <f>IF(Rel_2026[[#This Row],[Zero]]=0,"Zero",IF(Rel_2026[[#This Row],[Pontuação]]&gt;=10,"Sim",IF(Rel_2026[[#This Row],[Pontuação]]&gt;=5,"Próximo","Não")))</f>
        <v>Próximo</v>
      </c>
      <c r="B616" t="str">
        <f>IF(Rel_2026[[#This Row],[Zero]]=0,"Zero",IF(Rel_2026[[#This Row],[Pontuação2]]&gt;=10,"Sim",IF(Rel_2026[[#This Row],[Pontuação2]]&gt;=5,"Próximo","Não")))</f>
        <v>Próximo</v>
      </c>
      <c r="C616" t="str">
        <f>IFERROR(VLOOKUP(Rel_2026[[#This Row],[chave_loja]],Responsavel!A:B,2,FALSE),"EUCLIDES")</f>
        <v>ROSSY</v>
      </c>
      <c r="D616" t="str">
        <f>LEFT(Rel_2026[[#This Row],[ag_pacb]],4)</f>
        <v>5798</v>
      </c>
      <c r="E616">
        <v>220498</v>
      </c>
      <c r="F616" t="s">
        <v>930</v>
      </c>
      <c r="G616" t="s">
        <v>931</v>
      </c>
      <c r="H616" s="1">
        <v>44630</v>
      </c>
      <c r="I616" t="s">
        <v>107</v>
      </c>
      <c r="J616" t="s">
        <v>926</v>
      </c>
      <c r="K616" s="1">
        <v>44651</v>
      </c>
      <c r="L616" s="1">
        <v>44760</v>
      </c>
      <c r="M616" t="s">
        <v>109</v>
      </c>
      <c r="N616" s="1">
        <v>46254</v>
      </c>
      <c r="O616">
        <v>230</v>
      </c>
      <c r="P616">
        <v>1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 t="s">
        <v>26</v>
      </c>
      <c r="AI616" t="s">
        <v>27</v>
      </c>
      <c r="AJ616" s="1"/>
      <c r="AK616" t="s">
        <v>28</v>
      </c>
      <c r="AL6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616">
        <f>SUM(Rel_2026[[#This Row],[qtd_TrxContabil]:[VLR_EXP_SORTE]])</f>
        <v>232</v>
      </c>
      <c r="AN6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</row>
    <row r="617" spans="1:40" x14ac:dyDescent="0.3">
      <c r="A617" t="str">
        <f>IF(Rel_2026[[#This Row],[Zero]]=0,"Zero",IF(Rel_2026[[#This Row],[Pontuação]]&gt;=10,"Sim",IF(Rel_2026[[#This Row],[Pontuação]]&gt;=5,"Próximo","Não")))</f>
        <v>Zero</v>
      </c>
      <c r="B617" t="str">
        <f>IF(Rel_2026[[#This Row],[Zero]]=0,"Zero",IF(Rel_2026[[#This Row],[Pontuação2]]&gt;=10,"Sim",IF(Rel_2026[[#This Row],[Pontuação2]]&gt;=5,"Próximo","Não")))</f>
        <v>Zero</v>
      </c>
      <c r="C617" t="str">
        <f>IFERROR(VLOOKUP(Rel_2026[[#This Row],[chave_loja]],Responsavel!A:B,2,FALSE),"EUCLIDES")</f>
        <v>WASTHSON</v>
      </c>
      <c r="D617" t="str">
        <f>LEFT(Rel_2026[[#This Row],[ag_pacb]],4)</f>
        <v>0702</v>
      </c>
      <c r="E617">
        <v>423593</v>
      </c>
      <c r="F617" t="s">
        <v>1235</v>
      </c>
      <c r="G617" t="s">
        <v>1236</v>
      </c>
      <c r="H617" s="1">
        <v>46136</v>
      </c>
      <c r="I617" t="s">
        <v>23</v>
      </c>
      <c r="J617" t="s">
        <v>226</v>
      </c>
      <c r="K617" s="1">
        <v>46127</v>
      </c>
      <c r="L617" s="1">
        <v>46150</v>
      </c>
      <c r="M617" t="s">
        <v>32</v>
      </c>
      <c r="N617" s="1">
        <v>46230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 t="s">
        <v>26</v>
      </c>
      <c r="AI617" t="s">
        <v>27</v>
      </c>
      <c r="AJ617" s="1"/>
      <c r="AK617" t="s">
        <v>28</v>
      </c>
      <c r="AL6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617">
        <f>SUM(Rel_2026[[#This Row],[qtd_TrxContabil]:[VLR_EXP_SORTE]])</f>
        <v>0</v>
      </c>
      <c r="AN6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618" spans="1:40" x14ac:dyDescent="0.3">
      <c r="A618" t="str">
        <f>IF(Rel_2026[[#This Row],[Zero]]=0,"Zero",IF(Rel_2026[[#This Row],[Pontuação]]&gt;=10,"Sim",IF(Rel_2026[[#This Row],[Pontuação]]&gt;=5,"Próximo","Não")))</f>
        <v>Sim</v>
      </c>
      <c r="B618" t="str">
        <f>IF(Rel_2026[[#This Row],[Zero]]=0,"Zero",IF(Rel_2026[[#This Row],[Pontuação2]]&gt;=10,"Sim",IF(Rel_2026[[#This Row],[Pontuação2]]&gt;=5,"Próximo","Não")))</f>
        <v>Sim</v>
      </c>
      <c r="C618" t="str">
        <f>IFERROR(VLOOKUP(Rel_2026[[#This Row],[chave_loja]],Responsavel!A:B,2,FALSE),"EUCLIDES")</f>
        <v>ISMAEL</v>
      </c>
      <c r="D618" t="str">
        <f>LEFT(Rel_2026[[#This Row],[ag_pacb]],4)</f>
        <v>1302</v>
      </c>
      <c r="E618">
        <v>62246</v>
      </c>
      <c r="F618" t="s">
        <v>610</v>
      </c>
      <c r="G618" t="s">
        <v>611</v>
      </c>
      <c r="H618" s="1">
        <v>45147</v>
      </c>
      <c r="I618" t="s">
        <v>23</v>
      </c>
      <c r="J618" t="s">
        <v>51</v>
      </c>
      <c r="K618" s="1">
        <v>42255</v>
      </c>
      <c r="L618" s="1">
        <v>45552</v>
      </c>
      <c r="M618" t="s">
        <v>32</v>
      </c>
      <c r="N618" s="1">
        <v>46254</v>
      </c>
      <c r="O618">
        <v>2193</v>
      </c>
      <c r="P618">
        <v>4</v>
      </c>
      <c r="Q618">
        <v>4</v>
      </c>
      <c r="R618">
        <v>1</v>
      </c>
      <c r="S618">
        <v>0</v>
      </c>
      <c r="T618">
        <v>930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 t="s">
        <v>38</v>
      </c>
      <c r="AI618" t="s">
        <v>27</v>
      </c>
      <c r="AJ618" s="1"/>
      <c r="AK618" t="s">
        <v>28</v>
      </c>
      <c r="AL6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37</v>
      </c>
      <c r="AM618">
        <f>SUM(Rel_2026[[#This Row],[qtd_TrxContabil]:[VLR_EXP_SORTE]])</f>
        <v>3132</v>
      </c>
      <c r="AN6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40</v>
      </c>
    </row>
    <row r="619" spans="1:40" x14ac:dyDescent="0.3">
      <c r="H619" s="1"/>
      <c r="K619" s="1"/>
      <c r="L619" s="1"/>
      <c r="N619" s="1"/>
      <c r="P619">
        <f>SUBTOTAL(9,Rel_2026[qtd_contas])</f>
        <v>1601</v>
      </c>
      <c r="Q619">
        <f>SUBTOTAL(9,Rel_2026[qtd_contas_com_deposito])</f>
        <v>717</v>
      </c>
      <c r="R619">
        <f>SUBTOTAL(9,Rel_2026[qtd_cesta_serv])</f>
        <v>1233</v>
      </c>
      <c r="S619">
        <f>SUBTOTAL(9,Rel_2026[QTD_CARTAO_EMITIDO])</f>
        <v>227</v>
      </c>
      <c r="Y619">
        <f>SUBTOTAL(9,Rel_2026[VLR_CREDITO_PARCEL])</f>
        <v>191919</v>
      </c>
      <c r="Z619">
        <f>SUBTOTAL(9,Rel_2026[QTD_CONTAS_PJ])</f>
        <v>0</v>
      </c>
      <c r="AA619">
        <f>SUBTOTAL(9,Rel_2026[qtd_microsseguro])</f>
        <v>135</v>
      </c>
      <c r="AB619">
        <f>SUBTOTAL(9,Rel_2026[QTD_SUPER_PROTEGIDO])</f>
        <v>166</v>
      </c>
      <c r="AC619">
        <f>SUBTOTAL(9,Rel_2026[QTD_MICRO_VIVAVIDA])</f>
        <v>16</v>
      </c>
      <c r="AD619">
        <f>SUBTOTAL(9,Rel_2026[QTD_PLANO_ODONTO])</f>
        <v>104</v>
      </c>
      <c r="AE619">
        <f>SUBTOTAL(9,Rel_2026[QTD_SEG_RESIDENCIAL])</f>
        <v>163</v>
      </c>
      <c r="AF619">
        <f>SUBTOTAL(9,Rel_2026[QTD_SEG_CARTAO_DEB])</f>
        <v>950</v>
      </c>
    </row>
    <row r="620" spans="1:40" ht="15" thickBot="1" x14ac:dyDescent="0.35"/>
    <row r="621" spans="1:40" x14ac:dyDescent="0.3">
      <c r="A621" s="6" t="s">
        <v>653</v>
      </c>
      <c r="B621" s="21" t="s">
        <v>1438</v>
      </c>
      <c r="C621" s="21" t="s">
        <v>1439</v>
      </c>
      <c r="D621" s="21" t="s">
        <v>1440</v>
      </c>
      <c r="E621" s="32" t="s">
        <v>1440</v>
      </c>
      <c r="F621" s="33" t="s">
        <v>653</v>
      </c>
      <c r="G621" s="21" t="s">
        <v>23</v>
      </c>
      <c r="H621" s="8"/>
      <c r="K621" s="6" t="s">
        <v>653</v>
      </c>
      <c r="L621" s="22" t="s">
        <v>1053</v>
      </c>
      <c r="M621" s="8"/>
    </row>
    <row r="622" spans="1:40" x14ac:dyDescent="0.3">
      <c r="A622" s="9" t="s">
        <v>38</v>
      </c>
      <c r="B622" s="5">
        <f>COUNTIF(Rel_2026[Elegível],A622)</f>
        <v>270</v>
      </c>
      <c r="C622" s="5">
        <f>COUNTIF(Rel_2026[Elegível2],A622)</f>
        <v>325</v>
      </c>
      <c r="D622" s="14">
        <f>B622/$B$626</f>
        <v>0.47535211267605632</v>
      </c>
      <c r="E622" s="15">
        <f>C622/$C$626</f>
        <v>0.57218309859154926</v>
      </c>
      <c r="F622" s="34" t="s">
        <v>38</v>
      </c>
      <c r="G622" s="5">
        <f>COUNTIFS(Rel_2026[Elegível],F622,Rel_2026[uf],"CE")</f>
        <v>208</v>
      </c>
      <c r="H622" s="15">
        <f>G622/$G$626</f>
        <v>0.45814977973568283</v>
      </c>
      <c r="K622" s="9" t="s">
        <v>38</v>
      </c>
      <c r="L622" s="5">
        <f>B622-G622</f>
        <v>62</v>
      </c>
      <c r="M622" s="15">
        <f>L622/$L$626</f>
        <v>0.54385964912280704</v>
      </c>
    </row>
    <row r="623" spans="1:40" x14ac:dyDescent="0.3">
      <c r="A623" s="9" t="s">
        <v>654</v>
      </c>
      <c r="B623" s="5">
        <f>COUNTIF(Rel_2026[Elegível],A623)</f>
        <v>76</v>
      </c>
      <c r="C623" s="5">
        <f>COUNTIF(Rel_2026[Elegível2],A623)</f>
        <v>32</v>
      </c>
      <c r="D623" s="14">
        <f>B623/$B$626</f>
        <v>0.13380281690140844</v>
      </c>
      <c r="E623" s="15">
        <f t="shared" ref="E623:E624" si="0">C623/$C$626</f>
        <v>5.6338028169014086E-2</v>
      </c>
      <c r="F623" s="34" t="s">
        <v>654</v>
      </c>
      <c r="G623" s="5">
        <f>COUNTIFS(Rel_2026[Elegível],F623,Rel_2026[uf],"CE")</f>
        <v>64</v>
      </c>
      <c r="H623" s="15">
        <f>G623/$G$626</f>
        <v>0.14096916299559473</v>
      </c>
      <c r="K623" s="9" t="s">
        <v>654</v>
      </c>
      <c r="L623" s="5">
        <f>B623-G623</f>
        <v>12</v>
      </c>
      <c r="M623" s="15">
        <f>L623/$L$626</f>
        <v>0.10526315789473684</v>
      </c>
    </row>
    <row r="624" spans="1:40" x14ac:dyDescent="0.3">
      <c r="A624" s="9" t="s">
        <v>655</v>
      </c>
      <c r="B624" s="5">
        <f>COUNTIF(Rel_2026[Elegível],A624)</f>
        <v>222</v>
      </c>
      <c r="C624" s="5">
        <f>COUNTIF(Rel_2026[Elegível2],A624)</f>
        <v>211</v>
      </c>
      <c r="D624" s="14">
        <f>B624/$B$626</f>
        <v>0.39084507042253519</v>
      </c>
      <c r="E624" s="15">
        <f t="shared" si="0"/>
        <v>0.37147887323943662</v>
      </c>
      <c r="F624" s="34" t="s">
        <v>655</v>
      </c>
      <c r="G624" s="5">
        <f>COUNTIFS(Rel_2026[Elegível],F624,Rel_2026[uf],"CE")</f>
        <v>182</v>
      </c>
      <c r="H624" s="15">
        <f>G624/$G$626</f>
        <v>0.40088105726872247</v>
      </c>
      <c r="K624" s="9" t="s">
        <v>655</v>
      </c>
      <c r="L624" s="5">
        <f>B624-G624</f>
        <v>40</v>
      </c>
      <c r="M624" s="15">
        <f>L624/$L$626</f>
        <v>0.35087719298245612</v>
      </c>
    </row>
    <row r="625" spans="1:13" x14ac:dyDescent="0.3">
      <c r="A625" s="9" t="s">
        <v>1223</v>
      </c>
      <c r="B625" s="5">
        <f>COUNTIF(Rel_2026[Elegível],A625)</f>
        <v>49</v>
      </c>
      <c r="C625" s="5">
        <f>COUNTIF(Rel_2026[Elegível2],A625)</f>
        <v>49</v>
      </c>
      <c r="D625" s="14"/>
      <c r="E625" s="10"/>
      <c r="F625" s="35" t="s">
        <v>1223</v>
      </c>
      <c r="G625" s="5">
        <f>COUNTIFS(Rel_2026[Elegível],F625,Rel_2026[uf],"CE")</f>
        <v>47</v>
      </c>
      <c r="H625" s="27"/>
      <c r="K625" s="26" t="s">
        <v>1223</v>
      </c>
      <c r="L625" s="5">
        <f>B625-G625</f>
        <v>2</v>
      </c>
      <c r="M625" s="27"/>
    </row>
    <row r="626" spans="1:13" ht="15" thickBot="1" x14ac:dyDescent="0.35">
      <c r="A626" s="11"/>
      <c r="B626" s="12">
        <f>SUM(B622:B624)</f>
        <v>568</v>
      </c>
      <c r="C626" s="12">
        <f>SUM(C622:C624)</f>
        <v>568</v>
      </c>
      <c r="D626" s="12"/>
      <c r="E626" s="13"/>
      <c r="F626" s="36"/>
      <c r="G626" s="12">
        <f>SUM(G622:G624)</f>
        <v>454</v>
      </c>
      <c r="H626" s="13"/>
      <c r="K626" s="11"/>
      <c r="L626" s="12">
        <f>SUM(L622:L624)</f>
        <v>114</v>
      </c>
      <c r="M626" s="13"/>
    </row>
    <row r="627" spans="1:13" ht="15" thickBot="1" x14ac:dyDescent="0.35"/>
    <row r="628" spans="1:13" ht="15" thickBot="1" x14ac:dyDescent="0.35">
      <c r="A628" s="16" t="s">
        <v>656</v>
      </c>
      <c r="B628" s="31"/>
      <c r="C628" s="17">
        <f>COUNTIF(Rel_2026[qtd_contas],0)</f>
        <v>305</v>
      </c>
    </row>
    <row r="629" spans="1:13" ht="15" thickBot="1" x14ac:dyDescent="0.35"/>
    <row r="630" spans="1:13" x14ac:dyDescent="0.3">
      <c r="A630" s="6" t="s">
        <v>653</v>
      </c>
      <c r="B630" s="7"/>
      <c r="C630" s="7" t="s">
        <v>662</v>
      </c>
      <c r="D630" s="21" t="s">
        <v>1440</v>
      </c>
      <c r="E630" s="32" t="s">
        <v>1440</v>
      </c>
      <c r="F630" s="33"/>
      <c r="G630" s="18"/>
      <c r="H630" s="8"/>
      <c r="M630" s="25"/>
    </row>
    <row r="631" spans="1:13" x14ac:dyDescent="0.3">
      <c r="A631" s="9" t="s">
        <v>38</v>
      </c>
      <c r="B631" s="5">
        <f>COUNTIFS($A$1:$A$618,A631,$C$1:$C$618,C630)</f>
        <v>26</v>
      </c>
      <c r="C631" s="5">
        <f>COUNTIFS($B$1:$B$618,A631,$C$1:$C$618,C630)</f>
        <v>32</v>
      </c>
      <c r="D631" s="14">
        <f>B631/$B635</f>
        <v>0.63414634146341464</v>
      </c>
      <c r="E631" s="15">
        <f>C631/$C635</f>
        <v>0.78048780487804881</v>
      </c>
      <c r="F631" s="34" t="s">
        <v>665</v>
      </c>
      <c r="G631" s="19"/>
      <c r="H631" s="10">
        <f>SUMIF($C$1:$C$618,C630,$AE$1:$AE$618)</f>
        <v>8</v>
      </c>
      <c r="M631" s="25"/>
    </row>
    <row r="632" spans="1:13" x14ac:dyDescent="0.3">
      <c r="A632" s="9" t="s">
        <v>654</v>
      </c>
      <c r="B632" s="5">
        <f>COUNTIFS($A$1:$A$618,A632,$C$1:$C$618,C630)</f>
        <v>6</v>
      </c>
      <c r="C632" s="5">
        <f>COUNTIFS($B$1:$B$618,A632,$C$1:$C$618,C630)</f>
        <v>2</v>
      </c>
      <c r="D632" s="14">
        <f>B632/$B635</f>
        <v>0.14634146341463414</v>
      </c>
      <c r="E632" s="15">
        <f>C632/$B635</f>
        <v>4.878048780487805E-2</v>
      </c>
      <c r="F632" s="34" t="s">
        <v>666</v>
      </c>
      <c r="G632" s="19"/>
      <c r="H632" s="10">
        <f>SUMIF($C$1:$C$618,C630,$AD$1:$AD$618)</f>
        <v>2</v>
      </c>
      <c r="M632" s="25"/>
    </row>
    <row r="633" spans="1:13" x14ac:dyDescent="0.3">
      <c r="A633" s="9" t="s">
        <v>655</v>
      </c>
      <c r="B633" s="5">
        <f>COUNTIFS($A$1:$A$618,A633,$C$1:$C$618,C630)</f>
        <v>9</v>
      </c>
      <c r="C633" s="5">
        <f>COUNTIFS($B$1:$B$618,A633,$C$1:$C$618,C630)</f>
        <v>7</v>
      </c>
      <c r="D633" s="14">
        <f>B633/$B635</f>
        <v>0.21951219512195122</v>
      </c>
      <c r="E633" s="15">
        <f>C633/$B635</f>
        <v>0.17073170731707318</v>
      </c>
      <c r="F633" s="34" t="s">
        <v>667</v>
      </c>
      <c r="G633" s="19"/>
      <c r="H633" s="10">
        <f>SUMIF($C$1:$C$618,C630,$AA$1:$AA$618)</f>
        <v>3</v>
      </c>
    </row>
    <row r="634" spans="1:13" x14ac:dyDescent="0.3">
      <c r="A634" s="9" t="s">
        <v>1223</v>
      </c>
      <c r="B634" s="5">
        <f>COUNTIFS($A$1:$A$618,A634,$C$1:$C$618,C630)</f>
        <v>0</v>
      </c>
      <c r="C634" s="5">
        <f>COUNTIFS($B$1:$B$618,A634,$C$1:$C$618,C630)</f>
        <v>0</v>
      </c>
      <c r="D634" s="14"/>
      <c r="E634" s="10"/>
      <c r="F634" s="35"/>
      <c r="G634" s="28"/>
      <c r="H634" s="29"/>
    </row>
    <row r="635" spans="1:13" ht="15" thickBot="1" x14ac:dyDescent="0.35">
      <c r="A635" s="11"/>
      <c r="B635" s="12">
        <f>SUM(B631:B633)</f>
        <v>41</v>
      </c>
      <c r="C635" s="12">
        <f>SUM(C631:C633)</f>
        <v>41</v>
      </c>
      <c r="D635" s="12"/>
      <c r="E635" s="13"/>
      <c r="F635" s="36"/>
      <c r="G635" s="20"/>
      <c r="H635" s="13"/>
    </row>
    <row r="636" spans="1:13" ht="15" thickBot="1" x14ac:dyDescent="0.35">
      <c r="F636" s="37"/>
    </row>
    <row r="637" spans="1:13" x14ac:dyDescent="0.3">
      <c r="A637" s="6" t="s">
        <v>653</v>
      </c>
      <c r="B637" s="7"/>
      <c r="C637" s="7" t="s">
        <v>1371</v>
      </c>
      <c r="D637" s="21" t="s">
        <v>1440</v>
      </c>
      <c r="E637" s="32" t="s">
        <v>1440</v>
      </c>
      <c r="F637" s="38"/>
      <c r="G637" s="18"/>
      <c r="H637" s="8"/>
    </row>
    <row r="638" spans="1:13" x14ac:dyDescent="0.3">
      <c r="A638" s="9" t="s">
        <v>38</v>
      </c>
      <c r="B638" s="5">
        <f>COUNTIFS($A$1:$A$618,A638,$C$1:$C$618,C637)</f>
        <v>20</v>
      </c>
      <c r="C638" s="5">
        <f>COUNTIFS($B$1:$B$618,A638,$C$1:$C$618,C637)</f>
        <v>22</v>
      </c>
      <c r="D638" s="14">
        <f>B638/$B642</f>
        <v>0.42553191489361702</v>
      </c>
      <c r="E638" s="15">
        <f>C638/$C642</f>
        <v>0.46808510638297873</v>
      </c>
      <c r="F638" s="39" t="s">
        <v>665</v>
      </c>
      <c r="G638" s="19"/>
      <c r="H638" s="10">
        <f>SUMIF($C$1:$C$618,C637,$AE$1:$AE$618)</f>
        <v>0</v>
      </c>
    </row>
    <row r="639" spans="1:13" x14ac:dyDescent="0.3">
      <c r="A639" s="9" t="s">
        <v>654</v>
      </c>
      <c r="B639" s="5">
        <f>COUNTIFS($A$1:$A$618,A639,$C$1:$C$618,C637)</f>
        <v>7</v>
      </c>
      <c r="C639" s="5">
        <f>COUNTIFS($B$1:$B$618,A639,$C$1:$C$618,C637)</f>
        <v>7</v>
      </c>
      <c r="D639" s="14">
        <f>B639/$B642</f>
        <v>0.14893617021276595</v>
      </c>
      <c r="E639" s="15">
        <f>C639/$B642</f>
        <v>0.14893617021276595</v>
      </c>
      <c r="F639" s="39" t="s">
        <v>666</v>
      </c>
      <c r="G639" s="19"/>
      <c r="H639" s="10">
        <f>SUMIF($C$1:$C$618,C637,$AD$1:$AD$618)</f>
        <v>20</v>
      </c>
    </row>
    <row r="640" spans="1:13" x14ac:dyDescent="0.3">
      <c r="A640" s="9" t="s">
        <v>655</v>
      </c>
      <c r="B640" s="5">
        <f>COUNTIFS($A$1:$A$618,A640,$C$1:$C$618,C637)</f>
        <v>20</v>
      </c>
      <c r="C640" s="5">
        <f>COUNTIFS($B$1:$B$618,A640,$C$1:$C$618,C637)</f>
        <v>18</v>
      </c>
      <c r="D640" s="14">
        <f>B640/$B642</f>
        <v>0.42553191489361702</v>
      </c>
      <c r="E640" s="15">
        <f>C640/$B642</f>
        <v>0.38297872340425532</v>
      </c>
      <c r="F640" s="39" t="s">
        <v>667</v>
      </c>
      <c r="G640" s="19"/>
      <c r="H640" s="10">
        <f>SUMIF($C$1:$C$618,C637,$AA$1:$AA$618)</f>
        <v>9</v>
      </c>
    </row>
    <row r="641" spans="1:8" x14ac:dyDescent="0.3">
      <c r="A641" s="26" t="s">
        <v>1223</v>
      </c>
      <c r="B641" s="5">
        <f>COUNTIFS($A$1:$A$618,A641,$C$1:$C$618,C637)</f>
        <v>12</v>
      </c>
      <c r="C641" s="5">
        <f>COUNTIFS($B$1:$B$618,A641,$C$1:$C$618,C637)</f>
        <v>12</v>
      </c>
      <c r="D641" s="14"/>
      <c r="E641" s="10"/>
      <c r="F641" s="40"/>
      <c r="G641" s="28"/>
      <c r="H641" s="29"/>
    </row>
    <row r="642" spans="1:8" ht="15" thickBot="1" x14ac:dyDescent="0.35">
      <c r="A642" s="11"/>
      <c r="B642" s="12">
        <f>SUM(B638:B640)</f>
        <v>47</v>
      </c>
      <c r="C642" s="12">
        <f>SUM(C638:C640)</f>
        <v>47</v>
      </c>
      <c r="D642" s="12"/>
      <c r="E642" s="13"/>
      <c r="F642" s="41"/>
      <c r="G642" s="20"/>
      <c r="H642" s="13"/>
    </row>
    <row r="643" spans="1:8" ht="15" thickBot="1" x14ac:dyDescent="0.35">
      <c r="F643" s="37"/>
    </row>
    <row r="644" spans="1:8" x14ac:dyDescent="0.3">
      <c r="A644" s="6" t="s">
        <v>653</v>
      </c>
      <c r="B644" s="30"/>
      <c r="C644" s="7" t="s">
        <v>661</v>
      </c>
      <c r="D644" s="21" t="s">
        <v>1440</v>
      </c>
      <c r="E644" s="32" t="s">
        <v>1440</v>
      </c>
      <c r="F644" s="38"/>
      <c r="G644" s="18"/>
      <c r="H644" s="8"/>
    </row>
    <row r="645" spans="1:8" x14ac:dyDescent="0.3">
      <c r="A645" s="9" t="s">
        <v>38</v>
      </c>
      <c r="B645" s="5">
        <f>COUNTIFS($A$1:$A$618,A645,$C$1:$C$618,C644)</f>
        <v>15</v>
      </c>
      <c r="C645" s="5">
        <f>COUNTIFS($B$1:$B$618,A645,$C$1:$C$618,C644)</f>
        <v>17</v>
      </c>
      <c r="D645" s="14">
        <f>B645/$B649</f>
        <v>0.35714285714285715</v>
      </c>
      <c r="E645" s="15">
        <f>C645/$C649</f>
        <v>0.40476190476190477</v>
      </c>
      <c r="F645" s="39" t="s">
        <v>665</v>
      </c>
      <c r="G645" s="19"/>
      <c r="H645" s="10">
        <f>SUMIF($C$1:$C$618,C644,$AE$1:$AE$618)</f>
        <v>3</v>
      </c>
    </row>
    <row r="646" spans="1:8" x14ac:dyDescent="0.3">
      <c r="A646" s="9" t="s">
        <v>654</v>
      </c>
      <c r="B646" s="5">
        <f>COUNTIFS($A$1:$A$618,A646,$C$1:$C$618,C644)</f>
        <v>3</v>
      </c>
      <c r="C646" s="5">
        <f>COUNTIFS($B$1:$B$618,A646,$C$1:$C$618,C644)</f>
        <v>1</v>
      </c>
      <c r="D646" s="14">
        <f>B646/$B649</f>
        <v>7.1428571428571425E-2</v>
      </c>
      <c r="E646" s="15">
        <f>C646/$B649</f>
        <v>2.3809523809523808E-2</v>
      </c>
      <c r="F646" s="39" t="s">
        <v>666</v>
      </c>
      <c r="G646" s="19"/>
      <c r="H646" s="10">
        <f>SUMIF($C$1:$C$618,C644,$AD$1:$AD$618)</f>
        <v>3</v>
      </c>
    </row>
    <row r="647" spans="1:8" x14ac:dyDescent="0.3">
      <c r="A647" s="9" t="s">
        <v>655</v>
      </c>
      <c r="B647" s="5">
        <f>COUNTIFS($A$1:$A$618,A647,$C$1:$C$618,C644)</f>
        <v>24</v>
      </c>
      <c r="C647" s="5">
        <f>COUNTIFS($B$1:$B$618,A647,$C$1:$C$618,C644)</f>
        <v>24</v>
      </c>
      <c r="D647" s="14">
        <f>B647/$B649</f>
        <v>0.5714285714285714</v>
      </c>
      <c r="E647" s="15">
        <f>C647/$B649</f>
        <v>0.5714285714285714</v>
      </c>
      <c r="F647" s="39" t="s">
        <v>667</v>
      </c>
      <c r="G647" s="19"/>
      <c r="H647" s="10">
        <f>SUMIF($C$1:$C$618,C644,$AA$1:$AA$618)</f>
        <v>2</v>
      </c>
    </row>
    <row r="648" spans="1:8" x14ac:dyDescent="0.3">
      <c r="A648" s="26" t="s">
        <v>1223</v>
      </c>
      <c r="B648" s="5">
        <f>COUNTIFS($A$1:$A$618,A648,$C$1:$C$618,C644)</f>
        <v>2</v>
      </c>
      <c r="C648" s="5">
        <f>COUNTIFS($B$1:$B$618,A648,$C$1:$C$618,C644)</f>
        <v>2</v>
      </c>
      <c r="D648" s="14"/>
      <c r="E648" s="10"/>
      <c r="F648" s="40"/>
      <c r="G648" s="28"/>
      <c r="H648" s="29"/>
    </row>
    <row r="649" spans="1:8" ht="15" thickBot="1" x14ac:dyDescent="0.35">
      <c r="A649" s="11"/>
      <c r="B649" s="12">
        <f>SUM(B645:B647)</f>
        <v>42</v>
      </c>
      <c r="C649" s="12">
        <f>SUM(C645:C647)</f>
        <v>42</v>
      </c>
      <c r="D649" s="12"/>
      <c r="E649" s="13"/>
      <c r="F649" s="41"/>
      <c r="G649" s="20"/>
      <c r="H649" s="13"/>
    </row>
    <row r="650" spans="1:8" ht="15" thickBot="1" x14ac:dyDescent="0.35">
      <c r="F650" s="37"/>
    </row>
    <row r="651" spans="1:8" x14ac:dyDescent="0.3">
      <c r="A651" s="6" t="s">
        <v>653</v>
      </c>
      <c r="B651" s="30"/>
      <c r="C651" s="7" t="s">
        <v>660</v>
      </c>
      <c r="D651" s="21" t="s">
        <v>1440</v>
      </c>
      <c r="E651" s="32" t="s">
        <v>1440</v>
      </c>
      <c r="F651" s="38"/>
      <c r="G651" s="18"/>
      <c r="H651" s="8"/>
    </row>
    <row r="652" spans="1:8" x14ac:dyDescent="0.3">
      <c r="A652" s="9" t="s">
        <v>38</v>
      </c>
      <c r="B652" s="5">
        <f>COUNTIFS($A$1:$A$618,A652,$C$1:$C$618,C651)</f>
        <v>17</v>
      </c>
      <c r="C652" s="5">
        <f>COUNTIFS($B$1:$B$618,A652,$C$1:$C$618,C651)</f>
        <v>25</v>
      </c>
      <c r="D652" s="14">
        <f>B652/$B656</f>
        <v>0.5</v>
      </c>
      <c r="E652" s="15">
        <f>C652/$C656</f>
        <v>0.73529411764705888</v>
      </c>
      <c r="F652" s="39" t="s">
        <v>665</v>
      </c>
      <c r="G652" s="19"/>
      <c r="H652" s="10">
        <f>SUMIF($C$1:$C$618,C651,$AE$1:$AE$618)</f>
        <v>20</v>
      </c>
    </row>
    <row r="653" spans="1:8" x14ac:dyDescent="0.3">
      <c r="A653" s="9" t="s">
        <v>654</v>
      </c>
      <c r="B653" s="5">
        <f>COUNTIFS($A$1:$A$618,A653,$C$1:$C$618,C651)</f>
        <v>8</v>
      </c>
      <c r="C653" s="5">
        <f>COUNTIFS($B$1:$B$618,A653,$C$1:$C$618,C651)</f>
        <v>1</v>
      </c>
      <c r="D653" s="14">
        <f>B653/$B656</f>
        <v>0.23529411764705882</v>
      </c>
      <c r="E653" s="15">
        <f>C653/$B656</f>
        <v>2.9411764705882353E-2</v>
      </c>
      <c r="F653" s="39" t="s">
        <v>666</v>
      </c>
      <c r="G653" s="19"/>
      <c r="H653" s="10">
        <f>SUMIF($C$1:$C$618,C651,$AD$1:$AD$618)</f>
        <v>0</v>
      </c>
    </row>
    <row r="654" spans="1:8" x14ac:dyDescent="0.3">
      <c r="A654" s="9" t="s">
        <v>655</v>
      </c>
      <c r="B654" s="5">
        <f>COUNTIFS($A$1:$A$618,A654,$C$1:$C$618,C651)</f>
        <v>9</v>
      </c>
      <c r="C654" s="5">
        <f>COUNTIFS($B$1:$B$618,A654,$C$1:$C$618,C651)</f>
        <v>8</v>
      </c>
      <c r="D654" s="14">
        <f>B654/$B656</f>
        <v>0.26470588235294118</v>
      </c>
      <c r="E654" s="15">
        <f>C654/$B656</f>
        <v>0.23529411764705882</v>
      </c>
      <c r="F654" s="39" t="s">
        <v>667</v>
      </c>
      <c r="G654" s="19"/>
      <c r="H654" s="10">
        <f>SUMIF($C$1:$C$618,C651,$AA$1:$AA$618)</f>
        <v>3</v>
      </c>
    </row>
    <row r="655" spans="1:8" x14ac:dyDescent="0.3">
      <c r="A655" s="26" t="s">
        <v>1223</v>
      </c>
      <c r="B655" s="5">
        <f>COUNTIFS($A$1:$A$618,A655,$C$1:$C$618,C651)</f>
        <v>2</v>
      </c>
      <c r="C655" s="5">
        <f>COUNTIFS($B$1:$B$618,A655,$C$1:$C$618,C651)</f>
        <v>2</v>
      </c>
      <c r="D655" s="14"/>
      <c r="E655" s="10"/>
      <c r="F655" s="40"/>
      <c r="G655" s="28"/>
      <c r="H655" s="29"/>
    </row>
    <row r="656" spans="1:8" ht="15" thickBot="1" x14ac:dyDescent="0.35">
      <c r="A656" s="11"/>
      <c r="B656" s="12">
        <f>SUM(B652:B654)</f>
        <v>34</v>
      </c>
      <c r="C656" s="12">
        <f>SUM(C652:C654)</f>
        <v>34</v>
      </c>
      <c r="D656" s="12"/>
      <c r="E656" s="13"/>
      <c r="F656" s="41"/>
      <c r="G656" s="20"/>
      <c r="H656" s="13"/>
    </row>
    <row r="657" spans="1:8" ht="15" thickBot="1" x14ac:dyDescent="0.35">
      <c r="F657" s="37"/>
    </row>
    <row r="658" spans="1:8" x14ac:dyDescent="0.3">
      <c r="A658" s="6" t="s">
        <v>653</v>
      </c>
      <c r="B658" s="30"/>
      <c r="C658" s="7" t="s">
        <v>659</v>
      </c>
      <c r="D658" s="21" t="s">
        <v>1440</v>
      </c>
      <c r="E658" s="32" t="s">
        <v>1440</v>
      </c>
      <c r="F658" s="38"/>
      <c r="G658" s="18"/>
      <c r="H658" s="8"/>
    </row>
    <row r="659" spans="1:8" x14ac:dyDescent="0.3">
      <c r="A659" s="9" t="s">
        <v>38</v>
      </c>
      <c r="B659" s="5">
        <f>COUNTIFS($A$1:$A$618,A659,$C$1:$C$618,C658)</f>
        <v>36</v>
      </c>
      <c r="C659" s="5">
        <f>COUNTIFS($B$1:$B$618,A659,$C$1:$C$618,C658)</f>
        <v>44</v>
      </c>
      <c r="D659" s="14">
        <f>B659/$B663</f>
        <v>0.45</v>
      </c>
      <c r="E659" s="15">
        <f>C659/$C663</f>
        <v>0.55000000000000004</v>
      </c>
      <c r="F659" s="39" t="s">
        <v>665</v>
      </c>
      <c r="G659" s="19"/>
      <c r="H659" s="10">
        <f>SUMIF($C$1:$C$618,C658,$AE$1:$AE$618)</f>
        <v>33</v>
      </c>
    </row>
    <row r="660" spans="1:8" x14ac:dyDescent="0.3">
      <c r="A660" s="9" t="s">
        <v>654</v>
      </c>
      <c r="B660" s="5">
        <f>COUNTIFS($A$1:$A$618,A660,$C$1:$C$618,C658)</f>
        <v>10</v>
      </c>
      <c r="C660" s="5">
        <f>COUNTIFS($B$1:$B$618,A660,$C$1:$C$618,C658)</f>
        <v>2</v>
      </c>
      <c r="D660" s="14">
        <f>B660/$B663</f>
        <v>0.125</v>
      </c>
      <c r="E660" s="15">
        <f>C660/$B663</f>
        <v>2.5000000000000001E-2</v>
      </c>
      <c r="F660" s="39" t="s">
        <v>666</v>
      </c>
      <c r="G660" s="19">
        <v>2</v>
      </c>
      <c r="H660" s="10">
        <f>SUMIF($C$1:$C$618,C658,$AD$1:$AD$618)</f>
        <v>17</v>
      </c>
    </row>
    <row r="661" spans="1:8" x14ac:dyDescent="0.3">
      <c r="A661" s="9" t="s">
        <v>655</v>
      </c>
      <c r="B661" s="5">
        <f>COUNTIFS($A$1:$A$618,A661,$C$1:$C$618,C658)</f>
        <v>34</v>
      </c>
      <c r="C661" s="5">
        <f>COUNTIFS($B$1:$B$618,A661,$C$1:$C$618,C658)</f>
        <v>34</v>
      </c>
      <c r="D661" s="14">
        <f>B661/$B663</f>
        <v>0.42499999999999999</v>
      </c>
      <c r="E661" s="15">
        <f>C661/$B663</f>
        <v>0.42499999999999999</v>
      </c>
      <c r="F661" s="39" t="s">
        <v>667</v>
      </c>
      <c r="G661" s="19">
        <v>2</v>
      </c>
      <c r="H661" s="10">
        <f>SUMIF($C$1:$C$618,C658,$AA$1:$AA$618)</f>
        <v>58</v>
      </c>
    </row>
    <row r="662" spans="1:8" x14ac:dyDescent="0.3">
      <c r="A662" s="26" t="s">
        <v>1223</v>
      </c>
      <c r="B662" s="5">
        <f>COUNTIFS($A$1:$A$618,A662,$C$1:$C$618,C658)</f>
        <v>8</v>
      </c>
      <c r="C662" s="5">
        <f>COUNTIFS($B$1:$B$618,A662,$C$1:$C$618,C658)</f>
        <v>8</v>
      </c>
      <c r="D662" s="14"/>
      <c r="E662" s="10"/>
      <c r="F662" s="40"/>
      <c r="G662" s="28"/>
      <c r="H662" s="29"/>
    </row>
    <row r="663" spans="1:8" ht="15" thickBot="1" x14ac:dyDescent="0.35">
      <c r="A663" s="11"/>
      <c r="B663" s="12">
        <f>SUM(B659:B661)</f>
        <v>80</v>
      </c>
      <c r="C663" s="12">
        <f>SUM(C659:C661)</f>
        <v>80</v>
      </c>
      <c r="D663" s="12"/>
      <c r="E663" s="13"/>
      <c r="F663" s="41"/>
      <c r="G663" s="20"/>
      <c r="H663" s="13"/>
    </row>
    <row r="664" spans="1:8" ht="15" thickBot="1" x14ac:dyDescent="0.35">
      <c r="F664" s="37"/>
    </row>
    <row r="665" spans="1:8" x14ac:dyDescent="0.3">
      <c r="A665" s="6" t="s">
        <v>653</v>
      </c>
      <c r="B665" s="30"/>
      <c r="C665" s="7" t="s">
        <v>658</v>
      </c>
      <c r="D665" s="21" t="s">
        <v>1440</v>
      </c>
      <c r="E665" s="32" t="s">
        <v>1440</v>
      </c>
      <c r="F665" s="38"/>
      <c r="G665" s="18"/>
      <c r="H665" s="8"/>
    </row>
    <row r="666" spans="1:8" x14ac:dyDescent="0.3">
      <c r="A666" s="9" t="s">
        <v>38</v>
      </c>
      <c r="B666" s="5">
        <f>COUNTIFS($A$1:$A$618,A666,$C$1:$C$618,C665)</f>
        <v>25</v>
      </c>
      <c r="C666" s="5">
        <f>COUNTIFS($B$1:$B$618,A666,$C$1:$C$618,C665)</f>
        <v>34</v>
      </c>
      <c r="D666" s="14">
        <f>B666/$B670</f>
        <v>0.46296296296296297</v>
      </c>
      <c r="E666" s="15">
        <f>C666/$C670</f>
        <v>0.62962962962962965</v>
      </c>
      <c r="F666" s="39" t="s">
        <v>665</v>
      </c>
      <c r="G666" s="19"/>
      <c r="H666" s="10">
        <f>SUMIF($C$1:$C$618,C665,$AE$1:$AE$618)</f>
        <v>24</v>
      </c>
    </row>
    <row r="667" spans="1:8" x14ac:dyDescent="0.3">
      <c r="A667" s="9" t="s">
        <v>654</v>
      </c>
      <c r="B667" s="5">
        <f>COUNTIFS($A$1:$A$618,A667,$C$1:$C$618,C665)</f>
        <v>12</v>
      </c>
      <c r="C667" s="5">
        <f>COUNTIFS($B$1:$B$618,A667,$C$1:$C$618,C665)</f>
        <v>3</v>
      </c>
      <c r="D667" s="14">
        <f>B667/$B670</f>
        <v>0.22222222222222221</v>
      </c>
      <c r="E667" s="15">
        <f>C667/$B670</f>
        <v>5.5555555555555552E-2</v>
      </c>
      <c r="F667" s="39" t="s">
        <v>666</v>
      </c>
      <c r="G667" s="19"/>
      <c r="H667" s="10">
        <f>SUMIF($C$1:$C$618,C665,$AD$1:$AD$618)</f>
        <v>19</v>
      </c>
    </row>
    <row r="668" spans="1:8" x14ac:dyDescent="0.3">
      <c r="A668" s="9" t="s">
        <v>655</v>
      </c>
      <c r="B668" s="5">
        <f>COUNTIFS($A$1:$A$618,A668,$C$1:$C$618,C665)</f>
        <v>17</v>
      </c>
      <c r="C668" s="5">
        <f>COUNTIFS($B$1:$B$618,A668,$C$1:$C$618,C665)</f>
        <v>17</v>
      </c>
      <c r="D668" s="14">
        <f>B668/$B670</f>
        <v>0.31481481481481483</v>
      </c>
      <c r="E668" s="15">
        <f>C668/$B670</f>
        <v>0.31481481481481483</v>
      </c>
      <c r="F668" s="39" t="s">
        <v>667</v>
      </c>
      <c r="G668" s="19"/>
      <c r="H668" s="10">
        <f>SUMIF($C$1:$C$618,C665,$AA$1:$AA$618)</f>
        <v>5</v>
      </c>
    </row>
    <row r="669" spans="1:8" x14ac:dyDescent="0.3">
      <c r="A669" s="26" t="s">
        <v>1223</v>
      </c>
      <c r="B669" s="5">
        <f>COUNTIFS($A$1:$A$618,A669,$C$1:$C$618,C665)</f>
        <v>6</v>
      </c>
      <c r="C669" s="5">
        <f>COUNTIFS($B$1:$B$618,A669,$C$1:$C$618,C665)</f>
        <v>6</v>
      </c>
      <c r="D669" s="14"/>
      <c r="E669" s="10"/>
      <c r="F669" s="40"/>
      <c r="G669" s="28"/>
      <c r="H669" s="29"/>
    </row>
    <row r="670" spans="1:8" ht="15" thickBot="1" x14ac:dyDescent="0.35">
      <c r="A670" s="11"/>
      <c r="B670" s="12">
        <f>SUM(B666:B668)</f>
        <v>54</v>
      </c>
      <c r="C670" s="12">
        <f>SUM(C666:C668)</f>
        <v>54</v>
      </c>
      <c r="D670" s="12"/>
      <c r="E670" s="13"/>
      <c r="F670" s="41"/>
      <c r="G670" s="20"/>
      <c r="H670" s="13"/>
    </row>
    <row r="671" spans="1:8" ht="15" thickBot="1" x14ac:dyDescent="0.35">
      <c r="F671" s="37"/>
    </row>
    <row r="672" spans="1:8" x14ac:dyDescent="0.3">
      <c r="A672" s="6" t="s">
        <v>653</v>
      </c>
      <c r="B672" s="30"/>
      <c r="C672" s="7" t="s">
        <v>699</v>
      </c>
      <c r="D672" s="21" t="s">
        <v>1440</v>
      </c>
      <c r="E672" s="32" t="s">
        <v>1440</v>
      </c>
      <c r="F672" s="38"/>
      <c r="G672" s="18"/>
      <c r="H672" s="8"/>
    </row>
    <row r="673" spans="1:71" x14ac:dyDescent="0.3">
      <c r="A673" s="9" t="s">
        <v>38</v>
      </c>
      <c r="B673" s="5">
        <f>COUNTIFS($A$1:$A$618,A673,$C$1:$C$618,C672)</f>
        <v>21</v>
      </c>
      <c r="C673" s="5">
        <f>COUNTIFS($B$1:$B$618,A673,$C$1:$C$618,C672)</f>
        <v>24</v>
      </c>
      <c r="D673" s="14">
        <f>B673/$B677</f>
        <v>0.48837209302325579</v>
      </c>
      <c r="E673" s="15">
        <f>C673/$C677</f>
        <v>0.55813953488372092</v>
      </c>
      <c r="F673" s="39" t="s">
        <v>665</v>
      </c>
      <c r="G673" s="19"/>
      <c r="H673" s="10">
        <f>SUMIF($C$1:$C$618,C672,$AE$1:$AE$618)</f>
        <v>3</v>
      </c>
    </row>
    <row r="674" spans="1:71" x14ac:dyDescent="0.3">
      <c r="A674" s="9" t="s">
        <v>654</v>
      </c>
      <c r="B674" s="5">
        <f>COUNTIFS($A$1:$A$618,A674,$C$1:$C$618,C672)</f>
        <v>7</v>
      </c>
      <c r="C674" s="5">
        <f>COUNTIFS($B$1:$B$618,A674,$C$1:$C$618,C672)</f>
        <v>5</v>
      </c>
      <c r="D674" s="14">
        <f>B674/$B677</f>
        <v>0.16279069767441862</v>
      </c>
      <c r="E674" s="15">
        <f>C674/$B677</f>
        <v>0.11627906976744186</v>
      </c>
      <c r="F674" s="39" t="s">
        <v>666</v>
      </c>
      <c r="G674" s="19"/>
      <c r="H674" s="10">
        <f>SUMIFS($AD$1:$AD$618,$A$1:$A$618,A673,$C$1:$C$618,C672)</f>
        <v>0</v>
      </c>
    </row>
    <row r="675" spans="1:71" x14ac:dyDescent="0.3">
      <c r="A675" s="9" t="s">
        <v>655</v>
      </c>
      <c r="B675" s="5">
        <f>COUNTIFS($A$1:$A$618,A675,$C$1:$C$618,C672)</f>
        <v>15</v>
      </c>
      <c r="C675" s="5">
        <f>COUNTIFS($B$1:$B$618,A675,$C$1:$C$618,C672)</f>
        <v>14</v>
      </c>
      <c r="D675" s="14">
        <f>B675/$B677</f>
        <v>0.34883720930232559</v>
      </c>
      <c r="E675" s="15">
        <f>C675/$B677</f>
        <v>0.32558139534883723</v>
      </c>
      <c r="F675" s="39" t="s">
        <v>667</v>
      </c>
      <c r="G675" s="19"/>
      <c r="H675" s="10">
        <f>SUMIF($C$1:$C$618,C672,$AA$1:$AA$618)</f>
        <v>6</v>
      </c>
    </row>
    <row r="676" spans="1:71" x14ac:dyDescent="0.3">
      <c r="A676" s="26" t="s">
        <v>1223</v>
      </c>
      <c r="B676" s="5">
        <f>COUNTIFS($A$1:$A$618,A676,$C$1:$C$618,C672)</f>
        <v>4</v>
      </c>
      <c r="C676" s="5">
        <f>COUNTIFS($B$1:$B$618,A676,$C$1:$C$618,C672)</f>
        <v>4</v>
      </c>
      <c r="D676" s="14"/>
      <c r="E676" s="10"/>
      <c r="F676" s="40"/>
      <c r="G676" s="28"/>
      <c r="H676" s="29"/>
    </row>
    <row r="677" spans="1:71" ht="15" thickBot="1" x14ac:dyDescent="0.35">
      <c r="A677" s="11"/>
      <c r="B677" s="12">
        <f>SUM(B673:B675)</f>
        <v>43</v>
      </c>
      <c r="C677" s="12">
        <f>SUM(C673:C675)</f>
        <v>43</v>
      </c>
      <c r="D677" s="12"/>
      <c r="E677" s="13"/>
      <c r="F677" s="41"/>
      <c r="G677" s="20"/>
      <c r="H677" s="13"/>
    </row>
    <row r="678" spans="1:71" ht="15" thickBot="1" x14ac:dyDescent="0.35">
      <c r="F678" s="37"/>
      <c r="BQ678" s="2"/>
      <c r="BS678" s="2"/>
    </row>
    <row r="679" spans="1:71" x14ac:dyDescent="0.3">
      <c r="A679" s="6" t="s">
        <v>653</v>
      </c>
      <c r="B679" s="30"/>
      <c r="C679" s="7" t="s">
        <v>742</v>
      </c>
      <c r="D679" s="21" t="s">
        <v>1440</v>
      </c>
      <c r="E679" s="32" t="s">
        <v>1440</v>
      </c>
      <c r="F679" s="38"/>
      <c r="G679" s="18"/>
      <c r="H679" s="8"/>
      <c r="BQ679" s="2"/>
      <c r="BS679" s="2"/>
    </row>
    <row r="680" spans="1:71" x14ac:dyDescent="0.3">
      <c r="A680" s="9" t="s">
        <v>38</v>
      </c>
      <c r="B680" s="5">
        <f>COUNTIFS($A$1:$A$618,A680,$C$1:$C$618,C679)</f>
        <v>22</v>
      </c>
      <c r="C680" s="5">
        <f>COUNTIFS($B$1:$B$618,A680,$C$1:$C$618,C679)</f>
        <v>25</v>
      </c>
      <c r="D680" s="14">
        <f>B680/$B684</f>
        <v>0.52380952380952384</v>
      </c>
      <c r="E680" s="15">
        <f>C680/$C684</f>
        <v>0.59523809523809523</v>
      </c>
      <c r="F680" s="39" t="s">
        <v>665</v>
      </c>
      <c r="G680" s="19"/>
      <c r="H680" s="10">
        <f>SUMIF($C$1:$C$618,C679,$AE$1:$AE$618)</f>
        <v>50</v>
      </c>
      <c r="BQ680" s="2"/>
      <c r="BS680" s="2"/>
    </row>
    <row r="681" spans="1:71" x14ac:dyDescent="0.3">
      <c r="A681" s="9" t="s">
        <v>654</v>
      </c>
      <c r="B681" s="5">
        <f>COUNTIFS($A$1:$A$618,A681,$C$1:$C$618,C679)</f>
        <v>4</v>
      </c>
      <c r="C681" s="5">
        <f>COUNTIFS($B$1:$B$618,A681,$C$1:$C$618,C679)</f>
        <v>1</v>
      </c>
      <c r="D681" s="14">
        <f>B681/$B684</f>
        <v>9.5238095238095233E-2</v>
      </c>
      <c r="E681" s="15">
        <f>C681/$B684</f>
        <v>2.3809523809523808E-2</v>
      </c>
      <c r="F681" s="39" t="s">
        <v>666</v>
      </c>
      <c r="G681" s="19"/>
      <c r="H681" s="10">
        <f>SUMIF($C$1:$C$618,C679,$AD$1:$AD$618)</f>
        <v>31</v>
      </c>
      <c r="BQ681" s="2"/>
      <c r="BS681" s="2"/>
    </row>
    <row r="682" spans="1:71" x14ac:dyDescent="0.3">
      <c r="A682" s="9" t="s">
        <v>655</v>
      </c>
      <c r="B682" s="5">
        <f>COUNTIFS($A$1:$A$618,A682,$C$1:$C$618,C679)</f>
        <v>16</v>
      </c>
      <c r="C682" s="5">
        <f>COUNTIFS($B$1:$B$618,A682,$C$1:$C$618,C679)</f>
        <v>16</v>
      </c>
      <c r="D682" s="14">
        <f>B682/$B684</f>
        <v>0.38095238095238093</v>
      </c>
      <c r="E682" s="15">
        <f>C682/$B684</f>
        <v>0.38095238095238093</v>
      </c>
      <c r="F682" s="39" t="s">
        <v>667</v>
      </c>
      <c r="G682" s="19"/>
      <c r="H682" s="10">
        <f>SUMIF($C$1:$C$618,C679,$AA$1:$AA$618)</f>
        <v>26</v>
      </c>
      <c r="BQ682" s="2"/>
      <c r="BS682" s="2"/>
    </row>
    <row r="683" spans="1:71" x14ac:dyDescent="0.3">
      <c r="A683" s="26" t="s">
        <v>1223</v>
      </c>
      <c r="B683" s="5">
        <f>COUNTIFS($A$1:$A$618,A683,$C$1:$C$618,C679)</f>
        <v>3</v>
      </c>
      <c r="C683" s="5">
        <f>COUNTIFS($B$1:$B$618,A683,$C$1:$C$618,C679)</f>
        <v>3</v>
      </c>
      <c r="D683" s="14"/>
      <c r="E683" s="10"/>
      <c r="F683" s="40"/>
      <c r="G683" s="28"/>
      <c r="H683" s="29"/>
      <c r="BQ683" s="2"/>
      <c r="BS683" s="2"/>
    </row>
    <row r="684" spans="1:71" ht="15" thickBot="1" x14ac:dyDescent="0.35">
      <c r="A684" s="11"/>
      <c r="B684" s="12">
        <f>SUM(B680:B682)</f>
        <v>42</v>
      </c>
      <c r="C684" s="12">
        <f>SUM(C680:C682)</f>
        <v>42</v>
      </c>
      <c r="D684" s="12"/>
      <c r="E684" s="13"/>
      <c r="F684" s="41"/>
      <c r="G684" s="20"/>
      <c r="H684" s="13"/>
      <c r="BQ684" s="2"/>
      <c r="BS684" s="2"/>
    </row>
    <row r="685" spans="1:71" ht="15" thickBot="1" x14ac:dyDescent="0.35">
      <c r="F685" s="37"/>
      <c r="BQ685" s="2"/>
      <c r="BS685" s="2"/>
    </row>
    <row r="686" spans="1:71" x14ac:dyDescent="0.3">
      <c r="A686" s="6" t="s">
        <v>653</v>
      </c>
      <c r="B686" s="30"/>
      <c r="C686" s="7" t="s">
        <v>664</v>
      </c>
      <c r="D686" s="21" t="s">
        <v>1440</v>
      </c>
      <c r="E686" s="32" t="s">
        <v>1440</v>
      </c>
      <c r="F686" s="38"/>
      <c r="G686" s="18"/>
      <c r="H686" s="8"/>
      <c r="BQ686" s="2"/>
      <c r="BS686" s="2"/>
    </row>
    <row r="687" spans="1:71" x14ac:dyDescent="0.3">
      <c r="A687" s="9" t="s">
        <v>38</v>
      </c>
      <c r="B687" s="5">
        <f>COUNTIFS($A$1:$A$618,A687,$C$1:$C$618,C686)</f>
        <v>0</v>
      </c>
      <c r="C687" s="5">
        <f>COUNTIFS($B$1:$B$618,A687,$C$1:$C$618,C686)</f>
        <v>0</v>
      </c>
      <c r="D687" s="14">
        <f>B687/$B691</f>
        <v>0</v>
      </c>
      <c r="E687" s="15">
        <f>C687/$C691</f>
        <v>0</v>
      </c>
      <c r="F687" s="39" t="s">
        <v>665</v>
      </c>
      <c r="G687" s="19"/>
      <c r="H687" s="10">
        <f>SUMIF($C$1:$C$618,C686,$AE$1:$AE$618)</f>
        <v>0</v>
      </c>
      <c r="BQ687" s="2"/>
      <c r="BS687" s="2"/>
    </row>
    <row r="688" spans="1:71" x14ac:dyDescent="0.3">
      <c r="A688" s="9" t="s">
        <v>654</v>
      </c>
      <c r="B688" s="5">
        <f>COUNTIFS($A$1:$A$618,A688,$C$1:$C$618,C686)</f>
        <v>0</v>
      </c>
      <c r="C688" s="5">
        <f>COUNTIFS($B$1:$B$618,A688,$C$1:$C$618,C686)</f>
        <v>0</v>
      </c>
      <c r="D688" s="14">
        <f>B688/$B691</f>
        <v>0</v>
      </c>
      <c r="E688" s="15">
        <f>C688/$B691</f>
        <v>0</v>
      </c>
      <c r="F688" s="39" t="s">
        <v>666</v>
      </c>
      <c r="G688" s="19"/>
      <c r="H688" s="10">
        <f>SUMIF($C$1:$C$618,C686,$AD$1:$AD$618)</f>
        <v>0</v>
      </c>
      <c r="BQ688" s="2"/>
      <c r="BS688" s="2"/>
    </row>
    <row r="689" spans="1:71" x14ac:dyDescent="0.3">
      <c r="A689" s="9" t="s">
        <v>655</v>
      </c>
      <c r="B689" s="5">
        <f>COUNTIFS($A$1:$A$618,A689,$C$1:$C$618,C686)</f>
        <v>1</v>
      </c>
      <c r="C689" s="5">
        <f>COUNTIFS($B$1:$B$618,A689,$C$1:$C$618,C686)</f>
        <v>1</v>
      </c>
      <c r="D689" s="14">
        <f>B689/$B691</f>
        <v>1</v>
      </c>
      <c r="E689" s="15">
        <f>C689/$B691</f>
        <v>1</v>
      </c>
      <c r="F689" s="39" t="s">
        <v>667</v>
      </c>
      <c r="G689" s="19"/>
      <c r="H689" s="10">
        <f>SUMIF($C$1:$C$618,C686,$AA$1:$AA$618)</f>
        <v>0</v>
      </c>
      <c r="BQ689" s="2"/>
      <c r="BS689" s="2"/>
    </row>
    <row r="690" spans="1:71" x14ac:dyDescent="0.3">
      <c r="A690" s="26" t="s">
        <v>1223</v>
      </c>
      <c r="B690" s="5">
        <f>COUNTIFS($A$1:$A$618,A690,$C$1:$C$618,C686)</f>
        <v>0</v>
      </c>
      <c r="C690" s="5">
        <f>COUNTIFS($B$1:$B$618,A690,$C$1:$C$618,C686)</f>
        <v>0</v>
      </c>
      <c r="D690" s="14"/>
      <c r="E690" s="10"/>
      <c r="F690" s="40"/>
      <c r="G690" s="28"/>
      <c r="H690" s="29"/>
      <c r="BQ690" s="2"/>
      <c r="BS690" s="2"/>
    </row>
    <row r="691" spans="1:71" ht="15" thickBot="1" x14ac:dyDescent="0.35">
      <c r="A691" s="11"/>
      <c r="B691" s="12">
        <f>SUM(B687:B689)</f>
        <v>1</v>
      </c>
      <c r="C691" s="12">
        <f>SUM(C687:C689)</f>
        <v>1</v>
      </c>
      <c r="D691" s="12"/>
      <c r="E691" s="13"/>
      <c r="F691" s="41"/>
      <c r="G691" s="20"/>
      <c r="H691" s="13"/>
      <c r="BQ691" s="2"/>
      <c r="BS691" s="2"/>
    </row>
    <row r="692" spans="1:71" ht="15" thickBot="1" x14ac:dyDescent="0.35">
      <c r="F692" s="37"/>
      <c r="BQ692" s="2"/>
      <c r="BS692" s="2"/>
    </row>
    <row r="693" spans="1:71" x14ac:dyDescent="0.3">
      <c r="A693" s="6" t="s">
        <v>653</v>
      </c>
      <c r="B693" s="30"/>
      <c r="C693" s="7" t="s">
        <v>743</v>
      </c>
      <c r="D693" s="21" t="s">
        <v>1440</v>
      </c>
      <c r="E693" s="32" t="s">
        <v>1440</v>
      </c>
      <c r="F693" s="38"/>
      <c r="G693" s="18"/>
      <c r="H693" s="8"/>
      <c r="BQ693" s="2"/>
      <c r="BS693" s="2"/>
    </row>
    <row r="694" spans="1:71" x14ac:dyDescent="0.3">
      <c r="A694" s="9" t="s">
        <v>38</v>
      </c>
      <c r="B694" s="5">
        <f>COUNTIFS($A$1:$A$618,A694,$C$1:$C$618,C693)</f>
        <v>20</v>
      </c>
      <c r="C694" s="5">
        <f>COUNTIFS($B$1:$B$618,A694,$C$1:$C$618,C693)</f>
        <v>22</v>
      </c>
      <c r="D694" s="14">
        <f>B694/$B698</f>
        <v>0.64516129032258063</v>
      </c>
      <c r="E694" s="15">
        <f>C694/$C698</f>
        <v>0.70967741935483875</v>
      </c>
      <c r="F694" s="39" t="s">
        <v>665</v>
      </c>
      <c r="G694" s="19"/>
      <c r="H694" s="10">
        <f>SUMIF($C$1:$C$618,C693,$AE$1:$AE$618)</f>
        <v>3</v>
      </c>
      <c r="BQ694" s="2"/>
      <c r="BS694" s="2"/>
    </row>
    <row r="695" spans="1:71" x14ac:dyDescent="0.3">
      <c r="A695" s="9" t="s">
        <v>654</v>
      </c>
      <c r="B695" s="5">
        <f>COUNTIFS($A$1:$A$618,A695,$C$1:$C$618,C693)</f>
        <v>4</v>
      </c>
      <c r="C695" s="5">
        <f>COUNTIFS($B$1:$B$618,A695,$C$1:$C$618,C693)</f>
        <v>2</v>
      </c>
      <c r="D695" s="14">
        <f>B695/$B698</f>
        <v>0.12903225806451613</v>
      </c>
      <c r="E695" s="15">
        <f>C695/$B698</f>
        <v>6.4516129032258063E-2</v>
      </c>
      <c r="F695" s="39" t="s">
        <v>666</v>
      </c>
      <c r="G695" s="19"/>
      <c r="H695" s="10">
        <f>SUMIF($C$1:$C$618,C693,$AD$1:$AD$618)</f>
        <v>4</v>
      </c>
      <c r="BQ695" s="2"/>
      <c r="BS695" s="2"/>
    </row>
    <row r="696" spans="1:71" x14ac:dyDescent="0.3">
      <c r="A696" s="9" t="s">
        <v>655</v>
      </c>
      <c r="B696" s="5">
        <f>COUNTIFS($A$1:$A$618,A696,$C$1:$C$618,C693)</f>
        <v>7</v>
      </c>
      <c r="C696" s="5">
        <f>COUNTIFS($B$1:$B$618,A696,$C$1:$C$618,C693)</f>
        <v>7</v>
      </c>
      <c r="D696" s="14">
        <f>B696/$B698</f>
        <v>0.22580645161290322</v>
      </c>
      <c r="E696" s="15">
        <f>C696/$B698</f>
        <v>0.22580645161290322</v>
      </c>
      <c r="F696" s="39" t="s">
        <v>667</v>
      </c>
      <c r="G696" s="19"/>
      <c r="H696" s="10">
        <f>SUMIF($C$1:$C$618,C693,$AA$1:$AA$618)</f>
        <v>8</v>
      </c>
      <c r="BQ696" s="2"/>
      <c r="BS696" s="2"/>
    </row>
    <row r="697" spans="1:71" x14ac:dyDescent="0.3">
      <c r="A697" s="26" t="s">
        <v>1223</v>
      </c>
      <c r="B697" s="5">
        <f>COUNTIFS($A$1:$A$618,A697,$C$1:$C$618,C693)</f>
        <v>1</v>
      </c>
      <c r="C697" s="5">
        <f>COUNTIFS($B$1:$B$618,A697,$C$1:$C$618,C693)</f>
        <v>1</v>
      </c>
      <c r="D697" s="14"/>
      <c r="E697" s="10"/>
      <c r="F697" s="40"/>
      <c r="G697" s="28"/>
      <c r="H697" s="29"/>
      <c r="BQ697" s="2"/>
      <c r="BS697" s="2"/>
    </row>
    <row r="698" spans="1:71" ht="15" thickBot="1" x14ac:dyDescent="0.35">
      <c r="A698" s="11"/>
      <c r="B698" s="12">
        <f>SUM(B694:B696)</f>
        <v>31</v>
      </c>
      <c r="C698" s="12">
        <f>SUM(C694:C696)</f>
        <v>31</v>
      </c>
      <c r="D698" s="12"/>
      <c r="E698" s="13"/>
      <c r="F698" s="41"/>
      <c r="G698" s="20"/>
      <c r="H698" s="13"/>
      <c r="BQ698" s="2"/>
      <c r="BS698" s="2"/>
    </row>
    <row r="699" spans="1:71" ht="15" thickBot="1" x14ac:dyDescent="0.35">
      <c r="F699" s="37"/>
      <c r="BQ699" s="2"/>
      <c r="BS699" s="2"/>
    </row>
    <row r="700" spans="1:71" x14ac:dyDescent="0.3">
      <c r="A700" s="6" t="s">
        <v>653</v>
      </c>
      <c r="B700" s="30"/>
      <c r="C700" s="7" t="s">
        <v>744</v>
      </c>
      <c r="D700" s="21" t="s">
        <v>1440</v>
      </c>
      <c r="E700" s="32" t="s">
        <v>1440</v>
      </c>
      <c r="F700" s="38"/>
      <c r="G700" s="18"/>
      <c r="H700" s="8"/>
      <c r="BQ700" s="2"/>
      <c r="BS700" s="2"/>
    </row>
    <row r="701" spans="1:71" x14ac:dyDescent="0.3">
      <c r="A701" s="9" t="s">
        <v>38</v>
      </c>
      <c r="B701" s="5">
        <f>COUNTIFS($A$1:$A$618,A701,$C$1:$C$618,C700)</f>
        <v>4</v>
      </c>
      <c r="C701" s="5">
        <f>COUNTIFS($B$1:$B$618,A701,$C$1:$C$618,C700)</f>
        <v>4</v>
      </c>
      <c r="D701" s="14">
        <f>B701/$B705</f>
        <v>0.26666666666666666</v>
      </c>
      <c r="E701" s="15">
        <f>C701/$C705</f>
        <v>0.26666666666666666</v>
      </c>
      <c r="F701" s="39" t="s">
        <v>665</v>
      </c>
      <c r="G701" s="19"/>
      <c r="H701" s="10">
        <f>SUMIF($C$1:$C$618,C700,$AE$1:$AE$618)</f>
        <v>0</v>
      </c>
    </row>
    <row r="702" spans="1:71" x14ac:dyDescent="0.3">
      <c r="A702" s="9" t="s">
        <v>654</v>
      </c>
      <c r="B702" s="5">
        <f>COUNTIFS($A$1:$A$618,A702,$C$1:$C$618,C700)</f>
        <v>1</v>
      </c>
      <c r="C702" s="5">
        <f>COUNTIFS($B$1:$B$618,A702,$C$1:$C$618,C700)</f>
        <v>4</v>
      </c>
      <c r="D702" s="14">
        <f>B702/$B705</f>
        <v>6.6666666666666666E-2</v>
      </c>
      <c r="E702" s="15">
        <f>C702/$B705</f>
        <v>0.26666666666666666</v>
      </c>
      <c r="F702" s="39" t="s">
        <v>666</v>
      </c>
      <c r="G702" s="19"/>
      <c r="H702" s="10">
        <f>SUMIF($C$1:$C$618,C700,$AD$1:$AD$618)</f>
        <v>0</v>
      </c>
    </row>
    <row r="703" spans="1:71" x14ac:dyDescent="0.3">
      <c r="A703" s="9" t="s">
        <v>655</v>
      </c>
      <c r="B703" s="5">
        <f>COUNTIFS($A$1:$A$618,A703,$C$1:$C$618,C700)</f>
        <v>10</v>
      </c>
      <c r="C703" s="5">
        <f>COUNTIFS($B$1:$B$618,A703,$C$1:$C$618,C700)</f>
        <v>7</v>
      </c>
      <c r="D703" s="14">
        <f>B703/$B705</f>
        <v>0.66666666666666663</v>
      </c>
      <c r="E703" s="15">
        <f>C703/$B705</f>
        <v>0.46666666666666667</v>
      </c>
      <c r="F703" s="39" t="s">
        <v>667</v>
      </c>
      <c r="G703" s="19"/>
      <c r="H703" s="10">
        <f>SUMIF($C$1:$C$618,C700,$AA$1:$AA$618)</f>
        <v>0</v>
      </c>
    </row>
    <row r="704" spans="1:71" x14ac:dyDescent="0.3">
      <c r="A704" s="26" t="s">
        <v>1223</v>
      </c>
      <c r="B704" s="5">
        <f>COUNTIFS($A$1:$A$618,A704,$C$1:$C$618,C700)</f>
        <v>1</v>
      </c>
      <c r="C704" s="5">
        <f>COUNTIFS($B$1:$B$618,A704,$C$1:$C$618,C700)</f>
        <v>1</v>
      </c>
      <c r="D704" s="14"/>
      <c r="E704" s="10"/>
      <c r="F704" s="40"/>
      <c r="G704" s="28"/>
      <c r="H704" s="29"/>
    </row>
    <row r="705" spans="1:8" ht="15" thickBot="1" x14ac:dyDescent="0.35">
      <c r="A705" s="11"/>
      <c r="B705" s="12">
        <f>SUM(B701:B703)</f>
        <v>15</v>
      </c>
      <c r="C705" s="12">
        <f>SUM(C701:C703)</f>
        <v>15</v>
      </c>
      <c r="D705" s="12"/>
      <c r="E705" s="13"/>
      <c r="F705" s="41"/>
      <c r="G705" s="20"/>
      <c r="H705" s="13"/>
    </row>
    <row r="706" spans="1:8" ht="15" thickBot="1" x14ac:dyDescent="0.35">
      <c r="F706" s="37"/>
    </row>
    <row r="707" spans="1:8" x14ac:dyDescent="0.3">
      <c r="A707" s="6" t="s">
        <v>653</v>
      </c>
      <c r="B707" s="30"/>
      <c r="C707" s="7" t="s">
        <v>1107</v>
      </c>
      <c r="D707" s="21" t="s">
        <v>1440</v>
      </c>
      <c r="E707" s="32" t="s">
        <v>1440</v>
      </c>
      <c r="F707" s="38"/>
      <c r="G707" s="18"/>
      <c r="H707" s="8"/>
    </row>
    <row r="708" spans="1:8" x14ac:dyDescent="0.3">
      <c r="A708" s="9" t="s">
        <v>38</v>
      </c>
      <c r="B708" s="5">
        <f>COUNTIFS($A$1:$A$618,A708,$C$1:$C$618,C707)</f>
        <v>23</v>
      </c>
      <c r="C708" s="5">
        <f>COUNTIFS($B$1:$B$618,A708,$C$1:$C$618,C707)</f>
        <v>27</v>
      </c>
      <c r="D708" s="14">
        <f>B708/$B712</f>
        <v>0.41818181818181815</v>
      </c>
      <c r="E708" s="15">
        <f>C708/$C712</f>
        <v>0.49090909090909091</v>
      </c>
      <c r="F708" s="39" t="s">
        <v>665</v>
      </c>
      <c r="G708" s="19"/>
      <c r="H708" s="10">
        <f>SUMIF($C$1:$C$618,C707,$AE$1:$AE$618)</f>
        <v>0</v>
      </c>
    </row>
    <row r="709" spans="1:8" x14ac:dyDescent="0.3">
      <c r="A709" s="9" t="s">
        <v>654</v>
      </c>
      <c r="B709" s="5">
        <f>COUNTIFS($A$1:$A$618,A709,$C$1:$C$618,C707)</f>
        <v>5</v>
      </c>
      <c r="C709" s="5">
        <f>COUNTIFS($B$1:$B$618,A709,$C$1:$C$618,C707)</f>
        <v>3</v>
      </c>
      <c r="D709" s="14">
        <f>B709/$B712</f>
        <v>9.0909090909090912E-2</v>
      </c>
      <c r="E709" s="15">
        <f>C709/$B712</f>
        <v>5.4545454545454543E-2</v>
      </c>
      <c r="F709" s="39" t="s">
        <v>666</v>
      </c>
      <c r="G709" s="19"/>
      <c r="H709" s="10">
        <f>SUMIF($C$1:$C$618,C707,$AD$1:$AD$618)</f>
        <v>0</v>
      </c>
    </row>
    <row r="710" spans="1:8" x14ac:dyDescent="0.3">
      <c r="A710" s="9" t="s">
        <v>655</v>
      </c>
      <c r="B710" s="5">
        <f>COUNTIFS($A$1:$A$618,A710,$C$1:$C$618,C707)</f>
        <v>27</v>
      </c>
      <c r="C710" s="5">
        <f>COUNTIFS($B$1:$B$618,A710,$C$1:$C$618,C707)</f>
        <v>25</v>
      </c>
      <c r="D710" s="14">
        <f>B710/$B712</f>
        <v>0.49090909090909091</v>
      </c>
      <c r="E710" s="15">
        <f>C710/$B712</f>
        <v>0.45454545454545453</v>
      </c>
      <c r="F710" s="39" t="s">
        <v>667</v>
      </c>
      <c r="G710" s="19"/>
      <c r="H710" s="10">
        <f>SUMIF($C$1:$C$618,C707,$AA$1:$AA$618)</f>
        <v>1</v>
      </c>
    </row>
    <row r="711" spans="1:8" x14ac:dyDescent="0.3">
      <c r="A711" s="26" t="s">
        <v>1223</v>
      </c>
      <c r="B711" s="5">
        <f>COUNTIFS($A$1:$A$618,A711,$C$1:$C$618,C707)</f>
        <v>2</v>
      </c>
      <c r="C711" s="5">
        <f>COUNTIFS($B$1:$B$618,A711,$C$1:$C$618,C707)</f>
        <v>2</v>
      </c>
      <c r="D711" s="14"/>
      <c r="E711" s="10"/>
      <c r="F711" s="40"/>
      <c r="G711" s="28"/>
      <c r="H711" s="29"/>
    </row>
    <row r="712" spans="1:8" ht="15" thickBot="1" x14ac:dyDescent="0.35">
      <c r="A712" s="11"/>
      <c r="B712" s="12">
        <f>SUM(B708:B710)</f>
        <v>55</v>
      </c>
      <c r="C712" s="12">
        <f>SUM(C708:C710)</f>
        <v>55</v>
      </c>
      <c r="D712" s="12"/>
      <c r="E712" s="13"/>
      <c r="F712" s="41"/>
      <c r="G712" s="20"/>
      <c r="H712" s="13"/>
    </row>
    <row r="713" spans="1:8" ht="15" thickBot="1" x14ac:dyDescent="0.35">
      <c r="F713" s="37"/>
    </row>
    <row r="714" spans="1:8" x14ac:dyDescent="0.3">
      <c r="A714" s="6" t="s">
        <v>653</v>
      </c>
      <c r="B714" s="30"/>
      <c r="C714" s="7" t="s">
        <v>1191</v>
      </c>
      <c r="D714" s="21" t="s">
        <v>1440</v>
      </c>
      <c r="E714" s="32" t="s">
        <v>1440</v>
      </c>
      <c r="F714" s="38"/>
      <c r="G714" s="18"/>
      <c r="H714" s="8"/>
    </row>
    <row r="715" spans="1:8" x14ac:dyDescent="0.3">
      <c r="A715" s="9" t="s">
        <v>38</v>
      </c>
      <c r="B715" s="5">
        <f>COUNTIFS($A$1:$A$618,A715,$C$1:$C$618,C714)</f>
        <v>28</v>
      </c>
      <c r="C715" s="5">
        <f>COUNTIFS($B$1:$B$618,A715,$C$1:$C$618,C714)</f>
        <v>35</v>
      </c>
      <c r="D715" s="14">
        <f>B715/$B719</f>
        <v>0.43076923076923079</v>
      </c>
      <c r="E715" s="15">
        <f>C715/$C719</f>
        <v>0.53846153846153844</v>
      </c>
      <c r="F715" s="39" t="s">
        <v>665</v>
      </c>
      <c r="G715" s="19"/>
      <c r="H715" s="10">
        <f>SUMIF($C$1:$C$618,C714,$AE$1:$AE$618)</f>
        <v>16</v>
      </c>
    </row>
    <row r="716" spans="1:8" x14ac:dyDescent="0.3">
      <c r="A716" s="9" t="s">
        <v>654</v>
      </c>
      <c r="B716" s="5">
        <f>COUNTIFS($A$1:$A$618,A716,$C$1:$C$618,C714)</f>
        <v>8</v>
      </c>
      <c r="C716" s="5">
        <f>COUNTIFS($B$1:$B$618,A716,$C$1:$C$618,C714)</f>
        <v>1</v>
      </c>
      <c r="D716" s="14">
        <f>B716/$B719</f>
        <v>0.12307692307692308</v>
      </c>
      <c r="E716" s="15">
        <f>C716/$B719</f>
        <v>1.5384615384615385E-2</v>
      </c>
      <c r="F716" s="39" t="s">
        <v>666</v>
      </c>
      <c r="G716" s="19"/>
      <c r="H716" s="10">
        <f>SUMIF($C$1:$C$618,C714,$AD$1:$AD$618)</f>
        <v>7</v>
      </c>
    </row>
    <row r="717" spans="1:8" x14ac:dyDescent="0.3">
      <c r="A717" s="9" t="s">
        <v>655</v>
      </c>
      <c r="B717" s="5">
        <f>COUNTIFS($A$1:$A$618,A717,$C$1:$C$618,C714)</f>
        <v>29</v>
      </c>
      <c r="C717" s="5">
        <f>COUNTIFS($B$1:$B$618,A717,$C$1:$C$618,C714)</f>
        <v>29</v>
      </c>
      <c r="D717" s="14">
        <f>B717/$B719</f>
        <v>0.44615384615384618</v>
      </c>
      <c r="E717" s="15">
        <f>C717/$B719</f>
        <v>0.44615384615384618</v>
      </c>
      <c r="F717" s="39" t="s">
        <v>667</v>
      </c>
      <c r="G717" s="19"/>
      <c r="H717" s="10">
        <f>SUMIF($C$1:$C$618,C714,$AA$1:$AA$618)</f>
        <v>12</v>
      </c>
    </row>
    <row r="718" spans="1:8" x14ac:dyDescent="0.3">
      <c r="A718" s="26" t="s">
        <v>1223</v>
      </c>
      <c r="B718" s="5">
        <f>COUNTIFS($A$1:$A$618,A718,$C$1:$C$618,C714)</f>
        <v>8</v>
      </c>
      <c r="C718" s="5">
        <f>COUNTIFS($B$1:$B$618,A718,$C$1:$C$618,C714)</f>
        <v>8</v>
      </c>
      <c r="D718" s="14"/>
      <c r="E718" s="10"/>
      <c r="F718" s="40"/>
      <c r="G718" s="28"/>
      <c r="H718" s="29"/>
    </row>
    <row r="719" spans="1:8" ht="15" thickBot="1" x14ac:dyDescent="0.35">
      <c r="A719" s="11"/>
      <c r="B719" s="12">
        <f>SUM(B715:B717)</f>
        <v>65</v>
      </c>
      <c r="C719" s="12">
        <f>SUM(C715:C717)</f>
        <v>65</v>
      </c>
      <c r="D719" s="12"/>
      <c r="E719" s="13"/>
      <c r="F719" s="41"/>
      <c r="G719" s="20"/>
      <c r="H719" s="13"/>
    </row>
    <row r="720" spans="1:8" ht="15" thickBot="1" x14ac:dyDescent="0.35">
      <c r="F720" s="37"/>
    </row>
    <row r="721" spans="1:8" x14ac:dyDescent="0.3">
      <c r="A721" s="6" t="s">
        <v>653</v>
      </c>
      <c r="B721" s="30"/>
      <c r="C721" s="7" t="s">
        <v>1433</v>
      </c>
      <c r="D721" s="21" t="s">
        <v>1440</v>
      </c>
      <c r="E721" s="32" t="s">
        <v>1440</v>
      </c>
      <c r="F721" s="38"/>
      <c r="G721" s="18"/>
      <c r="H721" s="8"/>
    </row>
    <row r="722" spans="1:8" x14ac:dyDescent="0.3">
      <c r="A722" s="9" t="s">
        <v>38</v>
      </c>
      <c r="B722" s="5">
        <f>COUNTIFS($A$1:$A$618,A722,$C$1:$C$618,C721)</f>
        <v>13</v>
      </c>
      <c r="C722" s="5">
        <f>COUNTIFS($B$1:$B$618,A722,$C$1:$C$618,C721)</f>
        <v>14</v>
      </c>
      <c r="D722" s="14">
        <f>B722/$B726</f>
        <v>0.72222222222222221</v>
      </c>
      <c r="E722" s="15">
        <f>C722/$C726</f>
        <v>0.77777777777777779</v>
      </c>
      <c r="F722" s="39" t="s">
        <v>665</v>
      </c>
      <c r="G722" s="19"/>
      <c r="H722" s="10">
        <f>SUMIF($C$1:$C$618,C721,$AE$1:$AE$618)</f>
        <v>3</v>
      </c>
    </row>
    <row r="723" spans="1:8" x14ac:dyDescent="0.3">
      <c r="A723" s="9" t="s">
        <v>654</v>
      </c>
      <c r="B723" s="5">
        <f>COUNTIFS($A$1:$A$618,A723,$C$1:$C$618,C721)</f>
        <v>1</v>
      </c>
      <c r="C723" s="5">
        <f>COUNTIFS($B$1:$B$618,A723,$C$1:$C$618,C721)</f>
        <v>0</v>
      </c>
      <c r="D723" s="14">
        <f>B723/$B726</f>
        <v>5.5555555555555552E-2</v>
      </c>
      <c r="E723" s="15">
        <f>C723/$B726</f>
        <v>0</v>
      </c>
      <c r="F723" s="39" t="s">
        <v>666</v>
      </c>
      <c r="G723" s="19"/>
      <c r="H723" s="10">
        <f>SUMIF($C$1:$C$618,C721,$AD$1:$AD$618)</f>
        <v>1</v>
      </c>
    </row>
    <row r="724" spans="1:8" x14ac:dyDescent="0.3">
      <c r="A724" s="9" t="s">
        <v>655</v>
      </c>
      <c r="B724" s="5">
        <f>COUNTIFS($A$1:$A$618,A724,$C$1:$C$618,C721)</f>
        <v>4</v>
      </c>
      <c r="C724" s="5">
        <f>COUNTIFS($B$1:$B$618,A724,$C$1:$C$618,C721)</f>
        <v>4</v>
      </c>
      <c r="D724" s="14">
        <f>B724/$B726</f>
        <v>0.22222222222222221</v>
      </c>
      <c r="E724" s="15">
        <f>C724/$B726</f>
        <v>0.22222222222222221</v>
      </c>
      <c r="F724" s="39" t="s">
        <v>667</v>
      </c>
      <c r="G724" s="19"/>
      <c r="H724" s="10">
        <f>SUMIF($C$1:$C$618,C721,$AA$1:$AA$618)</f>
        <v>2</v>
      </c>
    </row>
    <row r="725" spans="1:8" x14ac:dyDescent="0.3">
      <c r="A725" s="26" t="s">
        <v>1223</v>
      </c>
      <c r="B725" s="5">
        <f>COUNTIFS($A$1:$A$618,A725,$C$1:$C$618,C721)</f>
        <v>0</v>
      </c>
      <c r="C725" s="5">
        <f>COUNTIFS($B$1:$B$618,A725,$C$1:$C$618,C721)</f>
        <v>0</v>
      </c>
      <c r="D725" s="14"/>
      <c r="E725" s="10"/>
      <c r="F725" s="40"/>
      <c r="G725" s="28"/>
      <c r="H725" s="29"/>
    </row>
    <row r="726" spans="1:8" ht="15" thickBot="1" x14ac:dyDescent="0.35">
      <c r="A726" s="11"/>
      <c r="B726" s="12">
        <f>SUM(B722:B724)</f>
        <v>18</v>
      </c>
      <c r="C726" s="12">
        <f>SUM(C722:C724)</f>
        <v>18</v>
      </c>
      <c r="D726" s="12"/>
      <c r="E726" s="13"/>
      <c r="F726" s="41"/>
      <c r="G726" s="20"/>
      <c r="H726" s="13"/>
    </row>
  </sheetData>
  <phoneticPr fontId="2" type="noConversion"/>
  <conditionalFormatting sqref="D622:D625 E627:F629 F630:G635 E636:F636 F637:G642 E643:F643 F644:G677">
    <cfRule type="expression" dxfId="43" priority="64">
      <formula>"SE(B2&gt;10)"</formula>
    </cfRule>
  </conditionalFormatting>
  <conditionalFormatting sqref="D631:D634">
    <cfRule type="expression" dxfId="42" priority="55">
      <formula>"SE(B2&gt;10)"</formula>
    </cfRule>
  </conditionalFormatting>
  <conditionalFormatting sqref="D638:D641">
    <cfRule type="expression" dxfId="41" priority="26">
      <formula>"SE(B2&gt;10)"</formula>
    </cfRule>
  </conditionalFormatting>
  <conditionalFormatting sqref="D645:D648">
    <cfRule type="expression" dxfId="40" priority="24">
      <formula>"SE(B2&gt;10)"</formula>
    </cfRule>
  </conditionalFormatting>
  <conditionalFormatting sqref="D652:D655">
    <cfRule type="expression" dxfId="39" priority="22">
      <formula>"SE(B2&gt;10)"</formula>
    </cfRule>
  </conditionalFormatting>
  <conditionalFormatting sqref="D659:D662">
    <cfRule type="expression" dxfId="38" priority="20">
      <formula>"SE(B2&gt;10)"</formula>
    </cfRule>
  </conditionalFormatting>
  <conditionalFormatting sqref="D666:D669">
    <cfRule type="expression" dxfId="37" priority="18">
      <formula>"SE(B2&gt;10)"</formula>
    </cfRule>
  </conditionalFormatting>
  <conditionalFormatting sqref="D673:D676">
    <cfRule type="expression" dxfId="36" priority="16">
      <formula>"SE(B2&gt;10)"</formula>
    </cfRule>
  </conditionalFormatting>
  <conditionalFormatting sqref="D680:D683">
    <cfRule type="expression" dxfId="35" priority="14">
      <formula>"SE(B2&gt;10)"</formula>
    </cfRule>
  </conditionalFormatting>
  <conditionalFormatting sqref="D687:D690">
    <cfRule type="expression" dxfId="34" priority="12">
      <formula>"SE(B2&gt;10)"</formula>
    </cfRule>
  </conditionalFormatting>
  <conditionalFormatting sqref="D694:D697">
    <cfRule type="expression" dxfId="33" priority="10">
      <formula>"SE(B2&gt;10)"</formula>
    </cfRule>
  </conditionalFormatting>
  <conditionalFormatting sqref="D701:D704">
    <cfRule type="expression" dxfId="32" priority="8">
      <formula>"SE(B2&gt;10)"</formula>
    </cfRule>
  </conditionalFormatting>
  <conditionalFormatting sqref="D708:D711">
    <cfRule type="expression" dxfId="31" priority="6">
      <formula>"SE(B2&gt;10)"</formula>
    </cfRule>
  </conditionalFormatting>
  <conditionalFormatting sqref="D715:D718">
    <cfRule type="expression" dxfId="30" priority="4">
      <formula>"SE(B2&gt;10)"</formula>
    </cfRule>
  </conditionalFormatting>
  <conditionalFormatting sqref="D722:D725">
    <cfRule type="expression" dxfId="29" priority="2">
      <formula>"SE(B2&gt;10)"</formula>
    </cfRule>
  </conditionalFormatting>
  <conditionalFormatting sqref="E622:E624">
    <cfRule type="expression" dxfId="28" priority="29">
      <formula>"SE(B2&gt;10)"</formula>
    </cfRule>
  </conditionalFormatting>
  <conditionalFormatting sqref="E626">
    <cfRule type="expression" dxfId="27" priority="56">
      <formula>"SE(B2&gt;10)"</formula>
    </cfRule>
  </conditionalFormatting>
  <conditionalFormatting sqref="E631:E633">
    <cfRule type="expression" dxfId="26" priority="28">
      <formula>"SE(B2&gt;10)"</formula>
    </cfRule>
  </conditionalFormatting>
  <conditionalFormatting sqref="E638:E640">
    <cfRule type="expression" dxfId="25" priority="25">
      <formula>"SE(B2&gt;10)"</formula>
    </cfRule>
  </conditionalFormatting>
  <conditionalFormatting sqref="E645:E647">
    <cfRule type="expression" dxfId="24" priority="23">
      <formula>"SE(B2&gt;10)"</formula>
    </cfRule>
  </conditionalFormatting>
  <conditionalFormatting sqref="E652:E654">
    <cfRule type="expression" dxfId="23" priority="21">
      <formula>"SE(B2&gt;10)"</formula>
    </cfRule>
  </conditionalFormatting>
  <conditionalFormatting sqref="E659:E661">
    <cfRule type="expression" dxfId="22" priority="19">
      <formula>"SE(B2&gt;10)"</formula>
    </cfRule>
  </conditionalFormatting>
  <conditionalFormatting sqref="E666:E668">
    <cfRule type="expression" dxfId="21" priority="17">
      <formula>"SE(B2&gt;10)"</formula>
    </cfRule>
  </conditionalFormatting>
  <conditionalFormatting sqref="E673:E675">
    <cfRule type="expression" dxfId="20" priority="15">
      <formula>"SE(B2&gt;10)"</formula>
    </cfRule>
  </conditionalFormatting>
  <conditionalFormatting sqref="E680:E682">
    <cfRule type="expression" dxfId="19" priority="13">
      <formula>"SE(B2&gt;10)"</formula>
    </cfRule>
  </conditionalFormatting>
  <conditionalFormatting sqref="E687:E689">
    <cfRule type="expression" dxfId="18" priority="11">
      <formula>"SE(B2&gt;10)"</formula>
    </cfRule>
  </conditionalFormatting>
  <conditionalFormatting sqref="E694:E696">
    <cfRule type="expression" dxfId="17" priority="9">
      <formula>"SE(B2&gt;10)"</formula>
    </cfRule>
  </conditionalFormatting>
  <conditionalFormatting sqref="E701:E703">
    <cfRule type="expression" dxfId="16" priority="7">
      <formula>"SE(B2&gt;10)"</formula>
    </cfRule>
  </conditionalFormatting>
  <conditionalFormatting sqref="E708:E710">
    <cfRule type="expression" dxfId="15" priority="5">
      <formula>"SE(B2&gt;10)"</formula>
    </cfRule>
  </conditionalFormatting>
  <conditionalFormatting sqref="E715:E717">
    <cfRule type="expression" dxfId="14" priority="3">
      <formula>"SE(B2&gt;10)"</formula>
    </cfRule>
  </conditionalFormatting>
  <conditionalFormatting sqref="E722:E724">
    <cfRule type="expression" dxfId="13" priority="1">
      <formula>"SE(B2&gt;10)"</formula>
    </cfRule>
  </conditionalFormatting>
  <conditionalFormatting sqref="F679:G684">
    <cfRule type="expression" dxfId="12" priority="48">
      <formula>"SE(B2&gt;10)"</formula>
    </cfRule>
  </conditionalFormatting>
  <conditionalFormatting sqref="F686:G691">
    <cfRule type="expression" dxfId="11" priority="46">
      <formula>"SE(B2&gt;10)"</formula>
    </cfRule>
  </conditionalFormatting>
  <conditionalFormatting sqref="F693:G698">
    <cfRule type="expression" dxfId="10" priority="44">
      <formula>"SE(B2&gt;10)"</formula>
    </cfRule>
  </conditionalFormatting>
  <conditionalFormatting sqref="F700:G705">
    <cfRule type="expression" dxfId="9" priority="42">
      <formula>"SE(B2&gt;10)"</formula>
    </cfRule>
  </conditionalFormatting>
  <conditionalFormatting sqref="F707:G712">
    <cfRule type="expression" dxfId="8" priority="35">
      <formula>"SE(B2&gt;10)"</formula>
    </cfRule>
  </conditionalFormatting>
  <conditionalFormatting sqref="F714:G719">
    <cfRule type="expression" dxfId="7" priority="33">
      <formula>"SE(B2&gt;10)"</formula>
    </cfRule>
  </conditionalFormatting>
  <conditionalFormatting sqref="F721:G726">
    <cfRule type="expression" dxfId="6" priority="31">
      <formula>"SE(B2&gt;10)"</formula>
    </cfRule>
  </conditionalFormatting>
  <conditionalFormatting sqref="H622:H625">
    <cfRule type="expression" dxfId="5" priority="37">
      <formula>"SE(B2&gt;10)"</formula>
    </cfRule>
  </conditionalFormatting>
  <conditionalFormatting sqref="M622:M625">
    <cfRule type="expression" dxfId="4" priority="36">
      <formula>"SE(B2&gt;10)"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816F-CF8C-4B00-8638-150A89D595F8}">
  <dimension ref="A1:C1282"/>
  <sheetViews>
    <sheetView topLeftCell="A1256" workbookViewId="0">
      <selection activeCell="A1282" sqref="A1282"/>
    </sheetView>
  </sheetViews>
  <sheetFormatPr defaultRowHeight="14.4" x14ac:dyDescent="0.3"/>
  <cols>
    <col min="2" max="2" width="13.109375" bestFit="1" customWidth="1"/>
  </cols>
  <sheetData>
    <row r="1" spans="1:3" x14ac:dyDescent="0.3">
      <c r="A1" t="s">
        <v>0</v>
      </c>
      <c r="B1" t="s">
        <v>657</v>
      </c>
      <c r="C1" t="s">
        <v>1453</v>
      </c>
    </row>
    <row r="2" spans="1:3" x14ac:dyDescent="0.3">
      <c r="A2">
        <v>204849</v>
      </c>
      <c r="B2" t="s">
        <v>658</v>
      </c>
      <c r="C2" t="s">
        <v>664</v>
      </c>
    </row>
    <row r="3" spans="1:3" x14ac:dyDescent="0.3">
      <c r="A3">
        <v>160958</v>
      </c>
      <c r="B3" t="s">
        <v>658</v>
      </c>
      <c r="C3" t="s">
        <v>664</v>
      </c>
    </row>
    <row r="4" spans="1:3" x14ac:dyDescent="0.3">
      <c r="A4">
        <v>410966</v>
      </c>
      <c r="B4" t="s">
        <v>658</v>
      </c>
      <c r="C4" t="s">
        <v>664</v>
      </c>
    </row>
    <row r="5" spans="1:3" x14ac:dyDescent="0.3">
      <c r="A5">
        <v>245908</v>
      </c>
      <c r="B5" t="s">
        <v>658</v>
      </c>
      <c r="C5" t="s">
        <v>664</v>
      </c>
    </row>
    <row r="6" spans="1:3" x14ac:dyDescent="0.3">
      <c r="A6">
        <v>182761</v>
      </c>
      <c r="B6" t="s">
        <v>658</v>
      </c>
      <c r="C6" t="s">
        <v>664</v>
      </c>
    </row>
    <row r="7" spans="1:3" x14ac:dyDescent="0.3">
      <c r="A7">
        <v>244635</v>
      </c>
      <c r="B7" t="s">
        <v>658</v>
      </c>
      <c r="C7" t="s">
        <v>664</v>
      </c>
    </row>
    <row r="8" spans="1:3" x14ac:dyDescent="0.3">
      <c r="A8">
        <v>95939</v>
      </c>
      <c r="B8" t="s">
        <v>658</v>
      </c>
      <c r="C8" t="s">
        <v>664</v>
      </c>
    </row>
    <row r="9" spans="1:3" x14ac:dyDescent="0.3">
      <c r="A9">
        <v>165586</v>
      </c>
      <c r="B9" t="s">
        <v>658</v>
      </c>
      <c r="C9" t="s">
        <v>664</v>
      </c>
    </row>
    <row r="10" spans="1:3" x14ac:dyDescent="0.3">
      <c r="A10">
        <v>206551</v>
      </c>
      <c r="B10" t="s">
        <v>658</v>
      </c>
      <c r="C10" t="s">
        <v>664</v>
      </c>
    </row>
    <row r="11" spans="1:3" x14ac:dyDescent="0.3">
      <c r="A11">
        <v>156917</v>
      </c>
      <c r="B11" t="s">
        <v>658</v>
      </c>
      <c r="C11" t="s">
        <v>664</v>
      </c>
    </row>
    <row r="12" spans="1:3" x14ac:dyDescent="0.3">
      <c r="A12">
        <v>203283</v>
      </c>
      <c r="B12" t="s">
        <v>658</v>
      </c>
      <c r="C12" t="s">
        <v>664</v>
      </c>
    </row>
    <row r="13" spans="1:3" x14ac:dyDescent="0.3">
      <c r="A13">
        <v>401735</v>
      </c>
      <c r="B13" t="s">
        <v>658</v>
      </c>
      <c r="C13" t="s">
        <v>664</v>
      </c>
    </row>
    <row r="14" spans="1:3" x14ac:dyDescent="0.3">
      <c r="A14">
        <v>402801</v>
      </c>
      <c r="B14" t="s">
        <v>658</v>
      </c>
      <c r="C14" t="s">
        <v>664</v>
      </c>
    </row>
    <row r="15" spans="1:3" x14ac:dyDescent="0.3">
      <c r="A15">
        <v>185994</v>
      </c>
      <c r="B15" t="s">
        <v>658</v>
      </c>
      <c r="C15" t="s">
        <v>664</v>
      </c>
    </row>
    <row r="16" spans="1:3" x14ac:dyDescent="0.3">
      <c r="A16">
        <v>227528</v>
      </c>
      <c r="B16" t="s">
        <v>658</v>
      </c>
      <c r="C16" t="s">
        <v>664</v>
      </c>
    </row>
    <row r="17" spans="1:3" x14ac:dyDescent="0.3">
      <c r="A17">
        <v>42439</v>
      </c>
      <c r="B17" t="s">
        <v>658</v>
      </c>
      <c r="C17" t="s">
        <v>664</v>
      </c>
    </row>
    <row r="18" spans="1:3" x14ac:dyDescent="0.3">
      <c r="A18">
        <v>164549</v>
      </c>
      <c r="B18" t="s">
        <v>658</v>
      </c>
      <c r="C18" t="s">
        <v>664</v>
      </c>
    </row>
    <row r="19" spans="1:3" x14ac:dyDescent="0.3">
      <c r="A19">
        <v>249790</v>
      </c>
      <c r="B19" t="s">
        <v>658</v>
      </c>
      <c r="C19" t="s">
        <v>664</v>
      </c>
    </row>
    <row r="20" spans="1:3" x14ac:dyDescent="0.3">
      <c r="A20">
        <v>414319</v>
      </c>
      <c r="B20" t="s">
        <v>658</v>
      </c>
      <c r="C20" t="s">
        <v>664</v>
      </c>
    </row>
    <row r="21" spans="1:3" x14ac:dyDescent="0.3">
      <c r="A21">
        <v>161553</v>
      </c>
      <c r="B21" t="s">
        <v>658</v>
      </c>
      <c r="C21" t="s">
        <v>664</v>
      </c>
    </row>
    <row r="22" spans="1:3" x14ac:dyDescent="0.3">
      <c r="A22">
        <v>410934</v>
      </c>
      <c r="B22" t="s">
        <v>658</v>
      </c>
      <c r="C22" t="s">
        <v>664</v>
      </c>
    </row>
    <row r="23" spans="1:3" x14ac:dyDescent="0.3">
      <c r="A23">
        <v>92610</v>
      </c>
      <c r="B23" t="s">
        <v>658</v>
      </c>
      <c r="C23" t="s">
        <v>664</v>
      </c>
    </row>
    <row r="24" spans="1:3" x14ac:dyDescent="0.3">
      <c r="A24">
        <v>400591</v>
      </c>
      <c r="B24" t="s">
        <v>658</v>
      </c>
      <c r="C24" t="s">
        <v>664</v>
      </c>
    </row>
    <row r="25" spans="1:3" x14ac:dyDescent="0.3">
      <c r="A25">
        <v>204305</v>
      </c>
      <c r="B25" t="s">
        <v>658</v>
      </c>
      <c r="C25" t="s">
        <v>664</v>
      </c>
    </row>
    <row r="26" spans="1:3" x14ac:dyDescent="0.3">
      <c r="A26">
        <v>238716</v>
      </c>
      <c r="B26" t="s">
        <v>658</v>
      </c>
      <c r="C26" t="s">
        <v>664</v>
      </c>
    </row>
    <row r="27" spans="1:3" x14ac:dyDescent="0.3">
      <c r="A27">
        <v>416448</v>
      </c>
      <c r="B27" t="s">
        <v>658</v>
      </c>
      <c r="C27" t="s">
        <v>664</v>
      </c>
    </row>
    <row r="28" spans="1:3" x14ac:dyDescent="0.3">
      <c r="A28">
        <v>115219</v>
      </c>
      <c r="B28" t="s">
        <v>658</v>
      </c>
      <c r="C28" t="s">
        <v>664</v>
      </c>
    </row>
    <row r="29" spans="1:3" x14ac:dyDescent="0.3">
      <c r="A29">
        <v>416397</v>
      </c>
      <c r="B29" t="s">
        <v>658</v>
      </c>
      <c r="C29" t="s">
        <v>664</v>
      </c>
    </row>
    <row r="30" spans="1:3" x14ac:dyDescent="0.3">
      <c r="A30">
        <v>158973</v>
      </c>
      <c r="B30" t="s">
        <v>658</v>
      </c>
      <c r="C30" t="s">
        <v>664</v>
      </c>
    </row>
    <row r="31" spans="1:3" x14ac:dyDescent="0.3">
      <c r="A31">
        <v>254345</v>
      </c>
      <c r="B31" t="s">
        <v>658</v>
      </c>
      <c r="C31" t="s">
        <v>664</v>
      </c>
    </row>
    <row r="32" spans="1:3" x14ac:dyDescent="0.3">
      <c r="A32">
        <v>413933</v>
      </c>
      <c r="B32" t="s">
        <v>658</v>
      </c>
      <c r="C32" t="s">
        <v>664</v>
      </c>
    </row>
    <row r="33" spans="1:3" x14ac:dyDescent="0.3">
      <c r="A33">
        <v>253214</v>
      </c>
      <c r="B33" t="s">
        <v>658</v>
      </c>
      <c r="C33" t="s">
        <v>664</v>
      </c>
    </row>
    <row r="34" spans="1:3" x14ac:dyDescent="0.3">
      <c r="A34">
        <v>412103</v>
      </c>
      <c r="B34" t="s">
        <v>658</v>
      </c>
      <c r="C34" t="s">
        <v>664</v>
      </c>
    </row>
    <row r="35" spans="1:3" x14ac:dyDescent="0.3">
      <c r="A35">
        <v>405270</v>
      </c>
      <c r="B35" t="s">
        <v>658</v>
      </c>
      <c r="C35" t="s">
        <v>664</v>
      </c>
    </row>
    <row r="36" spans="1:3" x14ac:dyDescent="0.3">
      <c r="A36">
        <v>405507</v>
      </c>
      <c r="B36" t="s">
        <v>659</v>
      </c>
      <c r="C36" t="s">
        <v>664</v>
      </c>
    </row>
    <row r="37" spans="1:3" x14ac:dyDescent="0.3">
      <c r="A37">
        <v>184556</v>
      </c>
      <c r="B37" t="s">
        <v>659</v>
      </c>
      <c r="C37" t="s">
        <v>664</v>
      </c>
    </row>
    <row r="38" spans="1:3" x14ac:dyDescent="0.3">
      <c r="A38">
        <v>187627</v>
      </c>
      <c r="B38" t="s">
        <v>659</v>
      </c>
      <c r="C38" t="s">
        <v>664</v>
      </c>
    </row>
    <row r="39" spans="1:3" x14ac:dyDescent="0.3">
      <c r="A39">
        <v>411493</v>
      </c>
      <c r="B39" t="s">
        <v>659</v>
      </c>
      <c r="C39" t="s">
        <v>664</v>
      </c>
    </row>
    <row r="40" spans="1:3" x14ac:dyDescent="0.3">
      <c r="A40">
        <v>242211</v>
      </c>
      <c r="B40" t="s">
        <v>659</v>
      </c>
      <c r="C40" t="s">
        <v>664</v>
      </c>
    </row>
    <row r="41" spans="1:3" x14ac:dyDescent="0.3">
      <c r="A41">
        <v>216073</v>
      </c>
      <c r="B41" t="s">
        <v>659</v>
      </c>
      <c r="C41" t="s">
        <v>664</v>
      </c>
    </row>
    <row r="42" spans="1:3" x14ac:dyDescent="0.3">
      <c r="A42">
        <v>411103</v>
      </c>
      <c r="B42" t="s">
        <v>659</v>
      </c>
      <c r="C42" t="s">
        <v>664</v>
      </c>
    </row>
    <row r="43" spans="1:3" x14ac:dyDescent="0.3">
      <c r="A43">
        <v>67580</v>
      </c>
      <c r="B43" t="s">
        <v>659</v>
      </c>
      <c r="C43" t="s">
        <v>664</v>
      </c>
    </row>
    <row r="44" spans="1:3" x14ac:dyDescent="0.3">
      <c r="A44">
        <v>167227</v>
      </c>
      <c r="B44" t="s">
        <v>659</v>
      </c>
      <c r="C44" t="s">
        <v>664</v>
      </c>
    </row>
    <row r="45" spans="1:3" x14ac:dyDescent="0.3">
      <c r="A45">
        <v>409582</v>
      </c>
      <c r="B45" t="s">
        <v>659</v>
      </c>
      <c r="C45" t="s">
        <v>664</v>
      </c>
    </row>
    <row r="46" spans="1:3" x14ac:dyDescent="0.3">
      <c r="A46">
        <v>245648</v>
      </c>
      <c r="B46" t="s">
        <v>659</v>
      </c>
      <c r="C46" t="s">
        <v>664</v>
      </c>
    </row>
    <row r="47" spans="1:3" x14ac:dyDescent="0.3">
      <c r="A47">
        <v>166720</v>
      </c>
      <c r="B47" t="s">
        <v>659</v>
      </c>
      <c r="C47" t="s">
        <v>664</v>
      </c>
    </row>
    <row r="48" spans="1:3" x14ac:dyDescent="0.3">
      <c r="A48">
        <v>176897</v>
      </c>
      <c r="B48" t="s">
        <v>659</v>
      </c>
      <c r="C48" t="s">
        <v>664</v>
      </c>
    </row>
    <row r="49" spans="1:3" x14ac:dyDescent="0.3">
      <c r="A49">
        <v>180887</v>
      </c>
      <c r="B49" t="s">
        <v>659</v>
      </c>
      <c r="C49" t="s">
        <v>664</v>
      </c>
    </row>
    <row r="50" spans="1:3" x14ac:dyDescent="0.3">
      <c r="A50">
        <v>408134</v>
      </c>
      <c r="B50" t="s">
        <v>659</v>
      </c>
      <c r="C50" t="s">
        <v>664</v>
      </c>
    </row>
    <row r="51" spans="1:3" x14ac:dyDescent="0.3">
      <c r="A51">
        <v>206289</v>
      </c>
      <c r="B51" t="s">
        <v>659</v>
      </c>
      <c r="C51" t="s">
        <v>664</v>
      </c>
    </row>
    <row r="52" spans="1:3" x14ac:dyDescent="0.3">
      <c r="A52">
        <v>413281</v>
      </c>
      <c r="B52" t="s">
        <v>659</v>
      </c>
      <c r="C52" t="s">
        <v>664</v>
      </c>
    </row>
    <row r="53" spans="1:3" x14ac:dyDescent="0.3">
      <c r="A53">
        <v>238765</v>
      </c>
      <c r="B53" t="s">
        <v>659</v>
      </c>
      <c r="C53" t="s">
        <v>664</v>
      </c>
    </row>
    <row r="54" spans="1:3" x14ac:dyDescent="0.3">
      <c r="A54">
        <v>145250</v>
      </c>
      <c r="B54" t="s">
        <v>659</v>
      </c>
      <c r="C54" t="s">
        <v>664</v>
      </c>
    </row>
    <row r="55" spans="1:3" x14ac:dyDescent="0.3">
      <c r="A55">
        <v>150713</v>
      </c>
      <c r="B55" t="s">
        <v>659</v>
      </c>
      <c r="C55" t="s">
        <v>664</v>
      </c>
    </row>
    <row r="56" spans="1:3" x14ac:dyDescent="0.3">
      <c r="A56">
        <v>233255</v>
      </c>
      <c r="B56" t="s">
        <v>659</v>
      </c>
      <c r="C56" t="s">
        <v>664</v>
      </c>
    </row>
    <row r="57" spans="1:3" x14ac:dyDescent="0.3">
      <c r="A57">
        <v>26207</v>
      </c>
      <c r="B57" t="s">
        <v>659</v>
      </c>
      <c r="C57" t="s">
        <v>664</v>
      </c>
    </row>
    <row r="58" spans="1:3" x14ac:dyDescent="0.3">
      <c r="A58">
        <v>403963</v>
      </c>
      <c r="B58" t="s">
        <v>659</v>
      </c>
      <c r="C58" t="s">
        <v>664</v>
      </c>
    </row>
    <row r="59" spans="1:3" x14ac:dyDescent="0.3">
      <c r="A59">
        <v>409604</v>
      </c>
      <c r="B59" t="s">
        <v>659</v>
      </c>
      <c r="C59" t="s">
        <v>664</v>
      </c>
    </row>
    <row r="60" spans="1:3" x14ac:dyDescent="0.3">
      <c r="A60">
        <v>157023</v>
      </c>
      <c r="B60" t="s">
        <v>659</v>
      </c>
      <c r="C60" t="s">
        <v>664</v>
      </c>
    </row>
    <row r="61" spans="1:3" x14ac:dyDescent="0.3">
      <c r="A61">
        <v>82685</v>
      </c>
      <c r="B61" t="s">
        <v>659</v>
      </c>
      <c r="C61" t="s">
        <v>664</v>
      </c>
    </row>
    <row r="62" spans="1:3" x14ac:dyDescent="0.3">
      <c r="A62">
        <v>410768</v>
      </c>
      <c r="B62" t="s">
        <v>659</v>
      </c>
      <c r="C62" t="s">
        <v>664</v>
      </c>
    </row>
    <row r="63" spans="1:3" x14ac:dyDescent="0.3">
      <c r="A63">
        <v>403265</v>
      </c>
      <c r="B63" t="s">
        <v>659</v>
      </c>
      <c r="C63" t="s">
        <v>664</v>
      </c>
    </row>
    <row r="64" spans="1:3" x14ac:dyDescent="0.3">
      <c r="A64">
        <v>203440</v>
      </c>
      <c r="B64" t="s">
        <v>659</v>
      </c>
      <c r="C64" t="s">
        <v>664</v>
      </c>
    </row>
    <row r="65" spans="1:3" x14ac:dyDescent="0.3">
      <c r="A65">
        <v>409158</v>
      </c>
      <c r="B65" t="s">
        <v>659</v>
      </c>
      <c r="C65" t="s">
        <v>664</v>
      </c>
    </row>
    <row r="66" spans="1:3" x14ac:dyDescent="0.3">
      <c r="A66">
        <v>246099</v>
      </c>
      <c r="B66" t="s">
        <v>659</v>
      </c>
      <c r="C66" t="s">
        <v>664</v>
      </c>
    </row>
    <row r="67" spans="1:3" x14ac:dyDescent="0.3">
      <c r="A67">
        <v>54653</v>
      </c>
      <c r="B67" t="s">
        <v>659</v>
      </c>
      <c r="C67" t="s">
        <v>664</v>
      </c>
    </row>
    <row r="68" spans="1:3" x14ac:dyDescent="0.3">
      <c r="A68">
        <v>231399</v>
      </c>
      <c r="B68" t="s">
        <v>659</v>
      </c>
      <c r="C68" t="s">
        <v>664</v>
      </c>
    </row>
    <row r="69" spans="1:3" x14ac:dyDescent="0.3">
      <c r="A69">
        <v>151546</v>
      </c>
      <c r="B69" t="s">
        <v>659</v>
      </c>
      <c r="C69" t="s">
        <v>664</v>
      </c>
    </row>
    <row r="70" spans="1:3" x14ac:dyDescent="0.3">
      <c r="A70">
        <v>406361</v>
      </c>
      <c r="B70" t="s">
        <v>659</v>
      </c>
      <c r="C70" t="s">
        <v>664</v>
      </c>
    </row>
    <row r="71" spans="1:3" x14ac:dyDescent="0.3">
      <c r="A71">
        <v>410446</v>
      </c>
      <c r="B71" t="s">
        <v>659</v>
      </c>
      <c r="C71" t="s">
        <v>664</v>
      </c>
    </row>
    <row r="72" spans="1:3" x14ac:dyDescent="0.3">
      <c r="A72">
        <v>232104</v>
      </c>
      <c r="B72" t="s">
        <v>659</v>
      </c>
      <c r="C72" t="s">
        <v>664</v>
      </c>
    </row>
    <row r="73" spans="1:3" x14ac:dyDescent="0.3">
      <c r="A73">
        <v>409579</v>
      </c>
      <c r="B73" t="s">
        <v>659</v>
      </c>
      <c r="C73" t="s">
        <v>664</v>
      </c>
    </row>
    <row r="74" spans="1:3" x14ac:dyDescent="0.3">
      <c r="A74">
        <v>156699</v>
      </c>
      <c r="B74" t="s">
        <v>659</v>
      </c>
      <c r="C74" t="s">
        <v>664</v>
      </c>
    </row>
    <row r="75" spans="1:3" x14ac:dyDescent="0.3">
      <c r="A75">
        <v>173425</v>
      </c>
      <c r="B75" t="s">
        <v>659</v>
      </c>
      <c r="C75" t="s">
        <v>664</v>
      </c>
    </row>
    <row r="76" spans="1:3" x14ac:dyDescent="0.3">
      <c r="A76">
        <v>228686</v>
      </c>
      <c r="B76" t="s">
        <v>659</v>
      </c>
      <c r="C76" t="s">
        <v>664</v>
      </c>
    </row>
    <row r="77" spans="1:3" x14ac:dyDescent="0.3">
      <c r="A77">
        <v>225366</v>
      </c>
      <c r="B77" t="s">
        <v>659</v>
      </c>
      <c r="C77" t="s">
        <v>664</v>
      </c>
    </row>
    <row r="78" spans="1:3" x14ac:dyDescent="0.3">
      <c r="A78">
        <v>153288</v>
      </c>
      <c r="B78" t="s">
        <v>659</v>
      </c>
      <c r="C78" t="s">
        <v>664</v>
      </c>
    </row>
    <row r="79" spans="1:3" x14ac:dyDescent="0.3">
      <c r="A79">
        <v>409372</v>
      </c>
      <c r="B79" t="s">
        <v>659</v>
      </c>
      <c r="C79" t="s">
        <v>664</v>
      </c>
    </row>
    <row r="80" spans="1:3" x14ac:dyDescent="0.3">
      <c r="A80">
        <v>158929</v>
      </c>
      <c r="B80" t="s">
        <v>659</v>
      </c>
      <c r="C80" t="s">
        <v>664</v>
      </c>
    </row>
    <row r="81" spans="1:3" x14ac:dyDescent="0.3">
      <c r="A81">
        <v>174853</v>
      </c>
      <c r="B81" t="s">
        <v>659</v>
      </c>
      <c r="C81" t="s">
        <v>664</v>
      </c>
    </row>
    <row r="82" spans="1:3" x14ac:dyDescent="0.3">
      <c r="A82">
        <v>173499</v>
      </c>
      <c r="B82" t="s">
        <v>659</v>
      </c>
      <c r="C82" t="s">
        <v>664</v>
      </c>
    </row>
    <row r="83" spans="1:3" x14ac:dyDescent="0.3">
      <c r="A83">
        <v>248900</v>
      </c>
      <c r="B83" t="s">
        <v>659</v>
      </c>
      <c r="C83" t="s">
        <v>664</v>
      </c>
    </row>
    <row r="84" spans="1:3" x14ac:dyDescent="0.3">
      <c r="A84">
        <v>206290</v>
      </c>
      <c r="B84" t="s">
        <v>659</v>
      </c>
      <c r="C84" t="s">
        <v>664</v>
      </c>
    </row>
    <row r="85" spans="1:3" x14ac:dyDescent="0.3">
      <c r="A85">
        <v>236145</v>
      </c>
      <c r="B85" t="s">
        <v>659</v>
      </c>
      <c r="C85" t="s">
        <v>664</v>
      </c>
    </row>
    <row r="86" spans="1:3" x14ac:dyDescent="0.3">
      <c r="A86">
        <v>254655</v>
      </c>
      <c r="B86" t="s">
        <v>659</v>
      </c>
      <c r="C86" t="s">
        <v>664</v>
      </c>
    </row>
    <row r="87" spans="1:3" x14ac:dyDescent="0.3">
      <c r="A87">
        <v>203813</v>
      </c>
      <c r="B87" t="s">
        <v>659</v>
      </c>
      <c r="C87" t="s">
        <v>664</v>
      </c>
    </row>
    <row r="88" spans="1:3" x14ac:dyDescent="0.3">
      <c r="A88">
        <v>157497</v>
      </c>
      <c r="B88" t="s">
        <v>659</v>
      </c>
      <c r="C88" t="s">
        <v>664</v>
      </c>
    </row>
    <row r="89" spans="1:3" x14ac:dyDescent="0.3">
      <c r="A89">
        <v>144105</v>
      </c>
      <c r="B89" t="s">
        <v>659</v>
      </c>
      <c r="C89" t="s">
        <v>664</v>
      </c>
    </row>
    <row r="90" spans="1:3" x14ac:dyDescent="0.3">
      <c r="A90">
        <v>99624</v>
      </c>
      <c r="B90" t="s">
        <v>659</v>
      </c>
      <c r="C90" t="s">
        <v>664</v>
      </c>
    </row>
    <row r="91" spans="1:3" x14ac:dyDescent="0.3">
      <c r="A91">
        <v>415841</v>
      </c>
      <c r="B91" t="s">
        <v>659</v>
      </c>
      <c r="C91" t="s">
        <v>664</v>
      </c>
    </row>
    <row r="92" spans="1:3" x14ac:dyDescent="0.3">
      <c r="A92">
        <v>415339</v>
      </c>
      <c r="B92" t="s">
        <v>659</v>
      </c>
      <c r="C92" t="s">
        <v>664</v>
      </c>
    </row>
    <row r="93" spans="1:3" x14ac:dyDescent="0.3">
      <c r="A93">
        <v>85572</v>
      </c>
      <c r="B93" t="s">
        <v>659</v>
      </c>
      <c r="C93" t="s">
        <v>664</v>
      </c>
    </row>
    <row r="94" spans="1:3" x14ac:dyDescent="0.3">
      <c r="A94">
        <v>410779</v>
      </c>
      <c r="B94" t="s">
        <v>659</v>
      </c>
      <c r="C94" t="s">
        <v>664</v>
      </c>
    </row>
    <row r="95" spans="1:3" x14ac:dyDescent="0.3">
      <c r="A95">
        <v>410787</v>
      </c>
      <c r="B95" t="s">
        <v>659</v>
      </c>
      <c r="C95" t="s">
        <v>664</v>
      </c>
    </row>
    <row r="96" spans="1:3" x14ac:dyDescent="0.3">
      <c r="A96">
        <v>242944</v>
      </c>
      <c r="B96" t="s">
        <v>659</v>
      </c>
      <c r="C96" t="s">
        <v>664</v>
      </c>
    </row>
    <row r="97" spans="1:3" x14ac:dyDescent="0.3">
      <c r="A97">
        <v>404515</v>
      </c>
      <c r="B97" t="s">
        <v>659</v>
      </c>
      <c r="C97" t="s">
        <v>664</v>
      </c>
    </row>
    <row r="98" spans="1:3" x14ac:dyDescent="0.3">
      <c r="A98">
        <v>132628</v>
      </c>
      <c r="B98" t="s">
        <v>659</v>
      </c>
      <c r="C98" t="s">
        <v>664</v>
      </c>
    </row>
    <row r="99" spans="1:3" x14ac:dyDescent="0.3">
      <c r="A99">
        <v>22714</v>
      </c>
      <c r="B99" t="s">
        <v>660</v>
      </c>
      <c r="C99" t="s">
        <v>664</v>
      </c>
    </row>
    <row r="100" spans="1:3" x14ac:dyDescent="0.3">
      <c r="A100">
        <v>409626</v>
      </c>
      <c r="B100" t="s">
        <v>661</v>
      </c>
      <c r="C100" t="s">
        <v>664</v>
      </c>
    </row>
    <row r="101" spans="1:3" x14ac:dyDescent="0.3">
      <c r="A101">
        <v>255367</v>
      </c>
      <c r="B101" t="s">
        <v>661</v>
      </c>
      <c r="C101" t="s">
        <v>664</v>
      </c>
    </row>
    <row r="102" spans="1:3" x14ac:dyDescent="0.3">
      <c r="A102">
        <v>85571</v>
      </c>
      <c r="B102" t="s">
        <v>661</v>
      </c>
      <c r="C102" t="s">
        <v>664</v>
      </c>
    </row>
    <row r="103" spans="1:3" x14ac:dyDescent="0.3">
      <c r="A103">
        <v>400604</v>
      </c>
      <c r="B103" t="s">
        <v>661</v>
      </c>
      <c r="C103" t="s">
        <v>664</v>
      </c>
    </row>
    <row r="104" spans="1:3" x14ac:dyDescent="0.3">
      <c r="A104">
        <v>204230</v>
      </c>
      <c r="B104" t="s">
        <v>661</v>
      </c>
      <c r="C104" t="s">
        <v>664</v>
      </c>
    </row>
    <row r="105" spans="1:3" x14ac:dyDescent="0.3">
      <c r="A105">
        <v>147505</v>
      </c>
      <c r="B105" t="s">
        <v>661</v>
      </c>
      <c r="C105" t="s">
        <v>664</v>
      </c>
    </row>
    <row r="106" spans="1:3" x14ac:dyDescent="0.3">
      <c r="A106">
        <v>54888</v>
      </c>
      <c r="B106" t="s">
        <v>661</v>
      </c>
      <c r="C106" t="s">
        <v>664</v>
      </c>
    </row>
    <row r="107" spans="1:3" x14ac:dyDescent="0.3">
      <c r="A107">
        <v>156633</v>
      </c>
      <c r="B107" t="s">
        <v>661</v>
      </c>
      <c r="C107" t="s">
        <v>664</v>
      </c>
    </row>
    <row r="108" spans="1:3" x14ac:dyDescent="0.3">
      <c r="A108">
        <v>249102</v>
      </c>
      <c r="B108" t="s">
        <v>661</v>
      </c>
      <c r="C108" t="s">
        <v>664</v>
      </c>
    </row>
    <row r="109" spans="1:3" x14ac:dyDescent="0.3">
      <c r="A109">
        <v>223727</v>
      </c>
      <c r="B109" t="s">
        <v>661</v>
      </c>
      <c r="C109" t="s">
        <v>664</v>
      </c>
    </row>
    <row r="110" spans="1:3" x14ac:dyDescent="0.3">
      <c r="A110">
        <v>412657</v>
      </c>
      <c r="B110" t="s">
        <v>661</v>
      </c>
      <c r="C110" t="s">
        <v>664</v>
      </c>
    </row>
    <row r="111" spans="1:3" x14ac:dyDescent="0.3">
      <c r="A111">
        <v>411580</v>
      </c>
      <c r="B111" t="s">
        <v>661</v>
      </c>
      <c r="C111" t="s">
        <v>664</v>
      </c>
    </row>
    <row r="112" spans="1:3" x14ac:dyDescent="0.3">
      <c r="A112">
        <v>254725</v>
      </c>
      <c r="B112" t="s">
        <v>661</v>
      </c>
      <c r="C112" t="s">
        <v>664</v>
      </c>
    </row>
    <row r="113" spans="1:3" x14ac:dyDescent="0.3">
      <c r="A113">
        <v>251152</v>
      </c>
      <c r="B113" t="s">
        <v>661</v>
      </c>
      <c r="C113" t="s">
        <v>664</v>
      </c>
    </row>
    <row r="114" spans="1:3" x14ac:dyDescent="0.3">
      <c r="A114">
        <v>413880</v>
      </c>
      <c r="B114" t="s">
        <v>661</v>
      </c>
      <c r="C114" t="s">
        <v>664</v>
      </c>
    </row>
    <row r="115" spans="1:3" x14ac:dyDescent="0.3">
      <c r="A115">
        <v>249940</v>
      </c>
      <c r="B115" t="s">
        <v>661</v>
      </c>
      <c r="C115" t="s">
        <v>664</v>
      </c>
    </row>
    <row r="116" spans="1:3" x14ac:dyDescent="0.3">
      <c r="A116">
        <v>216863</v>
      </c>
      <c r="B116" t="s">
        <v>661</v>
      </c>
      <c r="C116" t="s">
        <v>664</v>
      </c>
    </row>
    <row r="117" spans="1:3" x14ac:dyDescent="0.3">
      <c r="A117">
        <v>185174</v>
      </c>
      <c r="B117" t="s">
        <v>661</v>
      </c>
      <c r="C117" t="s">
        <v>664</v>
      </c>
    </row>
    <row r="118" spans="1:3" x14ac:dyDescent="0.3">
      <c r="A118">
        <v>91943</v>
      </c>
      <c r="B118" t="s">
        <v>661</v>
      </c>
      <c r="C118" t="s">
        <v>664</v>
      </c>
    </row>
    <row r="119" spans="1:3" x14ac:dyDescent="0.3">
      <c r="A119">
        <v>169798</v>
      </c>
      <c r="B119" t="s">
        <v>661</v>
      </c>
      <c r="C119" t="s">
        <v>664</v>
      </c>
    </row>
    <row r="120" spans="1:3" x14ac:dyDescent="0.3">
      <c r="A120">
        <v>217448</v>
      </c>
      <c r="B120" t="s">
        <v>661</v>
      </c>
      <c r="C120" t="s">
        <v>664</v>
      </c>
    </row>
    <row r="121" spans="1:3" x14ac:dyDescent="0.3">
      <c r="A121">
        <v>177638</v>
      </c>
      <c r="B121" t="s">
        <v>661</v>
      </c>
      <c r="C121" t="s">
        <v>664</v>
      </c>
    </row>
    <row r="122" spans="1:3" x14ac:dyDescent="0.3">
      <c r="A122">
        <v>405356</v>
      </c>
      <c r="B122" t="s">
        <v>661</v>
      </c>
      <c r="C122" t="s">
        <v>664</v>
      </c>
    </row>
    <row r="123" spans="1:3" x14ac:dyDescent="0.3">
      <c r="A123">
        <v>217443</v>
      </c>
      <c r="B123" t="s">
        <v>661</v>
      </c>
      <c r="C123" t="s">
        <v>664</v>
      </c>
    </row>
    <row r="124" spans="1:3" x14ac:dyDescent="0.3">
      <c r="A124">
        <v>414812</v>
      </c>
      <c r="B124" t="s">
        <v>661</v>
      </c>
      <c r="C124" t="s">
        <v>664</v>
      </c>
    </row>
    <row r="125" spans="1:3" x14ac:dyDescent="0.3">
      <c r="A125">
        <v>217515</v>
      </c>
      <c r="B125" t="s">
        <v>661</v>
      </c>
      <c r="C125" t="s">
        <v>664</v>
      </c>
    </row>
    <row r="126" spans="1:3" x14ac:dyDescent="0.3">
      <c r="A126">
        <v>254657</v>
      </c>
      <c r="B126" t="s">
        <v>661</v>
      </c>
      <c r="C126" t="s">
        <v>664</v>
      </c>
    </row>
    <row r="127" spans="1:3" x14ac:dyDescent="0.3">
      <c r="A127">
        <v>401120</v>
      </c>
      <c r="B127" t="s">
        <v>661</v>
      </c>
      <c r="C127" t="s">
        <v>664</v>
      </c>
    </row>
    <row r="128" spans="1:3" x14ac:dyDescent="0.3">
      <c r="A128">
        <v>412242</v>
      </c>
      <c r="B128" t="s">
        <v>661</v>
      </c>
      <c r="C128" t="s">
        <v>664</v>
      </c>
    </row>
    <row r="129" spans="1:3" x14ac:dyDescent="0.3">
      <c r="A129">
        <v>121391</v>
      </c>
      <c r="B129" t="s">
        <v>661</v>
      </c>
      <c r="C129" t="s">
        <v>664</v>
      </c>
    </row>
    <row r="130" spans="1:3" x14ac:dyDescent="0.3">
      <c r="A130">
        <v>174471</v>
      </c>
      <c r="B130" t="s">
        <v>661</v>
      </c>
      <c r="C130" t="s">
        <v>664</v>
      </c>
    </row>
    <row r="131" spans="1:3" x14ac:dyDescent="0.3">
      <c r="A131">
        <v>415481</v>
      </c>
      <c r="B131" t="s">
        <v>661</v>
      </c>
      <c r="C131" t="s">
        <v>664</v>
      </c>
    </row>
    <row r="132" spans="1:3" x14ac:dyDescent="0.3">
      <c r="A132">
        <v>170580</v>
      </c>
      <c r="B132" t="s">
        <v>661</v>
      </c>
      <c r="C132" t="s">
        <v>664</v>
      </c>
    </row>
    <row r="133" spans="1:3" x14ac:dyDescent="0.3">
      <c r="A133">
        <v>170825</v>
      </c>
      <c r="B133" t="s">
        <v>661</v>
      </c>
      <c r="C133" t="s">
        <v>664</v>
      </c>
    </row>
    <row r="134" spans="1:3" x14ac:dyDescent="0.3">
      <c r="A134">
        <v>245385</v>
      </c>
      <c r="B134" t="s">
        <v>661</v>
      </c>
      <c r="C134" t="s">
        <v>664</v>
      </c>
    </row>
    <row r="135" spans="1:3" x14ac:dyDescent="0.3">
      <c r="A135">
        <v>248604</v>
      </c>
      <c r="B135" t="s">
        <v>661</v>
      </c>
      <c r="C135" t="s">
        <v>664</v>
      </c>
    </row>
    <row r="136" spans="1:3" x14ac:dyDescent="0.3">
      <c r="A136">
        <v>116914</v>
      </c>
      <c r="B136" t="s">
        <v>661</v>
      </c>
      <c r="C136" t="s">
        <v>664</v>
      </c>
    </row>
    <row r="137" spans="1:3" x14ac:dyDescent="0.3">
      <c r="A137">
        <v>84297</v>
      </c>
      <c r="B137" t="s">
        <v>661</v>
      </c>
      <c r="C137" t="s">
        <v>664</v>
      </c>
    </row>
    <row r="138" spans="1:3" x14ac:dyDescent="0.3">
      <c r="A138">
        <v>206896</v>
      </c>
      <c r="B138" t="s">
        <v>661</v>
      </c>
      <c r="C138" t="s">
        <v>664</v>
      </c>
    </row>
    <row r="139" spans="1:3" x14ac:dyDescent="0.3">
      <c r="A139">
        <v>44568</v>
      </c>
      <c r="B139" t="s">
        <v>661</v>
      </c>
      <c r="C139" t="s">
        <v>664</v>
      </c>
    </row>
    <row r="140" spans="1:3" x14ac:dyDescent="0.3">
      <c r="A140">
        <v>230066</v>
      </c>
      <c r="B140" t="s">
        <v>661</v>
      </c>
      <c r="C140" t="s">
        <v>664</v>
      </c>
    </row>
    <row r="141" spans="1:3" x14ac:dyDescent="0.3">
      <c r="A141">
        <v>184680</v>
      </c>
      <c r="B141" t="s">
        <v>661</v>
      </c>
      <c r="C141" t="s">
        <v>664</v>
      </c>
    </row>
    <row r="142" spans="1:3" x14ac:dyDescent="0.3">
      <c r="A142">
        <v>180619</v>
      </c>
      <c r="B142" t="s">
        <v>661</v>
      </c>
      <c r="C142" t="s">
        <v>664</v>
      </c>
    </row>
    <row r="143" spans="1:3" x14ac:dyDescent="0.3">
      <c r="A143">
        <v>186357</v>
      </c>
      <c r="B143" t="s">
        <v>1371</v>
      </c>
      <c r="C143" t="s">
        <v>664</v>
      </c>
    </row>
    <row r="144" spans="1:3" x14ac:dyDescent="0.3">
      <c r="A144">
        <v>232624</v>
      </c>
      <c r="B144" t="s">
        <v>1371</v>
      </c>
      <c r="C144" t="s">
        <v>664</v>
      </c>
    </row>
    <row r="145" spans="1:3" x14ac:dyDescent="0.3">
      <c r="A145">
        <v>415760</v>
      </c>
      <c r="B145" t="s">
        <v>1371</v>
      </c>
      <c r="C145" t="s">
        <v>664</v>
      </c>
    </row>
    <row r="146" spans="1:3" x14ac:dyDescent="0.3">
      <c r="A146">
        <v>251298</v>
      </c>
      <c r="B146" t="s">
        <v>1371</v>
      </c>
      <c r="C146" t="s">
        <v>664</v>
      </c>
    </row>
    <row r="147" spans="1:3" x14ac:dyDescent="0.3">
      <c r="A147">
        <v>130684</v>
      </c>
      <c r="B147" t="s">
        <v>1371</v>
      </c>
      <c r="C147" t="s">
        <v>664</v>
      </c>
    </row>
    <row r="148" spans="1:3" x14ac:dyDescent="0.3">
      <c r="A148">
        <v>183899</v>
      </c>
      <c r="B148" t="s">
        <v>1371</v>
      </c>
      <c r="C148" t="s">
        <v>664</v>
      </c>
    </row>
    <row r="149" spans="1:3" x14ac:dyDescent="0.3">
      <c r="A149">
        <v>136478</v>
      </c>
      <c r="B149" t="s">
        <v>1371</v>
      </c>
      <c r="C149" t="s">
        <v>664</v>
      </c>
    </row>
    <row r="150" spans="1:3" x14ac:dyDescent="0.3">
      <c r="A150">
        <v>184635</v>
      </c>
      <c r="B150" t="s">
        <v>1371</v>
      </c>
      <c r="C150" t="s">
        <v>664</v>
      </c>
    </row>
    <row r="151" spans="1:3" x14ac:dyDescent="0.3">
      <c r="A151">
        <v>249255</v>
      </c>
      <c r="B151" t="s">
        <v>1371</v>
      </c>
      <c r="C151" t="s">
        <v>664</v>
      </c>
    </row>
    <row r="152" spans="1:3" x14ac:dyDescent="0.3">
      <c r="A152">
        <v>400504</v>
      </c>
      <c r="B152" t="s">
        <v>1371</v>
      </c>
      <c r="C152" t="s">
        <v>664</v>
      </c>
    </row>
    <row r="153" spans="1:3" x14ac:dyDescent="0.3">
      <c r="A153">
        <v>400838</v>
      </c>
      <c r="B153" t="s">
        <v>1371</v>
      </c>
      <c r="C153" t="s">
        <v>664</v>
      </c>
    </row>
    <row r="154" spans="1:3" x14ac:dyDescent="0.3">
      <c r="A154">
        <v>414693</v>
      </c>
      <c r="B154" t="s">
        <v>1371</v>
      </c>
      <c r="C154" t="s">
        <v>664</v>
      </c>
    </row>
    <row r="155" spans="1:3" x14ac:dyDescent="0.3">
      <c r="A155">
        <v>187630</v>
      </c>
      <c r="B155" t="s">
        <v>1371</v>
      </c>
      <c r="C155" t="s">
        <v>664</v>
      </c>
    </row>
    <row r="156" spans="1:3" x14ac:dyDescent="0.3">
      <c r="A156">
        <v>52790</v>
      </c>
      <c r="B156" t="s">
        <v>1371</v>
      </c>
      <c r="C156" t="s">
        <v>664</v>
      </c>
    </row>
    <row r="157" spans="1:3" x14ac:dyDescent="0.3">
      <c r="A157">
        <v>237156</v>
      </c>
      <c r="B157" t="s">
        <v>1371</v>
      </c>
      <c r="C157" t="s">
        <v>664</v>
      </c>
    </row>
    <row r="158" spans="1:3" x14ac:dyDescent="0.3">
      <c r="A158">
        <v>159670</v>
      </c>
      <c r="B158" t="s">
        <v>1371</v>
      </c>
      <c r="C158" t="s">
        <v>664</v>
      </c>
    </row>
    <row r="159" spans="1:3" x14ac:dyDescent="0.3">
      <c r="A159">
        <v>255051</v>
      </c>
      <c r="B159" t="s">
        <v>1371</v>
      </c>
      <c r="C159" t="s">
        <v>664</v>
      </c>
    </row>
    <row r="160" spans="1:3" x14ac:dyDescent="0.3">
      <c r="A160">
        <v>407238</v>
      </c>
      <c r="B160" t="s">
        <v>1371</v>
      </c>
      <c r="C160" t="s">
        <v>664</v>
      </c>
    </row>
    <row r="161" spans="1:3" x14ac:dyDescent="0.3">
      <c r="A161">
        <v>243188</v>
      </c>
      <c r="B161" t="s">
        <v>1371</v>
      </c>
      <c r="C161" t="s">
        <v>664</v>
      </c>
    </row>
    <row r="162" spans="1:3" x14ac:dyDescent="0.3">
      <c r="A162">
        <v>413552</v>
      </c>
      <c r="B162" t="s">
        <v>1371</v>
      </c>
      <c r="C162" t="s">
        <v>664</v>
      </c>
    </row>
    <row r="163" spans="1:3" x14ac:dyDescent="0.3">
      <c r="A163">
        <v>185723</v>
      </c>
      <c r="B163" t="s">
        <v>1371</v>
      </c>
      <c r="C163" t="s">
        <v>664</v>
      </c>
    </row>
    <row r="164" spans="1:3" x14ac:dyDescent="0.3">
      <c r="A164">
        <v>185578</v>
      </c>
      <c r="B164" t="s">
        <v>1371</v>
      </c>
      <c r="C164" t="s">
        <v>664</v>
      </c>
    </row>
    <row r="165" spans="1:3" x14ac:dyDescent="0.3">
      <c r="A165">
        <v>414245</v>
      </c>
      <c r="B165" t="s">
        <v>1371</v>
      </c>
      <c r="C165" t="s">
        <v>664</v>
      </c>
    </row>
    <row r="166" spans="1:3" x14ac:dyDescent="0.3">
      <c r="A166">
        <v>414644</v>
      </c>
      <c r="B166" t="s">
        <v>1371</v>
      </c>
      <c r="C166" t="s">
        <v>664</v>
      </c>
    </row>
    <row r="167" spans="1:3" x14ac:dyDescent="0.3">
      <c r="A167">
        <v>243781</v>
      </c>
      <c r="B167" t="s">
        <v>1371</v>
      </c>
      <c r="C167" t="s">
        <v>664</v>
      </c>
    </row>
    <row r="168" spans="1:3" x14ac:dyDescent="0.3">
      <c r="A168">
        <v>39480</v>
      </c>
      <c r="B168" t="s">
        <v>1371</v>
      </c>
      <c r="C168" t="s">
        <v>664</v>
      </c>
    </row>
    <row r="169" spans="1:3" x14ac:dyDescent="0.3">
      <c r="A169">
        <v>121813</v>
      </c>
      <c r="B169" t="s">
        <v>1371</v>
      </c>
      <c r="C169" t="s">
        <v>664</v>
      </c>
    </row>
    <row r="170" spans="1:3" x14ac:dyDescent="0.3">
      <c r="A170">
        <v>220242</v>
      </c>
      <c r="B170" t="s">
        <v>1371</v>
      </c>
      <c r="C170" t="s">
        <v>664</v>
      </c>
    </row>
    <row r="171" spans="1:3" x14ac:dyDescent="0.3">
      <c r="A171">
        <v>407750</v>
      </c>
      <c r="B171" t="s">
        <v>1371</v>
      </c>
      <c r="C171" t="s">
        <v>664</v>
      </c>
    </row>
    <row r="172" spans="1:3" x14ac:dyDescent="0.3">
      <c r="A172">
        <v>408758</v>
      </c>
      <c r="B172" t="s">
        <v>1371</v>
      </c>
      <c r="C172" t="s">
        <v>664</v>
      </c>
    </row>
    <row r="173" spans="1:3" x14ac:dyDescent="0.3">
      <c r="A173">
        <v>226362</v>
      </c>
      <c r="B173" t="s">
        <v>1371</v>
      </c>
      <c r="C173" t="s">
        <v>664</v>
      </c>
    </row>
    <row r="174" spans="1:3" x14ac:dyDescent="0.3">
      <c r="A174">
        <v>251435</v>
      </c>
      <c r="B174" t="s">
        <v>1371</v>
      </c>
      <c r="C174" t="s">
        <v>664</v>
      </c>
    </row>
    <row r="175" spans="1:3" x14ac:dyDescent="0.3">
      <c r="A175">
        <v>409584</v>
      </c>
      <c r="B175" t="s">
        <v>1371</v>
      </c>
      <c r="C175" t="s">
        <v>664</v>
      </c>
    </row>
    <row r="176" spans="1:3" x14ac:dyDescent="0.3">
      <c r="A176">
        <v>408799</v>
      </c>
      <c r="B176" t="s">
        <v>1371</v>
      </c>
      <c r="C176" t="s">
        <v>664</v>
      </c>
    </row>
    <row r="177" spans="1:3" x14ac:dyDescent="0.3">
      <c r="A177">
        <v>121593</v>
      </c>
      <c r="B177" t="s">
        <v>1371</v>
      </c>
      <c r="C177" t="s">
        <v>664</v>
      </c>
    </row>
    <row r="178" spans="1:3" x14ac:dyDescent="0.3">
      <c r="A178">
        <v>246807</v>
      </c>
      <c r="B178" t="s">
        <v>1371</v>
      </c>
      <c r="C178" t="s">
        <v>664</v>
      </c>
    </row>
    <row r="179" spans="1:3" x14ac:dyDescent="0.3">
      <c r="A179">
        <v>38819</v>
      </c>
      <c r="B179" t="s">
        <v>1371</v>
      </c>
      <c r="C179" t="s">
        <v>664</v>
      </c>
    </row>
    <row r="180" spans="1:3" x14ac:dyDescent="0.3">
      <c r="A180">
        <v>404796</v>
      </c>
      <c r="B180" t="s">
        <v>1191</v>
      </c>
      <c r="C180" t="s">
        <v>664</v>
      </c>
    </row>
    <row r="181" spans="1:3" x14ac:dyDescent="0.3">
      <c r="A181">
        <v>414960</v>
      </c>
      <c r="B181" t="s">
        <v>1191</v>
      </c>
      <c r="C181" t="s">
        <v>664</v>
      </c>
    </row>
    <row r="182" spans="1:3" x14ac:dyDescent="0.3">
      <c r="A182">
        <v>49677</v>
      </c>
      <c r="B182" t="s">
        <v>1191</v>
      </c>
      <c r="C182" t="s">
        <v>664</v>
      </c>
    </row>
    <row r="183" spans="1:3" x14ac:dyDescent="0.3">
      <c r="A183">
        <v>159729</v>
      </c>
      <c r="B183" t="s">
        <v>1191</v>
      </c>
      <c r="C183" t="s">
        <v>664</v>
      </c>
    </row>
    <row r="184" spans="1:3" x14ac:dyDescent="0.3">
      <c r="A184">
        <v>75061</v>
      </c>
      <c r="B184" t="s">
        <v>1191</v>
      </c>
      <c r="C184" t="s">
        <v>664</v>
      </c>
    </row>
    <row r="185" spans="1:3" x14ac:dyDescent="0.3">
      <c r="A185">
        <v>150623</v>
      </c>
      <c r="B185" t="s">
        <v>1191</v>
      </c>
      <c r="C185" t="s">
        <v>664</v>
      </c>
    </row>
    <row r="186" spans="1:3" x14ac:dyDescent="0.3">
      <c r="A186">
        <v>121495</v>
      </c>
      <c r="B186" t="s">
        <v>1191</v>
      </c>
      <c r="C186" t="s">
        <v>664</v>
      </c>
    </row>
    <row r="187" spans="1:3" x14ac:dyDescent="0.3">
      <c r="A187">
        <v>173219</v>
      </c>
      <c r="B187" t="s">
        <v>1191</v>
      </c>
      <c r="C187" t="s">
        <v>664</v>
      </c>
    </row>
    <row r="188" spans="1:3" x14ac:dyDescent="0.3">
      <c r="A188">
        <v>181746</v>
      </c>
      <c r="B188" t="s">
        <v>1191</v>
      </c>
      <c r="C188" t="s">
        <v>664</v>
      </c>
    </row>
    <row r="189" spans="1:3" x14ac:dyDescent="0.3">
      <c r="A189">
        <v>201292</v>
      </c>
      <c r="B189" t="s">
        <v>1191</v>
      </c>
      <c r="C189" t="s">
        <v>664</v>
      </c>
    </row>
    <row r="190" spans="1:3" x14ac:dyDescent="0.3">
      <c r="A190">
        <v>217731</v>
      </c>
      <c r="B190" t="s">
        <v>1191</v>
      </c>
      <c r="C190" t="s">
        <v>664</v>
      </c>
    </row>
    <row r="191" spans="1:3" x14ac:dyDescent="0.3">
      <c r="A191">
        <v>416386</v>
      </c>
      <c r="B191" t="s">
        <v>1191</v>
      </c>
      <c r="C191" t="s">
        <v>664</v>
      </c>
    </row>
    <row r="192" spans="1:3" x14ac:dyDescent="0.3">
      <c r="A192">
        <v>411105</v>
      </c>
      <c r="B192" t="s">
        <v>1191</v>
      </c>
      <c r="C192" t="s">
        <v>664</v>
      </c>
    </row>
    <row r="193" spans="1:3" x14ac:dyDescent="0.3">
      <c r="A193">
        <v>187700</v>
      </c>
      <c r="B193" t="s">
        <v>1191</v>
      </c>
      <c r="C193" t="s">
        <v>664</v>
      </c>
    </row>
    <row r="194" spans="1:3" x14ac:dyDescent="0.3">
      <c r="A194">
        <v>116487</v>
      </c>
      <c r="B194" t="s">
        <v>1191</v>
      </c>
      <c r="C194" t="s">
        <v>664</v>
      </c>
    </row>
    <row r="195" spans="1:3" x14ac:dyDescent="0.3">
      <c r="A195">
        <v>410744</v>
      </c>
      <c r="B195" t="s">
        <v>1191</v>
      </c>
      <c r="C195" t="s">
        <v>664</v>
      </c>
    </row>
    <row r="196" spans="1:3" x14ac:dyDescent="0.3">
      <c r="A196">
        <v>403190</v>
      </c>
      <c r="B196" t="s">
        <v>1191</v>
      </c>
      <c r="C196" t="s">
        <v>664</v>
      </c>
    </row>
    <row r="197" spans="1:3" x14ac:dyDescent="0.3">
      <c r="A197">
        <v>400224</v>
      </c>
      <c r="B197" t="s">
        <v>1191</v>
      </c>
      <c r="C197" t="s">
        <v>664</v>
      </c>
    </row>
    <row r="198" spans="1:3" x14ac:dyDescent="0.3">
      <c r="A198">
        <v>202751</v>
      </c>
      <c r="B198" t="s">
        <v>1191</v>
      </c>
      <c r="C198" t="s">
        <v>664</v>
      </c>
    </row>
    <row r="199" spans="1:3" x14ac:dyDescent="0.3">
      <c r="A199">
        <v>205252</v>
      </c>
      <c r="B199" t="s">
        <v>1191</v>
      </c>
      <c r="C199" t="s">
        <v>664</v>
      </c>
    </row>
    <row r="200" spans="1:3" x14ac:dyDescent="0.3">
      <c r="A200">
        <v>401707</v>
      </c>
      <c r="B200" t="s">
        <v>1191</v>
      </c>
      <c r="C200" t="s">
        <v>664</v>
      </c>
    </row>
    <row r="201" spans="1:3" x14ac:dyDescent="0.3">
      <c r="A201">
        <v>248938</v>
      </c>
      <c r="B201" t="s">
        <v>1191</v>
      </c>
      <c r="C201" t="s">
        <v>664</v>
      </c>
    </row>
    <row r="202" spans="1:3" x14ac:dyDescent="0.3">
      <c r="A202">
        <v>188899</v>
      </c>
      <c r="B202" t="s">
        <v>1191</v>
      </c>
      <c r="C202" t="s">
        <v>664</v>
      </c>
    </row>
    <row r="203" spans="1:3" x14ac:dyDescent="0.3">
      <c r="A203">
        <v>406113</v>
      </c>
      <c r="B203" t="s">
        <v>1191</v>
      </c>
      <c r="C203" t="s">
        <v>664</v>
      </c>
    </row>
    <row r="204" spans="1:3" x14ac:dyDescent="0.3">
      <c r="A204">
        <v>174834</v>
      </c>
      <c r="B204" t="s">
        <v>1191</v>
      </c>
      <c r="C204" t="s">
        <v>664</v>
      </c>
    </row>
    <row r="205" spans="1:3" x14ac:dyDescent="0.3">
      <c r="A205">
        <v>406115</v>
      </c>
      <c r="B205" t="s">
        <v>1191</v>
      </c>
      <c r="C205" t="s">
        <v>664</v>
      </c>
    </row>
    <row r="206" spans="1:3" x14ac:dyDescent="0.3">
      <c r="A206">
        <v>239473</v>
      </c>
      <c r="B206" t="s">
        <v>1191</v>
      </c>
      <c r="C206" t="s">
        <v>664</v>
      </c>
    </row>
    <row r="207" spans="1:3" x14ac:dyDescent="0.3">
      <c r="A207">
        <v>167933</v>
      </c>
      <c r="B207" t="s">
        <v>1191</v>
      </c>
      <c r="C207" t="s">
        <v>664</v>
      </c>
    </row>
    <row r="208" spans="1:3" x14ac:dyDescent="0.3">
      <c r="A208">
        <v>248370</v>
      </c>
      <c r="B208" t="s">
        <v>1191</v>
      </c>
      <c r="C208" t="s">
        <v>664</v>
      </c>
    </row>
    <row r="209" spans="1:3" x14ac:dyDescent="0.3">
      <c r="A209">
        <v>251529</v>
      </c>
      <c r="B209" t="s">
        <v>1191</v>
      </c>
      <c r="C209" t="s">
        <v>664</v>
      </c>
    </row>
    <row r="210" spans="1:3" x14ac:dyDescent="0.3">
      <c r="A210">
        <v>413637</v>
      </c>
      <c r="B210" t="s">
        <v>1191</v>
      </c>
      <c r="C210" t="s">
        <v>664</v>
      </c>
    </row>
    <row r="211" spans="1:3" x14ac:dyDescent="0.3">
      <c r="A211">
        <v>414571</v>
      </c>
      <c r="B211" t="s">
        <v>1191</v>
      </c>
      <c r="C211" t="s">
        <v>664</v>
      </c>
    </row>
    <row r="212" spans="1:3" x14ac:dyDescent="0.3">
      <c r="A212">
        <v>230919</v>
      </c>
      <c r="B212" t="s">
        <v>1191</v>
      </c>
      <c r="C212" t="s">
        <v>664</v>
      </c>
    </row>
    <row r="213" spans="1:3" x14ac:dyDescent="0.3">
      <c r="A213">
        <v>400206</v>
      </c>
      <c r="B213" t="s">
        <v>1191</v>
      </c>
      <c r="C213" t="s">
        <v>664</v>
      </c>
    </row>
    <row r="214" spans="1:3" x14ac:dyDescent="0.3">
      <c r="A214">
        <v>410434</v>
      </c>
      <c r="B214" t="s">
        <v>1191</v>
      </c>
      <c r="C214" t="s">
        <v>664</v>
      </c>
    </row>
    <row r="215" spans="1:3" x14ac:dyDescent="0.3">
      <c r="A215">
        <v>410620</v>
      </c>
      <c r="B215" t="s">
        <v>1191</v>
      </c>
      <c r="C215" t="s">
        <v>664</v>
      </c>
    </row>
    <row r="216" spans="1:3" x14ac:dyDescent="0.3">
      <c r="A216">
        <v>165833</v>
      </c>
      <c r="B216" t="s">
        <v>1191</v>
      </c>
      <c r="C216" t="s">
        <v>664</v>
      </c>
    </row>
    <row r="217" spans="1:3" x14ac:dyDescent="0.3">
      <c r="A217">
        <v>137862</v>
      </c>
      <c r="B217" t="s">
        <v>1191</v>
      </c>
      <c r="C217" t="s">
        <v>664</v>
      </c>
    </row>
    <row r="218" spans="1:3" x14ac:dyDescent="0.3">
      <c r="A218">
        <v>175020</v>
      </c>
      <c r="B218" t="s">
        <v>1191</v>
      </c>
      <c r="C218" t="s">
        <v>664</v>
      </c>
    </row>
    <row r="219" spans="1:3" x14ac:dyDescent="0.3">
      <c r="A219">
        <v>237933</v>
      </c>
      <c r="B219" t="s">
        <v>1191</v>
      </c>
      <c r="C219" t="s">
        <v>664</v>
      </c>
    </row>
    <row r="220" spans="1:3" x14ac:dyDescent="0.3">
      <c r="A220">
        <v>83181</v>
      </c>
      <c r="B220" t="s">
        <v>1191</v>
      </c>
      <c r="C220" t="s">
        <v>664</v>
      </c>
    </row>
    <row r="221" spans="1:3" x14ac:dyDescent="0.3">
      <c r="A221">
        <v>217132</v>
      </c>
      <c r="B221" t="s">
        <v>1191</v>
      </c>
      <c r="C221" t="s">
        <v>664</v>
      </c>
    </row>
    <row r="222" spans="1:3" x14ac:dyDescent="0.3">
      <c r="A222">
        <v>403830</v>
      </c>
      <c r="B222" t="s">
        <v>1191</v>
      </c>
      <c r="C222" t="s">
        <v>664</v>
      </c>
    </row>
    <row r="223" spans="1:3" x14ac:dyDescent="0.3">
      <c r="A223">
        <v>70674</v>
      </c>
      <c r="B223" t="s">
        <v>1191</v>
      </c>
      <c r="C223" t="s">
        <v>664</v>
      </c>
    </row>
    <row r="224" spans="1:3" x14ac:dyDescent="0.3">
      <c r="A224">
        <v>246368</v>
      </c>
      <c r="B224" t="s">
        <v>1191</v>
      </c>
      <c r="C224" t="s">
        <v>664</v>
      </c>
    </row>
    <row r="225" spans="1:3" x14ac:dyDescent="0.3">
      <c r="A225">
        <v>240417</v>
      </c>
      <c r="B225" t="s">
        <v>1191</v>
      </c>
      <c r="C225" t="s">
        <v>664</v>
      </c>
    </row>
    <row r="226" spans="1:3" x14ac:dyDescent="0.3">
      <c r="A226">
        <v>410984</v>
      </c>
      <c r="B226" t="s">
        <v>1191</v>
      </c>
      <c r="C226" t="s">
        <v>664</v>
      </c>
    </row>
    <row r="227" spans="1:3" x14ac:dyDescent="0.3">
      <c r="A227">
        <v>410618</v>
      </c>
      <c r="B227" t="s">
        <v>1191</v>
      </c>
      <c r="C227" t="s">
        <v>664</v>
      </c>
    </row>
    <row r="228" spans="1:3" x14ac:dyDescent="0.3">
      <c r="A228">
        <v>234474</v>
      </c>
      <c r="B228" t="s">
        <v>1191</v>
      </c>
      <c r="C228" t="s">
        <v>664</v>
      </c>
    </row>
    <row r="229" spans="1:3" x14ac:dyDescent="0.3">
      <c r="A229">
        <v>207414</v>
      </c>
      <c r="B229" t="s">
        <v>1191</v>
      </c>
      <c r="C229" t="s">
        <v>664</v>
      </c>
    </row>
    <row r="230" spans="1:3" x14ac:dyDescent="0.3">
      <c r="A230">
        <v>204619</v>
      </c>
      <c r="B230" t="s">
        <v>1191</v>
      </c>
      <c r="C230" t="s">
        <v>664</v>
      </c>
    </row>
    <row r="231" spans="1:3" x14ac:dyDescent="0.3">
      <c r="A231">
        <v>174593</v>
      </c>
      <c r="B231" t="s">
        <v>1191</v>
      </c>
      <c r="C231" t="s">
        <v>664</v>
      </c>
    </row>
    <row r="232" spans="1:3" x14ac:dyDescent="0.3">
      <c r="A232">
        <v>230321</v>
      </c>
      <c r="B232" t="s">
        <v>1191</v>
      </c>
      <c r="C232" t="s">
        <v>664</v>
      </c>
    </row>
    <row r="233" spans="1:3" x14ac:dyDescent="0.3">
      <c r="A233">
        <v>147738</v>
      </c>
      <c r="B233" t="s">
        <v>1191</v>
      </c>
      <c r="C233" t="s">
        <v>664</v>
      </c>
    </row>
    <row r="234" spans="1:3" x14ac:dyDescent="0.3">
      <c r="A234">
        <v>76249</v>
      </c>
      <c r="B234" t="s">
        <v>1191</v>
      </c>
      <c r="C234" t="s">
        <v>664</v>
      </c>
    </row>
    <row r="235" spans="1:3" x14ac:dyDescent="0.3">
      <c r="A235">
        <v>409107</v>
      </c>
      <c r="B235" t="s">
        <v>1191</v>
      </c>
      <c r="C235" t="s">
        <v>664</v>
      </c>
    </row>
    <row r="236" spans="1:3" x14ac:dyDescent="0.3">
      <c r="A236">
        <v>254363</v>
      </c>
      <c r="B236" t="s">
        <v>1191</v>
      </c>
      <c r="C236" t="s">
        <v>664</v>
      </c>
    </row>
    <row r="237" spans="1:3" x14ac:dyDescent="0.3">
      <c r="A237">
        <v>145456</v>
      </c>
      <c r="B237" t="s">
        <v>1191</v>
      </c>
      <c r="C237" t="s">
        <v>664</v>
      </c>
    </row>
    <row r="238" spans="1:3" x14ac:dyDescent="0.3">
      <c r="A238">
        <v>143820</v>
      </c>
      <c r="B238" t="s">
        <v>1191</v>
      </c>
      <c r="C238" t="s">
        <v>664</v>
      </c>
    </row>
    <row r="239" spans="1:3" x14ac:dyDescent="0.3">
      <c r="A239">
        <v>141199</v>
      </c>
      <c r="B239" t="s">
        <v>1191</v>
      </c>
      <c r="C239" t="s">
        <v>664</v>
      </c>
    </row>
    <row r="240" spans="1:3" x14ac:dyDescent="0.3">
      <c r="A240">
        <v>206993</v>
      </c>
      <c r="B240" t="s">
        <v>1191</v>
      </c>
      <c r="C240" t="s">
        <v>664</v>
      </c>
    </row>
    <row r="241" spans="1:3" x14ac:dyDescent="0.3">
      <c r="A241">
        <v>72923</v>
      </c>
      <c r="B241" t="s">
        <v>659</v>
      </c>
      <c r="C241" t="s">
        <v>664</v>
      </c>
    </row>
    <row r="242" spans="1:3" x14ac:dyDescent="0.3">
      <c r="A242">
        <v>412634</v>
      </c>
      <c r="B242" t="s">
        <v>1371</v>
      </c>
      <c r="C242" t="s">
        <v>664</v>
      </c>
    </row>
    <row r="243" spans="1:3" x14ac:dyDescent="0.3">
      <c r="A243">
        <v>415305</v>
      </c>
      <c r="B243" t="s">
        <v>1371</v>
      </c>
      <c r="C243" t="s">
        <v>664</v>
      </c>
    </row>
    <row r="244" spans="1:3" x14ac:dyDescent="0.3">
      <c r="A244">
        <v>416564</v>
      </c>
      <c r="B244" t="s">
        <v>1371</v>
      </c>
      <c r="C244" t="s">
        <v>664</v>
      </c>
    </row>
    <row r="245" spans="1:3" x14ac:dyDescent="0.3">
      <c r="A245">
        <v>74538</v>
      </c>
      <c r="B245" t="s">
        <v>659</v>
      </c>
      <c r="C245" t="s">
        <v>664</v>
      </c>
    </row>
    <row r="246" spans="1:3" x14ac:dyDescent="0.3">
      <c r="A246">
        <v>412981</v>
      </c>
      <c r="B246" t="s">
        <v>659</v>
      </c>
      <c r="C246" t="s">
        <v>664</v>
      </c>
    </row>
    <row r="247" spans="1:3" x14ac:dyDescent="0.3">
      <c r="A247">
        <v>99155</v>
      </c>
      <c r="B247" t="s">
        <v>659</v>
      </c>
      <c r="C247" t="s">
        <v>664</v>
      </c>
    </row>
    <row r="248" spans="1:3" x14ac:dyDescent="0.3">
      <c r="A248">
        <v>405647</v>
      </c>
      <c r="B248" t="s">
        <v>659</v>
      </c>
      <c r="C248" t="s">
        <v>664</v>
      </c>
    </row>
    <row r="249" spans="1:3" x14ac:dyDescent="0.3">
      <c r="A249">
        <v>416500</v>
      </c>
      <c r="B249" t="s">
        <v>1191</v>
      </c>
      <c r="C249" t="s">
        <v>664</v>
      </c>
    </row>
    <row r="250" spans="1:3" x14ac:dyDescent="0.3">
      <c r="A250">
        <v>45775</v>
      </c>
      <c r="B250" t="s">
        <v>660</v>
      </c>
      <c r="C250" t="s">
        <v>664</v>
      </c>
    </row>
    <row r="251" spans="1:3" x14ac:dyDescent="0.3">
      <c r="A251">
        <v>75109</v>
      </c>
      <c r="B251" t="s">
        <v>660</v>
      </c>
      <c r="C251" t="s">
        <v>664</v>
      </c>
    </row>
    <row r="252" spans="1:3" x14ac:dyDescent="0.3">
      <c r="A252">
        <v>100026</v>
      </c>
      <c r="B252" t="s">
        <v>660</v>
      </c>
      <c r="C252" t="s">
        <v>664</v>
      </c>
    </row>
    <row r="253" spans="1:3" x14ac:dyDescent="0.3">
      <c r="A253">
        <v>100754</v>
      </c>
      <c r="B253" t="s">
        <v>660</v>
      </c>
      <c r="C253" t="s">
        <v>664</v>
      </c>
    </row>
    <row r="254" spans="1:3" x14ac:dyDescent="0.3">
      <c r="A254">
        <v>133967</v>
      </c>
      <c r="B254" t="s">
        <v>660</v>
      </c>
      <c r="C254" t="s">
        <v>664</v>
      </c>
    </row>
    <row r="255" spans="1:3" x14ac:dyDescent="0.3">
      <c r="A255">
        <v>176543</v>
      </c>
      <c r="B255" t="s">
        <v>660</v>
      </c>
      <c r="C255" t="s">
        <v>664</v>
      </c>
    </row>
    <row r="256" spans="1:3" x14ac:dyDescent="0.3">
      <c r="A256">
        <v>204623</v>
      </c>
      <c r="B256" t="s">
        <v>660</v>
      </c>
      <c r="C256" t="s">
        <v>664</v>
      </c>
    </row>
    <row r="257" spans="1:3" x14ac:dyDescent="0.3">
      <c r="A257">
        <v>218083</v>
      </c>
      <c r="B257" t="s">
        <v>660</v>
      </c>
      <c r="C257" t="s">
        <v>664</v>
      </c>
    </row>
    <row r="258" spans="1:3" x14ac:dyDescent="0.3">
      <c r="A258">
        <v>221261</v>
      </c>
      <c r="B258" t="s">
        <v>660</v>
      </c>
      <c r="C258" t="s">
        <v>664</v>
      </c>
    </row>
    <row r="259" spans="1:3" x14ac:dyDescent="0.3">
      <c r="A259">
        <v>227270</v>
      </c>
      <c r="B259" t="s">
        <v>660</v>
      </c>
      <c r="C259" t="s">
        <v>664</v>
      </c>
    </row>
    <row r="260" spans="1:3" x14ac:dyDescent="0.3">
      <c r="A260">
        <v>231393</v>
      </c>
      <c r="B260" t="s">
        <v>660</v>
      </c>
      <c r="C260" t="s">
        <v>664</v>
      </c>
    </row>
    <row r="261" spans="1:3" x14ac:dyDescent="0.3">
      <c r="A261">
        <v>236683</v>
      </c>
      <c r="B261" t="s">
        <v>660</v>
      </c>
      <c r="C261" t="s">
        <v>664</v>
      </c>
    </row>
    <row r="262" spans="1:3" x14ac:dyDescent="0.3">
      <c r="A262">
        <v>416873</v>
      </c>
      <c r="B262" t="s">
        <v>661</v>
      </c>
      <c r="C262" t="s">
        <v>664</v>
      </c>
    </row>
    <row r="263" spans="1:3" x14ac:dyDescent="0.3">
      <c r="A263">
        <v>415772</v>
      </c>
      <c r="B263" t="s">
        <v>658</v>
      </c>
      <c r="C263" t="s">
        <v>664</v>
      </c>
    </row>
    <row r="264" spans="1:3" x14ac:dyDescent="0.3">
      <c r="A264" s="4">
        <v>416785</v>
      </c>
      <c r="B264" t="s">
        <v>658</v>
      </c>
      <c r="C264" t="s">
        <v>664</v>
      </c>
    </row>
    <row r="265" spans="1:3" x14ac:dyDescent="0.3">
      <c r="A265">
        <v>414401</v>
      </c>
      <c r="B265" t="s">
        <v>1371</v>
      </c>
      <c r="C265" t="s">
        <v>664</v>
      </c>
    </row>
    <row r="266" spans="1:3" x14ac:dyDescent="0.3">
      <c r="A266">
        <v>417506</v>
      </c>
      <c r="B266" t="s">
        <v>1371</v>
      </c>
      <c r="C266" t="s">
        <v>664</v>
      </c>
    </row>
    <row r="267" spans="1:3" x14ac:dyDescent="0.3">
      <c r="A267">
        <v>25246</v>
      </c>
      <c r="B267" t="s">
        <v>699</v>
      </c>
      <c r="C267" t="s">
        <v>664</v>
      </c>
    </row>
    <row r="268" spans="1:3" x14ac:dyDescent="0.3">
      <c r="A268">
        <v>150973</v>
      </c>
      <c r="B268" t="s">
        <v>699</v>
      </c>
      <c r="C268" t="s">
        <v>664</v>
      </c>
    </row>
    <row r="269" spans="1:3" x14ac:dyDescent="0.3">
      <c r="A269">
        <v>101381</v>
      </c>
      <c r="B269" t="s">
        <v>699</v>
      </c>
      <c r="C269" t="s">
        <v>664</v>
      </c>
    </row>
    <row r="270" spans="1:3" x14ac:dyDescent="0.3">
      <c r="A270">
        <v>243500</v>
      </c>
      <c r="B270" t="s">
        <v>699</v>
      </c>
      <c r="C270" t="s">
        <v>664</v>
      </c>
    </row>
    <row r="271" spans="1:3" x14ac:dyDescent="0.3">
      <c r="A271">
        <v>217051</v>
      </c>
      <c r="B271" t="s">
        <v>699</v>
      </c>
      <c r="C271" t="s">
        <v>664</v>
      </c>
    </row>
    <row r="272" spans="1:3" x14ac:dyDescent="0.3">
      <c r="A272">
        <v>82930</v>
      </c>
      <c r="B272" t="s">
        <v>699</v>
      </c>
      <c r="C272" t="s">
        <v>664</v>
      </c>
    </row>
    <row r="273" spans="1:3" x14ac:dyDescent="0.3">
      <c r="A273">
        <v>83277</v>
      </c>
      <c r="B273" t="s">
        <v>699</v>
      </c>
      <c r="C273" t="s">
        <v>664</v>
      </c>
    </row>
    <row r="274" spans="1:3" x14ac:dyDescent="0.3">
      <c r="A274">
        <v>69937</v>
      </c>
      <c r="B274" t="s">
        <v>699</v>
      </c>
      <c r="C274" t="s">
        <v>664</v>
      </c>
    </row>
    <row r="275" spans="1:3" x14ac:dyDescent="0.3">
      <c r="A275">
        <v>136464</v>
      </c>
      <c r="B275" t="s">
        <v>699</v>
      </c>
      <c r="C275" t="s">
        <v>664</v>
      </c>
    </row>
    <row r="276" spans="1:3" x14ac:dyDescent="0.3">
      <c r="A276">
        <v>50461</v>
      </c>
      <c r="B276" t="s">
        <v>699</v>
      </c>
      <c r="C276" t="s">
        <v>664</v>
      </c>
    </row>
    <row r="277" spans="1:3" x14ac:dyDescent="0.3">
      <c r="A277">
        <v>185726</v>
      </c>
      <c r="B277" t="s">
        <v>699</v>
      </c>
      <c r="C277" t="s">
        <v>664</v>
      </c>
    </row>
    <row r="278" spans="1:3" x14ac:dyDescent="0.3">
      <c r="A278">
        <v>52069</v>
      </c>
      <c r="B278" t="s">
        <v>699</v>
      </c>
      <c r="C278" t="s">
        <v>664</v>
      </c>
    </row>
    <row r="279" spans="1:3" x14ac:dyDescent="0.3">
      <c r="A279">
        <v>88445</v>
      </c>
      <c r="B279" t="s">
        <v>699</v>
      </c>
      <c r="C279" t="s">
        <v>664</v>
      </c>
    </row>
    <row r="280" spans="1:3" x14ac:dyDescent="0.3">
      <c r="A280">
        <v>159774</v>
      </c>
      <c r="B280" t="s">
        <v>699</v>
      </c>
      <c r="C280" t="s">
        <v>664</v>
      </c>
    </row>
    <row r="281" spans="1:3" x14ac:dyDescent="0.3">
      <c r="A281">
        <v>414920</v>
      </c>
      <c r="B281" t="s">
        <v>699</v>
      </c>
      <c r="C281" t="s">
        <v>664</v>
      </c>
    </row>
    <row r="282" spans="1:3" x14ac:dyDescent="0.3">
      <c r="A282">
        <v>89253</v>
      </c>
      <c r="B282" t="s">
        <v>699</v>
      </c>
      <c r="C282" t="s">
        <v>664</v>
      </c>
    </row>
    <row r="283" spans="1:3" x14ac:dyDescent="0.3">
      <c r="A283">
        <v>88112</v>
      </c>
      <c r="B283" t="s">
        <v>699</v>
      </c>
      <c r="C283" t="s">
        <v>664</v>
      </c>
    </row>
    <row r="284" spans="1:3" x14ac:dyDescent="0.3">
      <c r="A284">
        <v>254739</v>
      </c>
      <c r="B284" t="s">
        <v>699</v>
      </c>
      <c r="C284" t="s">
        <v>664</v>
      </c>
    </row>
    <row r="285" spans="1:3" x14ac:dyDescent="0.3">
      <c r="A285">
        <v>400004</v>
      </c>
      <c r="B285" t="s">
        <v>699</v>
      </c>
      <c r="C285" t="s">
        <v>664</v>
      </c>
    </row>
    <row r="286" spans="1:3" x14ac:dyDescent="0.3">
      <c r="A286">
        <v>155427</v>
      </c>
      <c r="B286" t="s">
        <v>699</v>
      </c>
      <c r="C286" t="s">
        <v>664</v>
      </c>
    </row>
    <row r="287" spans="1:3" x14ac:dyDescent="0.3">
      <c r="A287">
        <v>83971</v>
      </c>
      <c r="B287" t="s">
        <v>699</v>
      </c>
      <c r="C287" t="s">
        <v>664</v>
      </c>
    </row>
    <row r="288" spans="1:3" x14ac:dyDescent="0.3">
      <c r="A288">
        <v>231002</v>
      </c>
      <c r="B288" t="s">
        <v>699</v>
      </c>
      <c r="C288" t="s">
        <v>664</v>
      </c>
    </row>
    <row r="289" spans="1:3" x14ac:dyDescent="0.3">
      <c r="A289">
        <v>410810</v>
      </c>
      <c r="B289" t="s">
        <v>699</v>
      </c>
      <c r="C289" t="s">
        <v>664</v>
      </c>
    </row>
    <row r="290" spans="1:3" x14ac:dyDescent="0.3">
      <c r="A290" s="4">
        <v>241265</v>
      </c>
      <c r="B290" t="s">
        <v>660</v>
      </c>
      <c r="C290" t="s">
        <v>664</v>
      </c>
    </row>
    <row r="291" spans="1:3" x14ac:dyDescent="0.3">
      <c r="A291" s="3">
        <v>415797</v>
      </c>
      <c r="B291" t="s">
        <v>699</v>
      </c>
      <c r="C291" t="s">
        <v>664</v>
      </c>
    </row>
    <row r="292" spans="1:3" x14ac:dyDescent="0.3">
      <c r="A292" s="4">
        <v>180964</v>
      </c>
      <c r="B292" t="s">
        <v>699</v>
      </c>
      <c r="C292" t="s">
        <v>664</v>
      </c>
    </row>
    <row r="293" spans="1:3" x14ac:dyDescent="0.3">
      <c r="A293" s="3">
        <v>22763</v>
      </c>
      <c r="B293" t="s">
        <v>699</v>
      </c>
      <c r="C293" t="s">
        <v>664</v>
      </c>
    </row>
    <row r="294" spans="1:3" x14ac:dyDescent="0.3">
      <c r="A294" s="4">
        <v>177653</v>
      </c>
      <c r="B294" t="s">
        <v>699</v>
      </c>
      <c r="C294" t="s">
        <v>664</v>
      </c>
    </row>
    <row r="295" spans="1:3" x14ac:dyDescent="0.3">
      <c r="A295" s="3">
        <v>247750</v>
      </c>
      <c r="B295" t="s">
        <v>699</v>
      </c>
      <c r="C295" t="s">
        <v>664</v>
      </c>
    </row>
    <row r="296" spans="1:3" x14ac:dyDescent="0.3">
      <c r="A296" s="4">
        <v>418052</v>
      </c>
      <c r="B296" t="s">
        <v>1371</v>
      </c>
      <c r="C296" t="s">
        <v>664</v>
      </c>
    </row>
    <row r="297" spans="1:3" x14ac:dyDescent="0.3">
      <c r="A297" s="4">
        <v>417907</v>
      </c>
      <c r="B297" t="s">
        <v>1371</v>
      </c>
      <c r="C297" t="s">
        <v>664</v>
      </c>
    </row>
    <row r="298" spans="1:3" x14ac:dyDescent="0.3">
      <c r="A298" s="3">
        <v>45274</v>
      </c>
      <c r="B298" t="s">
        <v>699</v>
      </c>
      <c r="C298" t="s">
        <v>664</v>
      </c>
    </row>
    <row r="299" spans="1:3" x14ac:dyDescent="0.3">
      <c r="A299" s="4">
        <v>245240</v>
      </c>
      <c r="B299" t="s">
        <v>660</v>
      </c>
      <c r="C299" t="s">
        <v>664</v>
      </c>
    </row>
    <row r="300" spans="1:3" x14ac:dyDescent="0.3">
      <c r="A300" s="4">
        <v>248018</v>
      </c>
      <c r="B300" t="s">
        <v>660</v>
      </c>
      <c r="C300" t="s">
        <v>664</v>
      </c>
    </row>
    <row r="301" spans="1:3" x14ac:dyDescent="0.3">
      <c r="A301" s="4">
        <v>249697</v>
      </c>
      <c r="B301" t="s">
        <v>660</v>
      </c>
      <c r="C301" t="s">
        <v>664</v>
      </c>
    </row>
    <row r="302" spans="1:3" x14ac:dyDescent="0.3">
      <c r="A302" s="4">
        <v>119708</v>
      </c>
      <c r="B302" t="s">
        <v>1191</v>
      </c>
      <c r="C302" t="s">
        <v>664</v>
      </c>
    </row>
    <row r="303" spans="1:3" x14ac:dyDescent="0.3">
      <c r="A303" s="3">
        <v>416400</v>
      </c>
      <c r="B303" t="s">
        <v>1191</v>
      </c>
      <c r="C303" t="s">
        <v>664</v>
      </c>
    </row>
    <row r="304" spans="1:3" x14ac:dyDescent="0.3">
      <c r="A304" s="4">
        <v>410449</v>
      </c>
      <c r="B304" t="s">
        <v>1191</v>
      </c>
      <c r="C304" t="s">
        <v>664</v>
      </c>
    </row>
    <row r="305" spans="1:3" x14ac:dyDescent="0.3">
      <c r="A305" s="3">
        <v>414181</v>
      </c>
      <c r="B305" t="s">
        <v>1191</v>
      </c>
      <c r="C305" t="s">
        <v>664</v>
      </c>
    </row>
    <row r="306" spans="1:3" x14ac:dyDescent="0.3">
      <c r="A306" s="4">
        <v>418028</v>
      </c>
      <c r="B306" t="s">
        <v>1191</v>
      </c>
      <c r="C306" t="s">
        <v>664</v>
      </c>
    </row>
    <row r="307" spans="1:3" x14ac:dyDescent="0.3">
      <c r="A307" s="4">
        <v>401445</v>
      </c>
      <c r="B307" t="s">
        <v>1191</v>
      </c>
      <c r="C307" t="s">
        <v>664</v>
      </c>
    </row>
    <row r="308" spans="1:3" x14ac:dyDescent="0.3">
      <c r="A308" s="3">
        <v>418791</v>
      </c>
      <c r="B308" t="s">
        <v>661</v>
      </c>
      <c r="C308" t="s">
        <v>664</v>
      </c>
    </row>
    <row r="309" spans="1:3" x14ac:dyDescent="0.3">
      <c r="A309" s="4">
        <v>401784</v>
      </c>
      <c r="B309" t="s">
        <v>661</v>
      </c>
      <c r="C309" t="s">
        <v>664</v>
      </c>
    </row>
    <row r="310" spans="1:3" x14ac:dyDescent="0.3">
      <c r="A310" s="4">
        <v>166719</v>
      </c>
      <c r="B310" t="s">
        <v>661</v>
      </c>
      <c r="C310" t="s">
        <v>664</v>
      </c>
    </row>
    <row r="311" spans="1:3" x14ac:dyDescent="0.3">
      <c r="A311" s="3">
        <v>415998</v>
      </c>
      <c r="B311" t="s">
        <v>658</v>
      </c>
      <c r="C311" t="s">
        <v>664</v>
      </c>
    </row>
    <row r="312" spans="1:3" x14ac:dyDescent="0.3">
      <c r="A312" s="4">
        <v>416436</v>
      </c>
      <c r="B312" t="s">
        <v>658</v>
      </c>
      <c r="C312" t="s">
        <v>664</v>
      </c>
    </row>
    <row r="313" spans="1:3" x14ac:dyDescent="0.3">
      <c r="A313" s="3">
        <v>401782</v>
      </c>
      <c r="B313" t="s">
        <v>658</v>
      </c>
      <c r="C313" t="s">
        <v>664</v>
      </c>
    </row>
    <row r="314" spans="1:3" x14ac:dyDescent="0.3">
      <c r="A314" s="3">
        <v>186079</v>
      </c>
      <c r="B314" t="s">
        <v>742</v>
      </c>
      <c r="C314" t="s">
        <v>664</v>
      </c>
    </row>
    <row r="315" spans="1:3" x14ac:dyDescent="0.3">
      <c r="A315" s="4">
        <v>170679</v>
      </c>
      <c r="B315" t="s">
        <v>742</v>
      </c>
      <c r="C315" t="s">
        <v>664</v>
      </c>
    </row>
    <row r="316" spans="1:3" x14ac:dyDescent="0.3">
      <c r="A316" s="3">
        <v>61163</v>
      </c>
      <c r="B316" t="s">
        <v>742</v>
      </c>
      <c r="C316" t="s">
        <v>664</v>
      </c>
    </row>
    <row r="317" spans="1:3" x14ac:dyDescent="0.3">
      <c r="A317" s="4">
        <v>407911</v>
      </c>
      <c r="B317" t="s">
        <v>742</v>
      </c>
      <c r="C317" t="s">
        <v>664</v>
      </c>
    </row>
    <row r="318" spans="1:3" x14ac:dyDescent="0.3">
      <c r="A318" s="3">
        <v>408227</v>
      </c>
      <c r="B318" t="s">
        <v>742</v>
      </c>
      <c r="C318" t="s">
        <v>664</v>
      </c>
    </row>
    <row r="319" spans="1:3" x14ac:dyDescent="0.3">
      <c r="A319" s="4">
        <v>62246</v>
      </c>
      <c r="B319" t="s">
        <v>742</v>
      </c>
      <c r="C319" t="s">
        <v>664</v>
      </c>
    </row>
    <row r="320" spans="1:3" x14ac:dyDescent="0.3">
      <c r="A320" s="3">
        <v>400449</v>
      </c>
      <c r="B320" t="s">
        <v>742</v>
      </c>
      <c r="C320" t="s">
        <v>664</v>
      </c>
    </row>
    <row r="321" spans="1:3" x14ac:dyDescent="0.3">
      <c r="A321" s="4">
        <v>204621</v>
      </c>
      <c r="B321" t="s">
        <v>742</v>
      </c>
      <c r="C321" t="s">
        <v>664</v>
      </c>
    </row>
    <row r="322" spans="1:3" x14ac:dyDescent="0.3">
      <c r="A322" s="3">
        <v>47013</v>
      </c>
      <c r="B322" t="s">
        <v>742</v>
      </c>
      <c r="C322" t="s">
        <v>664</v>
      </c>
    </row>
    <row r="323" spans="1:3" x14ac:dyDescent="0.3">
      <c r="A323" s="4">
        <v>230050</v>
      </c>
      <c r="B323" t="s">
        <v>742</v>
      </c>
      <c r="C323" t="s">
        <v>664</v>
      </c>
    </row>
    <row r="324" spans="1:3" x14ac:dyDescent="0.3">
      <c r="A324" s="3">
        <v>231061</v>
      </c>
      <c r="B324" t="s">
        <v>742</v>
      </c>
      <c r="C324" t="s">
        <v>664</v>
      </c>
    </row>
    <row r="325" spans="1:3" x14ac:dyDescent="0.3">
      <c r="A325" s="4">
        <v>150023</v>
      </c>
      <c r="B325" t="s">
        <v>742</v>
      </c>
      <c r="C325" t="s">
        <v>664</v>
      </c>
    </row>
    <row r="326" spans="1:3" x14ac:dyDescent="0.3">
      <c r="A326" s="3">
        <v>138153</v>
      </c>
      <c r="B326" t="s">
        <v>742</v>
      </c>
      <c r="C326" t="s">
        <v>664</v>
      </c>
    </row>
    <row r="327" spans="1:3" x14ac:dyDescent="0.3">
      <c r="A327" s="4">
        <v>121165</v>
      </c>
      <c r="B327" t="s">
        <v>742</v>
      </c>
      <c r="C327" t="s">
        <v>664</v>
      </c>
    </row>
    <row r="328" spans="1:3" x14ac:dyDescent="0.3">
      <c r="A328" s="3">
        <v>404720</v>
      </c>
      <c r="B328" t="s">
        <v>659</v>
      </c>
      <c r="C328" t="s">
        <v>664</v>
      </c>
    </row>
    <row r="329" spans="1:3" x14ac:dyDescent="0.3">
      <c r="A329" s="3">
        <v>228563</v>
      </c>
      <c r="B329" t="s">
        <v>699</v>
      </c>
      <c r="C329" t="s">
        <v>664</v>
      </c>
    </row>
    <row r="330" spans="1:3" x14ac:dyDescent="0.3">
      <c r="A330" s="4">
        <v>404731</v>
      </c>
      <c r="B330" t="s">
        <v>699</v>
      </c>
      <c r="C330" t="s">
        <v>664</v>
      </c>
    </row>
    <row r="331" spans="1:3" x14ac:dyDescent="0.3">
      <c r="A331" s="3">
        <v>412566</v>
      </c>
      <c r="B331" t="s">
        <v>699</v>
      </c>
      <c r="C331" t="s">
        <v>664</v>
      </c>
    </row>
    <row r="332" spans="1:3" x14ac:dyDescent="0.3">
      <c r="A332" s="4">
        <v>167739</v>
      </c>
      <c r="B332" t="s">
        <v>699</v>
      </c>
      <c r="C332" t="s">
        <v>664</v>
      </c>
    </row>
    <row r="333" spans="1:3" x14ac:dyDescent="0.3">
      <c r="A333" s="4">
        <v>406215</v>
      </c>
      <c r="B333" t="s">
        <v>660</v>
      </c>
      <c r="C333" t="s">
        <v>664</v>
      </c>
    </row>
    <row r="334" spans="1:3" x14ac:dyDescent="0.3">
      <c r="A334" s="4">
        <v>407090</v>
      </c>
      <c r="B334" t="s">
        <v>660</v>
      </c>
      <c r="C334" t="s">
        <v>664</v>
      </c>
    </row>
    <row r="335" spans="1:3" x14ac:dyDescent="0.3">
      <c r="A335" s="4">
        <v>415088</v>
      </c>
      <c r="B335" t="s">
        <v>660</v>
      </c>
      <c r="C335" t="s">
        <v>664</v>
      </c>
    </row>
    <row r="336" spans="1:3" x14ac:dyDescent="0.3">
      <c r="A336" s="4">
        <v>415731</v>
      </c>
      <c r="B336" t="s">
        <v>660</v>
      </c>
      <c r="C336" t="s">
        <v>664</v>
      </c>
    </row>
    <row r="337" spans="1:3" x14ac:dyDescent="0.3">
      <c r="A337" s="3">
        <v>416512</v>
      </c>
      <c r="B337" t="s">
        <v>660</v>
      </c>
      <c r="C337" t="s">
        <v>664</v>
      </c>
    </row>
    <row r="338" spans="1:3" x14ac:dyDescent="0.3">
      <c r="A338" s="3">
        <v>401965</v>
      </c>
      <c r="B338" t="s">
        <v>743</v>
      </c>
      <c r="C338" t="s">
        <v>664</v>
      </c>
    </row>
    <row r="339" spans="1:3" x14ac:dyDescent="0.3">
      <c r="A339" s="4">
        <v>156827</v>
      </c>
      <c r="B339" t="s">
        <v>743</v>
      </c>
      <c r="C339" t="s">
        <v>664</v>
      </c>
    </row>
    <row r="340" spans="1:3" x14ac:dyDescent="0.3">
      <c r="A340" s="3">
        <v>207424</v>
      </c>
      <c r="B340" t="s">
        <v>743</v>
      </c>
      <c r="C340" t="s">
        <v>664</v>
      </c>
    </row>
    <row r="341" spans="1:3" x14ac:dyDescent="0.3">
      <c r="A341" s="4">
        <v>37984</v>
      </c>
      <c r="B341" t="s">
        <v>743</v>
      </c>
      <c r="C341" t="s">
        <v>664</v>
      </c>
    </row>
    <row r="342" spans="1:3" x14ac:dyDescent="0.3">
      <c r="A342" s="3">
        <v>79111</v>
      </c>
      <c r="B342" t="s">
        <v>743</v>
      </c>
      <c r="C342" t="s">
        <v>664</v>
      </c>
    </row>
    <row r="343" spans="1:3" x14ac:dyDescent="0.3">
      <c r="A343" s="3">
        <v>203571</v>
      </c>
      <c r="B343" t="s">
        <v>743</v>
      </c>
      <c r="C343" t="s">
        <v>664</v>
      </c>
    </row>
    <row r="344" spans="1:3" x14ac:dyDescent="0.3">
      <c r="A344" s="4">
        <v>236607</v>
      </c>
      <c r="B344" t="s">
        <v>743</v>
      </c>
      <c r="C344" t="s">
        <v>664</v>
      </c>
    </row>
    <row r="345" spans="1:3" x14ac:dyDescent="0.3">
      <c r="A345" s="3">
        <v>218080</v>
      </c>
      <c r="B345" t="s">
        <v>743</v>
      </c>
      <c r="C345" t="s">
        <v>664</v>
      </c>
    </row>
    <row r="346" spans="1:3" x14ac:dyDescent="0.3">
      <c r="A346" s="4">
        <v>156399</v>
      </c>
      <c r="B346" t="s">
        <v>743</v>
      </c>
      <c r="C346" t="s">
        <v>664</v>
      </c>
    </row>
    <row r="347" spans="1:3" x14ac:dyDescent="0.3">
      <c r="A347" s="3">
        <v>221909</v>
      </c>
      <c r="B347" t="s">
        <v>743</v>
      </c>
      <c r="C347" t="s">
        <v>664</v>
      </c>
    </row>
    <row r="348" spans="1:3" x14ac:dyDescent="0.3">
      <c r="A348" s="3">
        <v>400696</v>
      </c>
      <c r="B348" t="s">
        <v>743</v>
      </c>
      <c r="C348" t="s">
        <v>664</v>
      </c>
    </row>
    <row r="349" spans="1:3" x14ac:dyDescent="0.3">
      <c r="A349" s="4">
        <v>148364</v>
      </c>
      <c r="B349" t="s">
        <v>743</v>
      </c>
      <c r="C349" t="s">
        <v>664</v>
      </c>
    </row>
    <row r="350" spans="1:3" x14ac:dyDescent="0.3">
      <c r="A350" s="4">
        <v>177427</v>
      </c>
      <c r="B350" t="s">
        <v>743</v>
      </c>
      <c r="C350" t="s">
        <v>664</v>
      </c>
    </row>
    <row r="351" spans="1:3" x14ac:dyDescent="0.3">
      <c r="A351" s="3">
        <v>51599</v>
      </c>
      <c r="B351" t="s">
        <v>743</v>
      </c>
      <c r="C351" t="s">
        <v>664</v>
      </c>
    </row>
    <row r="352" spans="1:3" x14ac:dyDescent="0.3">
      <c r="A352" s="4">
        <v>155835</v>
      </c>
      <c r="B352" t="s">
        <v>743</v>
      </c>
      <c r="C352" t="s">
        <v>664</v>
      </c>
    </row>
    <row r="353" spans="1:3" x14ac:dyDescent="0.3">
      <c r="A353" s="3">
        <v>81991</v>
      </c>
      <c r="B353" t="s">
        <v>743</v>
      </c>
      <c r="C353" t="s">
        <v>664</v>
      </c>
    </row>
    <row r="354" spans="1:3" x14ac:dyDescent="0.3">
      <c r="A354" s="4">
        <v>25076</v>
      </c>
      <c r="B354" t="s">
        <v>743</v>
      </c>
      <c r="C354" t="s">
        <v>664</v>
      </c>
    </row>
    <row r="355" spans="1:3" x14ac:dyDescent="0.3">
      <c r="A355" s="3">
        <v>49302</v>
      </c>
      <c r="B355" t="s">
        <v>743</v>
      </c>
      <c r="C355" t="s">
        <v>664</v>
      </c>
    </row>
    <row r="356" spans="1:3" x14ac:dyDescent="0.3">
      <c r="A356" s="4">
        <v>51935</v>
      </c>
      <c r="B356" t="s">
        <v>743</v>
      </c>
      <c r="C356" t="s">
        <v>664</v>
      </c>
    </row>
    <row r="357" spans="1:3" x14ac:dyDescent="0.3">
      <c r="A357" s="3">
        <v>418787</v>
      </c>
      <c r="B357" t="s">
        <v>743</v>
      </c>
      <c r="C357" t="s">
        <v>664</v>
      </c>
    </row>
    <row r="358" spans="1:3" x14ac:dyDescent="0.3">
      <c r="A358" s="4">
        <v>189052</v>
      </c>
      <c r="B358" t="s">
        <v>743</v>
      </c>
      <c r="C358" t="s">
        <v>664</v>
      </c>
    </row>
    <row r="359" spans="1:3" x14ac:dyDescent="0.3">
      <c r="A359" s="3">
        <v>403800</v>
      </c>
      <c r="B359" t="s">
        <v>743</v>
      </c>
      <c r="C359" t="s">
        <v>664</v>
      </c>
    </row>
    <row r="360" spans="1:3" x14ac:dyDescent="0.3">
      <c r="A360" s="4">
        <v>250353</v>
      </c>
      <c r="B360" t="s">
        <v>743</v>
      </c>
      <c r="C360" t="s">
        <v>664</v>
      </c>
    </row>
    <row r="361" spans="1:3" x14ac:dyDescent="0.3">
      <c r="A361" s="3">
        <v>416423</v>
      </c>
      <c r="B361" t="s">
        <v>743</v>
      </c>
      <c r="C361" t="s">
        <v>664</v>
      </c>
    </row>
    <row r="362" spans="1:3" x14ac:dyDescent="0.3">
      <c r="A362" s="3">
        <v>121585</v>
      </c>
      <c r="B362" t="s">
        <v>744</v>
      </c>
      <c r="C362" t="s">
        <v>664</v>
      </c>
    </row>
    <row r="363" spans="1:3" x14ac:dyDescent="0.3">
      <c r="A363" s="4">
        <v>160515</v>
      </c>
      <c r="B363" t="s">
        <v>744</v>
      </c>
      <c r="C363" t="s">
        <v>664</v>
      </c>
    </row>
    <row r="364" spans="1:3" x14ac:dyDescent="0.3">
      <c r="A364" s="3">
        <v>161346</v>
      </c>
      <c r="B364" t="s">
        <v>744</v>
      </c>
      <c r="C364" t="s">
        <v>664</v>
      </c>
    </row>
    <row r="365" spans="1:3" x14ac:dyDescent="0.3">
      <c r="A365" s="4">
        <v>245327</v>
      </c>
      <c r="B365" t="s">
        <v>744</v>
      </c>
      <c r="C365" t="s">
        <v>664</v>
      </c>
    </row>
    <row r="366" spans="1:3" x14ac:dyDescent="0.3">
      <c r="A366" s="3">
        <v>158332</v>
      </c>
      <c r="B366" t="s">
        <v>744</v>
      </c>
      <c r="C366" t="s">
        <v>664</v>
      </c>
    </row>
    <row r="367" spans="1:3" x14ac:dyDescent="0.3">
      <c r="A367" s="4">
        <v>135036</v>
      </c>
      <c r="B367" t="s">
        <v>744</v>
      </c>
      <c r="C367" t="s">
        <v>664</v>
      </c>
    </row>
    <row r="368" spans="1:3" x14ac:dyDescent="0.3">
      <c r="A368" s="3">
        <v>245269</v>
      </c>
      <c r="B368" t="s">
        <v>744</v>
      </c>
      <c r="C368" t="s">
        <v>664</v>
      </c>
    </row>
    <row r="369" spans="1:3" x14ac:dyDescent="0.3">
      <c r="A369" s="4">
        <v>176770</v>
      </c>
      <c r="B369" t="s">
        <v>744</v>
      </c>
      <c r="C369" t="s">
        <v>664</v>
      </c>
    </row>
    <row r="370" spans="1:3" x14ac:dyDescent="0.3">
      <c r="A370" s="3">
        <v>251446</v>
      </c>
      <c r="B370" t="s">
        <v>744</v>
      </c>
      <c r="C370" t="s">
        <v>664</v>
      </c>
    </row>
    <row r="371" spans="1:3" x14ac:dyDescent="0.3">
      <c r="A371" s="3">
        <v>236916</v>
      </c>
      <c r="B371" t="s">
        <v>744</v>
      </c>
      <c r="C371" t="s">
        <v>664</v>
      </c>
    </row>
    <row r="372" spans="1:3" x14ac:dyDescent="0.3">
      <c r="A372" s="4">
        <v>81969</v>
      </c>
      <c r="B372" t="s">
        <v>744</v>
      </c>
      <c r="C372" t="s">
        <v>664</v>
      </c>
    </row>
    <row r="373" spans="1:3" x14ac:dyDescent="0.3">
      <c r="A373" s="3">
        <v>225713</v>
      </c>
      <c r="B373" t="s">
        <v>659</v>
      </c>
      <c r="C373" t="s">
        <v>664</v>
      </c>
    </row>
    <row r="374" spans="1:3" x14ac:dyDescent="0.3">
      <c r="A374" s="3">
        <v>418373</v>
      </c>
      <c r="B374" t="s">
        <v>658</v>
      </c>
      <c r="C374" t="s">
        <v>664</v>
      </c>
    </row>
    <row r="375" spans="1:3" x14ac:dyDescent="0.3">
      <c r="A375" s="4">
        <v>418857</v>
      </c>
      <c r="B375" t="s">
        <v>1371</v>
      </c>
      <c r="C375" t="s">
        <v>664</v>
      </c>
    </row>
    <row r="376" spans="1:3" x14ac:dyDescent="0.3">
      <c r="A376" s="3">
        <v>414194</v>
      </c>
      <c r="B376" t="s">
        <v>1191</v>
      </c>
      <c r="C376" t="s">
        <v>664</v>
      </c>
    </row>
    <row r="377" spans="1:3" x14ac:dyDescent="0.3">
      <c r="A377" s="4">
        <v>417735</v>
      </c>
      <c r="B377" t="s">
        <v>660</v>
      </c>
      <c r="C377" t="s">
        <v>664</v>
      </c>
    </row>
    <row r="378" spans="1:3" x14ac:dyDescent="0.3">
      <c r="A378" s="4">
        <v>418869</v>
      </c>
      <c r="B378" t="s">
        <v>659</v>
      </c>
      <c r="C378" t="s">
        <v>664</v>
      </c>
    </row>
    <row r="379" spans="1:3" x14ac:dyDescent="0.3">
      <c r="A379" s="4">
        <v>156918</v>
      </c>
      <c r="B379" t="s">
        <v>744</v>
      </c>
      <c r="C379" t="s">
        <v>664</v>
      </c>
    </row>
    <row r="380" spans="1:3" x14ac:dyDescent="0.3">
      <c r="A380" s="3">
        <v>418015</v>
      </c>
      <c r="B380" t="s">
        <v>660</v>
      </c>
      <c r="C380" t="s">
        <v>664</v>
      </c>
    </row>
    <row r="381" spans="1:3" x14ac:dyDescent="0.3">
      <c r="A381" s="3">
        <v>404529</v>
      </c>
      <c r="B381" t="s">
        <v>742</v>
      </c>
      <c r="C381" t="s">
        <v>664</v>
      </c>
    </row>
    <row r="382" spans="1:3" x14ac:dyDescent="0.3">
      <c r="A382" s="4">
        <v>217629</v>
      </c>
      <c r="B382" t="s">
        <v>742</v>
      </c>
      <c r="C382" t="s">
        <v>664</v>
      </c>
    </row>
    <row r="383" spans="1:3" x14ac:dyDescent="0.3">
      <c r="A383" s="3">
        <v>419413</v>
      </c>
      <c r="B383" t="s">
        <v>1371</v>
      </c>
      <c r="C383" t="s">
        <v>664</v>
      </c>
    </row>
    <row r="384" spans="1:3" x14ac:dyDescent="0.3">
      <c r="A384" s="3">
        <v>419205</v>
      </c>
      <c r="B384" t="s">
        <v>1191</v>
      </c>
      <c r="C384" t="s">
        <v>664</v>
      </c>
    </row>
    <row r="385" spans="1:3" x14ac:dyDescent="0.3">
      <c r="A385" s="3">
        <v>419250</v>
      </c>
      <c r="B385" t="s">
        <v>660</v>
      </c>
      <c r="C385" t="s">
        <v>664</v>
      </c>
    </row>
    <row r="386" spans="1:3" x14ac:dyDescent="0.3">
      <c r="A386" s="3">
        <v>418748</v>
      </c>
      <c r="B386" t="s">
        <v>659</v>
      </c>
      <c r="C386" t="s">
        <v>664</v>
      </c>
    </row>
    <row r="387" spans="1:3" x14ac:dyDescent="0.3">
      <c r="A387" s="3">
        <v>418872</v>
      </c>
      <c r="B387" t="s">
        <v>743</v>
      </c>
      <c r="C387" t="s">
        <v>664</v>
      </c>
    </row>
    <row r="388" spans="1:3" x14ac:dyDescent="0.3">
      <c r="A388" s="3">
        <v>403616</v>
      </c>
      <c r="B388" t="s">
        <v>1371</v>
      </c>
      <c r="C388" t="s">
        <v>664</v>
      </c>
    </row>
    <row r="389" spans="1:3" x14ac:dyDescent="0.3">
      <c r="A389" s="3">
        <v>50027</v>
      </c>
      <c r="B389" t="s">
        <v>1371</v>
      </c>
      <c r="C389" t="s">
        <v>664</v>
      </c>
    </row>
    <row r="390" spans="1:3" x14ac:dyDescent="0.3">
      <c r="A390" s="4">
        <v>215686</v>
      </c>
      <c r="B390" t="s">
        <v>1371</v>
      </c>
      <c r="C390" t="s">
        <v>664</v>
      </c>
    </row>
    <row r="391" spans="1:3" x14ac:dyDescent="0.3">
      <c r="A391" s="3">
        <v>406884</v>
      </c>
      <c r="B391" t="s">
        <v>1371</v>
      </c>
      <c r="C391" t="s">
        <v>664</v>
      </c>
    </row>
    <row r="392" spans="1:3" x14ac:dyDescent="0.3">
      <c r="A392" s="4">
        <v>417184</v>
      </c>
      <c r="B392" t="s">
        <v>1371</v>
      </c>
      <c r="C392" t="s">
        <v>664</v>
      </c>
    </row>
    <row r="393" spans="1:3" x14ac:dyDescent="0.3">
      <c r="A393" s="3">
        <v>241398</v>
      </c>
      <c r="B393" t="s">
        <v>1371</v>
      </c>
      <c r="C393" t="s">
        <v>664</v>
      </c>
    </row>
    <row r="394" spans="1:3" x14ac:dyDescent="0.3">
      <c r="A394" s="4">
        <v>246156</v>
      </c>
      <c r="B394" t="s">
        <v>1371</v>
      </c>
      <c r="C394" t="s">
        <v>664</v>
      </c>
    </row>
    <row r="395" spans="1:3" x14ac:dyDescent="0.3">
      <c r="A395" s="3">
        <v>417744</v>
      </c>
      <c r="B395" t="s">
        <v>1371</v>
      </c>
      <c r="C395" t="s">
        <v>664</v>
      </c>
    </row>
    <row r="396" spans="1:3" x14ac:dyDescent="0.3">
      <c r="A396" s="4">
        <v>164543</v>
      </c>
      <c r="B396" t="s">
        <v>1371</v>
      </c>
      <c r="C396" t="s">
        <v>664</v>
      </c>
    </row>
    <row r="397" spans="1:3" x14ac:dyDescent="0.3">
      <c r="A397" s="3">
        <v>412589</v>
      </c>
      <c r="B397" t="s">
        <v>1371</v>
      </c>
      <c r="C397" t="s">
        <v>664</v>
      </c>
    </row>
    <row r="398" spans="1:3" x14ac:dyDescent="0.3">
      <c r="A398" s="3">
        <v>410978</v>
      </c>
      <c r="B398" t="s">
        <v>1371</v>
      </c>
      <c r="C398" t="s">
        <v>664</v>
      </c>
    </row>
    <row r="399" spans="1:3" x14ac:dyDescent="0.3">
      <c r="A399" s="4">
        <v>139921</v>
      </c>
      <c r="B399" t="s">
        <v>1371</v>
      </c>
      <c r="C399" t="s">
        <v>664</v>
      </c>
    </row>
    <row r="400" spans="1:3" x14ac:dyDescent="0.3">
      <c r="A400" s="3">
        <v>64492</v>
      </c>
      <c r="B400" t="s">
        <v>1371</v>
      </c>
      <c r="C400" t="s">
        <v>664</v>
      </c>
    </row>
    <row r="401" spans="1:3" x14ac:dyDescent="0.3">
      <c r="A401" s="3">
        <v>410416</v>
      </c>
      <c r="B401" t="s">
        <v>1371</v>
      </c>
      <c r="C401" t="s">
        <v>664</v>
      </c>
    </row>
    <row r="402" spans="1:3" x14ac:dyDescent="0.3">
      <c r="A402" s="4">
        <v>164547</v>
      </c>
      <c r="B402" t="s">
        <v>1371</v>
      </c>
      <c r="C402" t="s">
        <v>664</v>
      </c>
    </row>
    <row r="403" spans="1:3" x14ac:dyDescent="0.3">
      <c r="A403" s="3">
        <v>181715</v>
      </c>
      <c r="B403" t="s">
        <v>1371</v>
      </c>
      <c r="C403" t="s">
        <v>664</v>
      </c>
    </row>
    <row r="404" spans="1:3" x14ac:dyDescent="0.3">
      <c r="A404" s="4">
        <v>208068</v>
      </c>
      <c r="B404" t="s">
        <v>1371</v>
      </c>
      <c r="C404" t="s">
        <v>664</v>
      </c>
    </row>
    <row r="405" spans="1:3" x14ac:dyDescent="0.3">
      <c r="A405" s="4">
        <v>246895</v>
      </c>
      <c r="B405" t="s">
        <v>1371</v>
      </c>
      <c r="C405" t="s">
        <v>664</v>
      </c>
    </row>
    <row r="406" spans="1:3" x14ac:dyDescent="0.3">
      <c r="A406" s="3">
        <v>415308</v>
      </c>
      <c r="B406" t="s">
        <v>1371</v>
      </c>
      <c r="C406" t="s">
        <v>664</v>
      </c>
    </row>
    <row r="407" spans="1:3" x14ac:dyDescent="0.3">
      <c r="A407" s="4">
        <v>253211</v>
      </c>
      <c r="B407" t="s">
        <v>1371</v>
      </c>
      <c r="C407" t="s">
        <v>664</v>
      </c>
    </row>
    <row r="408" spans="1:3" x14ac:dyDescent="0.3">
      <c r="A408" s="3">
        <v>187801</v>
      </c>
      <c r="B408" t="s">
        <v>1371</v>
      </c>
      <c r="C408" t="s">
        <v>664</v>
      </c>
    </row>
    <row r="409" spans="1:3" x14ac:dyDescent="0.3">
      <c r="A409" s="4">
        <v>419293</v>
      </c>
      <c r="B409" t="s">
        <v>1371</v>
      </c>
      <c r="C409" t="s">
        <v>664</v>
      </c>
    </row>
    <row r="410" spans="1:3" x14ac:dyDescent="0.3">
      <c r="A410" s="3">
        <v>419380</v>
      </c>
      <c r="B410" t="s">
        <v>1371</v>
      </c>
      <c r="C410" t="s">
        <v>664</v>
      </c>
    </row>
    <row r="411" spans="1:3" x14ac:dyDescent="0.3">
      <c r="A411" s="3">
        <v>250259</v>
      </c>
      <c r="B411" t="s">
        <v>1371</v>
      </c>
      <c r="C411" t="s">
        <v>664</v>
      </c>
    </row>
    <row r="412" spans="1:3" x14ac:dyDescent="0.3">
      <c r="A412" s="3">
        <v>254664</v>
      </c>
      <c r="B412" t="s">
        <v>1371</v>
      </c>
      <c r="C412" t="s">
        <v>664</v>
      </c>
    </row>
    <row r="413" spans="1:3" x14ac:dyDescent="0.3">
      <c r="A413" s="4">
        <v>72115</v>
      </c>
      <c r="B413" t="s">
        <v>1371</v>
      </c>
      <c r="C413" t="s">
        <v>664</v>
      </c>
    </row>
    <row r="414" spans="1:3" x14ac:dyDescent="0.3">
      <c r="A414" s="3">
        <v>216811</v>
      </c>
      <c r="B414" t="s">
        <v>1371</v>
      </c>
      <c r="C414" t="s">
        <v>664</v>
      </c>
    </row>
    <row r="415" spans="1:3" x14ac:dyDescent="0.3">
      <c r="A415" s="4">
        <v>253210</v>
      </c>
      <c r="B415" t="s">
        <v>1371</v>
      </c>
      <c r="C415" t="s">
        <v>664</v>
      </c>
    </row>
    <row r="416" spans="1:3" x14ac:dyDescent="0.3">
      <c r="A416" s="3">
        <v>140099</v>
      </c>
      <c r="B416" t="s">
        <v>1371</v>
      </c>
      <c r="C416" t="s">
        <v>664</v>
      </c>
    </row>
    <row r="417" spans="1:3" x14ac:dyDescent="0.3">
      <c r="A417" s="3">
        <v>414772</v>
      </c>
      <c r="B417" t="s">
        <v>1371</v>
      </c>
      <c r="C417" t="s">
        <v>664</v>
      </c>
    </row>
    <row r="418" spans="1:3" x14ac:dyDescent="0.3">
      <c r="A418" s="3">
        <v>408026</v>
      </c>
      <c r="B418" t="s">
        <v>659</v>
      </c>
      <c r="C418" t="s">
        <v>664</v>
      </c>
    </row>
    <row r="419" spans="1:3" x14ac:dyDescent="0.3">
      <c r="A419" s="3">
        <v>402429</v>
      </c>
      <c r="B419" t="s">
        <v>744</v>
      </c>
      <c r="C419" t="s">
        <v>664</v>
      </c>
    </row>
    <row r="420" spans="1:3" x14ac:dyDescent="0.3">
      <c r="A420" s="3">
        <v>219482</v>
      </c>
      <c r="B420" t="s">
        <v>744</v>
      </c>
      <c r="C420" t="s">
        <v>664</v>
      </c>
    </row>
    <row r="421" spans="1:3" x14ac:dyDescent="0.3">
      <c r="A421" s="4">
        <v>236161</v>
      </c>
      <c r="B421" t="s">
        <v>744</v>
      </c>
      <c r="C421" t="s">
        <v>664</v>
      </c>
    </row>
    <row r="422" spans="1:3" x14ac:dyDescent="0.3">
      <c r="A422" s="3">
        <v>235004</v>
      </c>
      <c r="B422" t="s">
        <v>744</v>
      </c>
      <c r="C422" t="s">
        <v>664</v>
      </c>
    </row>
    <row r="423" spans="1:3" x14ac:dyDescent="0.3">
      <c r="A423" s="4">
        <v>410267</v>
      </c>
      <c r="B423" t="s">
        <v>744</v>
      </c>
      <c r="C423" t="s">
        <v>664</v>
      </c>
    </row>
    <row r="424" spans="1:3" x14ac:dyDescent="0.3">
      <c r="A424" s="3">
        <v>233330</v>
      </c>
      <c r="B424" t="s">
        <v>744</v>
      </c>
      <c r="C424" t="s">
        <v>664</v>
      </c>
    </row>
    <row r="425" spans="1:3" x14ac:dyDescent="0.3">
      <c r="A425" s="3">
        <v>171739</v>
      </c>
      <c r="B425" t="s">
        <v>1371</v>
      </c>
      <c r="C425" t="s">
        <v>664</v>
      </c>
    </row>
    <row r="426" spans="1:3" x14ac:dyDescent="0.3">
      <c r="A426" s="3">
        <v>164541</v>
      </c>
      <c r="B426" t="s">
        <v>1371</v>
      </c>
      <c r="C426" t="s">
        <v>664</v>
      </c>
    </row>
    <row r="427" spans="1:3" x14ac:dyDescent="0.3">
      <c r="A427" s="3">
        <v>232839</v>
      </c>
      <c r="B427" t="s">
        <v>743</v>
      </c>
      <c r="C427" t="s">
        <v>664</v>
      </c>
    </row>
    <row r="428" spans="1:3" x14ac:dyDescent="0.3">
      <c r="A428" s="4">
        <v>409902</v>
      </c>
      <c r="B428" t="s">
        <v>743</v>
      </c>
      <c r="C428" t="s">
        <v>664</v>
      </c>
    </row>
    <row r="429" spans="1:3" x14ac:dyDescent="0.3">
      <c r="A429" s="3">
        <v>416571</v>
      </c>
      <c r="B429" t="s">
        <v>1191</v>
      </c>
      <c r="C429" t="s">
        <v>664</v>
      </c>
    </row>
    <row r="430" spans="1:3" x14ac:dyDescent="0.3">
      <c r="A430" s="3">
        <v>408724</v>
      </c>
      <c r="B430" t="s">
        <v>699</v>
      </c>
      <c r="C430" t="s">
        <v>664</v>
      </c>
    </row>
    <row r="431" spans="1:3" x14ac:dyDescent="0.3">
      <c r="A431" s="3">
        <v>400400</v>
      </c>
      <c r="B431" t="s">
        <v>699</v>
      </c>
      <c r="C431" t="s">
        <v>664</v>
      </c>
    </row>
    <row r="432" spans="1:3" x14ac:dyDescent="0.3">
      <c r="A432" s="4">
        <v>205118</v>
      </c>
      <c r="B432" t="s">
        <v>699</v>
      </c>
      <c r="C432" t="s">
        <v>664</v>
      </c>
    </row>
    <row r="433" spans="1:3" x14ac:dyDescent="0.3">
      <c r="A433" s="3">
        <v>402415</v>
      </c>
      <c r="B433" t="s">
        <v>699</v>
      </c>
      <c r="C433" t="s">
        <v>664</v>
      </c>
    </row>
    <row r="434" spans="1:3" x14ac:dyDescent="0.3">
      <c r="A434" s="4">
        <v>45826</v>
      </c>
      <c r="B434" t="s">
        <v>699</v>
      </c>
      <c r="C434" t="s">
        <v>664</v>
      </c>
    </row>
    <row r="435" spans="1:3" x14ac:dyDescent="0.3">
      <c r="A435" s="3">
        <v>417413</v>
      </c>
      <c r="B435" t="s">
        <v>699</v>
      </c>
      <c r="C435" t="s">
        <v>664</v>
      </c>
    </row>
    <row r="436" spans="1:3" x14ac:dyDescent="0.3">
      <c r="A436" s="3">
        <v>158307</v>
      </c>
      <c r="B436" t="s">
        <v>743</v>
      </c>
      <c r="C436" t="s">
        <v>664</v>
      </c>
    </row>
    <row r="437" spans="1:3" x14ac:dyDescent="0.3">
      <c r="A437" s="3">
        <v>238141</v>
      </c>
      <c r="B437" t="s">
        <v>743</v>
      </c>
      <c r="C437" t="s">
        <v>664</v>
      </c>
    </row>
    <row r="438" spans="1:3" x14ac:dyDescent="0.3">
      <c r="A438" s="4">
        <v>247424</v>
      </c>
      <c r="B438" t="s">
        <v>743</v>
      </c>
      <c r="C438" t="s">
        <v>664</v>
      </c>
    </row>
    <row r="439" spans="1:3" x14ac:dyDescent="0.3">
      <c r="A439" s="3">
        <v>404287</v>
      </c>
      <c r="B439" t="s">
        <v>743</v>
      </c>
      <c r="C439" t="s">
        <v>664</v>
      </c>
    </row>
    <row r="440" spans="1:3" x14ac:dyDescent="0.3">
      <c r="A440" s="4">
        <v>227359</v>
      </c>
      <c r="B440" t="s">
        <v>743</v>
      </c>
      <c r="C440" t="s">
        <v>664</v>
      </c>
    </row>
    <row r="441" spans="1:3" x14ac:dyDescent="0.3">
      <c r="A441" s="3">
        <v>251025</v>
      </c>
      <c r="B441" t="s">
        <v>743</v>
      </c>
      <c r="C441" t="s">
        <v>664</v>
      </c>
    </row>
    <row r="442" spans="1:3" x14ac:dyDescent="0.3">
      <c r="A442" s="4">
        <v>412842</v>
      </c>
      <c r="B442" t="s">
        <v>743</v>
      </c>
      <c r="C442" t="s">
        <v>664</v>
      </c>
    </row>
    <row r="443" spans="1:3" x14ac:dyDescent="0.3">
      <c r="A443" s="3">
        <v>173044</v>
      </c>
      <c r="B443" t="s">
        <v>743</v>
      </c>
      <c r="C443" t="s">
        <v>664</v>
      </c>
    </row>
    <row r="444" spans="1:3" x14ac:dyDescent="0.3">
      <c r="A444" s="4">
        <v>155944</v>
      </c>
      <c r="B444" t="s">
        <v>743</v>
      </c>
      <c r="C444" t="s">
        <v>664</v>
      </c>
    </row>
    <row r="445" spans="1:3" x14ac:dyDescent="0.3">
      <c r="A445" s="3">
        <v>178342</v>
      </c>
      <c r="B445" t="s">
        <v>743</v>
      </c>
      <c r="C445" t="s">
        <v>664</v>
      </c>
    </row>
    <row r="446" spans="1:3" x14ac:dyDescent="0.3">
      <c r="A446" s="4">
        <v>225414</v>
      </c>
      <c r="B446" t="s">
        <v>743</v>
      </c>
      <c r="C446" t="s">
        <v>664</v>
      </c>
    </row>
    <row r="447" spans="1:3" x14ac:dyDescent="0.3">
      <c r="A447" s="3">
        <v>250714</v>
      </c>
      <c r="B447" t="s">
        <v>743</v>
      </c>
      <c r="C447" t="s">
        <v>664</v>
      </c>
    </row>
    <row r="448" spans="1:3" x14ac:dyDescent="0.3">
      <c r="A448" s="4">
        <v>203979</v>
      </c>
      <c r="B448" t="s">
        <v>743</v>
      </c>
      <c r="C448" t="s">
        <v>664</v>
      </c>
    </row>
    <row r="449" spans="1:3" x14ac:dyDescent="0.3">
      <c r="A449" s="3">
        <v>236129</v>
      </c>
      <c r="B449" t="s">
        <v>743</v>
      </c>
      <c r="C449" t="s">
        <v>664</v>
      </c>
    </row>
    <row r="450" spans="1:3" x14ac:dyDescent="0.3">
      <c r="A450" s="4">
        <v>45951</v>
      </c>
      <c r="B450" t="s">
        <v>743</v>
      </c>
      <c r="C450" t="s">
        <v>664</v>
      </c>
    </row>
    <row r="451" spans="1:3" x14ac:dyDescent="0.3">
      <c r="A451" s="3">
        <v>233308</v>
      </c>
      <c r="B451" t="s">
        <v>743</v>
      </c>
      <c r="C451" t="s">
        <v>664</v>
      </c>
    </row>
    <row r="452" spans="1:3" x14ac:dyDescent="0.3">
      <c r="A452" s="3">
        <v>64347</v>
      </c>
      <c r="B452" t="s">
        <v>743</v>
      </c>
      <c r="C452" t="s">
        <v>664</v>
      </c>
    </row>
    <row r="453" spans="1:3" x14ac:dyDescent="0.3">
      <c r="A453" s="4">
        <v>407686</v>
      </c>
      <c r="B453" t="s">
        <v>743</v>
      </c>
      <c r="C453" t="s">
        <v>664</v>
      </c>
    </row>
    <row r="454" spans="1:3" x14ac:dyDescent="0.3">
      <c r="A454" s="4">
        <v>222910</v>
      </c>
      <c r="B454" t="s">
        <v>743</v>
      </c>
      <c r="C454" t="s">
        <v>664</v>
      </c>
    </row>
    <row r="455" spans="1:3" x14ac:dyDescent="0.3">
      <c r="A455" s="3">
        <v>177401</v>
      </c>
      <c r="B455" t="s">
        <v>743</v>
      </c>
      <c r="C455" t="s">
        <v>664</v>
      </c>
    </row>
    <row r="456" spans="1:3" x14ac:dyDescent="0.3">
      <c r="A456" s="4">
        <v>403349</v>
      </c>
      <c r="B456" t="s">
        <v>743</v>
      </c>
      <c r="C456" t="s">
        <v>664</v>
      </c>
    </row>
    <row r="457" spans="1:3" x14ac:dyDescent="0.3">
      <c r="A457" s="3">
        <v>238767</v>
      </c>
      <c r="B457" t="s">
        <v>658</v>
      </c>
      <c r="C457" t="s">
        <v>664</v>
      </c>
    </row>
    <row r="458" spans="1:3" x14ac:dyDescent="0.3">
      <c r="A458" s="4">
        <v>217417</v>
      </c>
      <c r="B458" t="s">
        <v>658</v>
      </c>
      <c r="C458" t="s">
        <v>664</v>
      </c>
    </row>
    <row r="459" spans="1:3" x14ac:dyDescent="0.3">
      <c r="A459" s="4">
        <v>417428</v>
      </c>
      <c r="B459" t="s">
        <v>661</v>
      </c>
      <c r="C459" t="s">
        <v>664</v>
      </c>
    </row>
    <row r="460" spans="1:3" x14ac:dyDescent="0.3">
      <c r="A460" s="3">
        <v>416266</v>
      </c>
      <c r="B460" t="s">
        <v>661</v>
      </c>
      <c r="C460" t="s">
        <v>664</v>
      </c>
    </row>
    <row r="461" spans="1:3" x14ac:dyDescent="0.3">
      <c r="A461" s="3">
        <v>417817</v>
      </c>
      <c r="B461" t="s">
        <v>1191</v>
      </c>
      <c r="C461" t="s">
        <v>664</v>
      </c>
    </row>
    <row r="462" spans="1:3" x14ac:dyDescent="0.3">
      <c r="A462" s="3">
        <v>217610</v>
      </c>
      <c r="B462" t="s">
        <v>1191</v>
      </c>
      <c r="C462" t="s">
        <v>664</v>
      </c>
    </row>
    <row r="463" spans="1:3" x14ac:dyDescent="0.3">
      <c r="A463" s="4">
        <v>413675</v>
      </c>
      <c r="B463" t="s">
        <v>1191</v>
      </c>
      <c r="C463" t="s">
        <v>664</v>
      </c>
    </row>
    <row r="464" spans="1:3" x14ac:dyDescent="0.3">
      <c r="A464" s="3">
        <v>402421</v>
      </c>
      <c r="B464" t="s">
        <v>1191</v>
      </c>
      <c r="C464" t="s">
        <v>664</v>
      </c>
    </row>
    <row r="465" spans="1:3" x14ac:dyDescent="0.3">
      <c r="A465" s="4">
        <v>250668</v>
      </c>
      <c r="B465" t="s">
        <v>1191</v>
      </c>
      <c r="C465" t="s">
        <v>664</v>
      </c>
    </row>
    <row r="466" spans="1:3" x14ac:dyDescent="0.3">
      <c r="A466" s="3">
        <v>226084</v>
      </c>
      <c r="B466" t="s">
        <v>660</v>
      </c>
      <c r="C466" t="s">
        <v>664</v>
      </c>
    </row>
    <row r="467" spans="1:3" x14ac:dyDescent="0.3">
      <c r="A467" s="4">
        <v>144027</v>
      </c>
      <c r="B467" t="s">
        <v>660</v>
      </c>
      <c r="C467" t="s">
        <v>664</v>
      </c>
    </row>
    <row r="468" spans="1:3" x14ac:dyDescent="0.3">
      <c r="A468" s="3">
        <v>54248</v>
      </c>
      <c r="B468" t="s">
        <v>660</v>
      </c>
      <c r="C468" t="s">
        <v>664</v>
      </c>
    </row>
    <row r="469" spans="1:3" x14ac:dyDescent="0.3">
      <c r="A469" s="3">
        <v>172728</v>
      </c>
      <c r="B469" t="s">
        <v>660</v>
      </c>
      <c r="C469" t="s">
        <v>664</v>
      </c>
    </row>
    <row r="470" spans="1:3" x14ac:dyDescent="0.3">
      <c r="A470" s="3">
        <v>404007</v>
      </c>
      <c r="B470" t="s">
        <v>660</v>
      </c>
      <c r="C470" t="s">
        <v>664</v>
      </c>
    </row>
    <row r="471" spans="1:3" x14ac:dyDescent="0.3">
      <c r="A471" s="4">
        <v>413330</v>
      </c>
      <c r="B471" t="s">
        <v>660</v>
      </c>
      <c r="C471" t="s">
        <v>664</v>
      </c>
    </row>
    <row r="472" spans="1:3" x14ac:dyDescent="0.3">
      <c r="A472" s="4">
        <v>414321</v>
      </c>
      <c r="B472" t="s">
        <v>660</v>
      </c>
      <c r="C472" t="s">
        <v>664</v>
      </c>
    </row>
    <row r="473" spans="1:3" x14ac:dyDescent="0.3">
      <c r="A473" s="3">
        <v>120491</v>
      </c>
      <c r="B473" t="s">
        <v>660</v>
      </c>
      <c r="C473" t="s">
        <v>664</v>
      </c>
    </row>
    <row r="474" spans="1:3" x14ac:dyDescent="0.3">
      <c r="A474" s="4">
        <v>418154</v>
      </c>
      <c r="B474" t="s">
        <v>660</v>
      </c>
      <c r="C474" t="s">
        <v>664</v>
      </c>
    </row>
    <row r="475" spans="1:3" x14ac:dyDescent="0.3">
      <c r="A475" s="3">
        <v>67009</v>
      </c>
      <c r="B475" t="s">
        <v>660</v>
      </c>
      <c r="C475" t="s">
        <v>664</v>
      </c>
    </row>
    <row r="476" spans="1:3" x14ac:dyDescent="0.3">
      <c r="A476" s="3">
        <v>418276</v>
      </c>
      <c r="B476" t="s">
        <v>658</v>
      </c>
      <c r="C476" t="s">
        <v>664</v>
      </c>
    </row>
    <row r="477" spans="1:3" x14ac:dyDescent="0.3">
      <c r="A477" s="3">
        <v>412503</v>
      </c>
      <c r="B477" t="s">
        <v>742</v>
      </c>
      <c r="C477" t="s">
        <v>664</v>
      </c>
    </row>
    <row r="478" spans="1:3" x14ac:dyDescent="0.3">
      <c r="A478" s="4">
        <v>233356</v>
      </c>
      <c r="B478" t="s">
        <v>742</v>
      </c>
      <c r="C478" t="s">
        <v>664</v>
      </c>
    </row>
    <row r="479" spans="1:3" x14ac:dyDescent="0.3">
      <c r="A479" s="3">
        <v>250301</v>
      </c>
      <c r="B479" t="s">
        <v>742</v>
      </c>
      <c r="C479" t="s">
        <v>664</v>
      </c>
    </row>
    <row r="480" spans="1:3" x14ac:dyDescent="0.3">
      <c r="A480" s="4">
        <v>400385</v>
      </c>
      <c r="B480" t="s">
        <v>742</v>
      </c>
      <c r="C480" t="s">
        <v>664</v>
      </c>
    </row>
    <row r="481" spans="1:3" x14ac:dyDescent="0.3">
      <c r="A481" s="3">
        <v>407034</v>
      </c>
      <c r="B481" t="s">
        <v>742</v>
      </c>
      <c r="C481" t="s">
        <v>664</v>
      </c>
    </row>
    <row r="482" spans="1:3" x14ac:dyDescent="0.3">
      <c r="A482" s="4">
        <v>203968</v>
      </c>
      <c r="B482" t="s">
        <v>742</v>
      </c>
      <c r="C482" t="s">
        <v>664</v>
      </c>
    </row>
    <row r="483" spans="1:3" x14ac:dyDescent="0.3">
      <c r="A483" s="3">
        <v>246995</v>
      </c>
      <c r="B483" t="s">
        <v>742</v>
      </c>
      <c r="C483" t="s">
        <v>664</v>
      </c>
    </row>
    <row r="484" spans="1:3" x14ac:dyDescent="0.3">
      <c r="A484" s="4">
        <v>222885</v>
      </c>
      <c r="B484" t="s">
        <v>742</v>
      </c>
      <c r="C484" t="s">
        <v>664</v>
      </c>
    </row>
    <row r="485" spans="1:3" x14ac:dyDescent="0.3">
      <c r="A485" s="3">
        <v>202570</v>
      </c>
      <c r="B485" t="s">
        <v>742</v>
      </c>
      <c r="C485" t="s">
        <v>664</v>
      </c>
    </row>
    <row r="486" spans="1:3" x14ac:dyDescent="0.3">
      <c r="A486" s="3">
        <v>411269</v>
      </c>
      <c r="B486" t="s">
        <v>742</v>
      </c>
      <c r="C486" t="s">
        <v>664</v>
      </c>
    </row>
    <row r="487" spans="1:3" x14ac:dyDescent="0.3">
      <c r="A487" s="3">
        <v>246799</v>
      </c>
      <c r="B487" t="s">
        <v>742</v>
      </c>
      <c r="C487" t="s">
        <v>664</v>
      </c>
    </row>
    <row r="488" spans="1:3" x14ac:dyDescent="0.3">
      <c r="A488" s="4">
        <v>411573</v>
      </c>
      <c r="B488" t="s">
        <v>742</v>
      </c>
      <c r="C488" t="s">
        <v>664</v>
      </c>
    </row>
    <row r="489" spans="1:3" x14ac:dyDescent="0.3">
      <c r="A489" s="3">
        <v>121489</v>
      </c>
      <c r="B489" t="s">
        <v>742</v>
      </c>
      <c r="C489" t="s">
        <v>664</v>
      </c>
    </row>
    <row r="490" spans="1:3" x14ac:dyDescent="0.3">
      <c r="A490" s="4">
        <v>250394</v>
      </c>
      <c r="B490" t="s">
        <v>742</v>
      </c>
      <c r="C490" t="s">
        <v>664</v>
      </c>
    </row>
    <row r="491" spans="1:3" x14ac:dyDescent="0.3">
      <c r="A491" s="3">
        <v>169483</v>
      </c>
      <c r="B491" t="s">
        <v>742</v>
      </c>
      <c r="C491" t="s">
        <v>664</v>
      </c>
    </row>
    <row r="492" spans="1:3" x14ac:dyDescent="0.3">
      <c r="A492" s="4">
        <v>246816</v>
      </c>
      <c r="B492" t="s">
        <v>742</v>
      </c>
      <c r="C492" t="s">
        <v>664</v>
      </c>
    </row>
    <row r="493" spans="1:3" x14ac:dyDescent="0.3">
      <c r="A493" s="3">
        <v>149414</v>
      </c>
      <c r="B493" t="s">
        <v>742</v>
      </c>
      <c r="C493" t="s">
        <v>664</v>
      </c>
    </row>
    <row r="494" spans="1:3" x14ac:dyDescent="0.3">
      <c r="A494" s="4">
        <v>176960</v>
      </c>
      <c r="B494" t="s">
        <v>742</v>
      </c>
      <c r="C494" t="s">
        <v>664</v>
      </c>
    </row>
    <row r="495" spans="1:3" x14ac:dyDescent="0.3">
      <c r="A495" s="3">
        <v>251915</v>
      </c>
      <c r="B495" t="s">
        <v>742</v>
      </c>
      <c r="C495" t="s">
        <v>664</v>
      </c>
    </row>
    <row r="496" spans="1:3" x14ac:dyDescent="0.3">
      <c r="A496" s="3">
        <v>186385</v>
      </c>
      <c r="B496" t="s">
        <v>743</v>
      </c>
      <c r="C496" t="s">
        <v>664</v>
      </c>
    </row>
    <row r="497" spans="1:3" x14ac:dyDescent="0.3">
      <c r="A497" s="3">
        <v>225974</v>
      </c>
      <c r="B497" t="s">
        <v>658</v>
      </c>
      <c r="C497" t="s">
        <v>664</v>
      </c>
    </row>
    <row r="498" spans="1:3" x14ac:dyDescent="0.3">
      <c r="A498" s="3">
        <v>414810</v>
      </c>
      <c r="B498" t="s">
        <v>658</v>
      </c>
      <c r="C498" t="s">
        <v>664</v>
      </c>
    </row>
    <row r="499" spans="1:3" x14ac:dyDescent="0.3">
      <c r="A499" s="4">
        <v>250747</v>
      </c>
      <c r="B499" t="s">
        <v>658</v>
      </c>
      <c r="C499" t="s">
        <v>664</v>
      </c>
    </row>
    <row r="500" spans="1:3" x14ac:dyDescent="0.3">
      <c r="A500" s="3">
        <v>416501</v>
      </c>
      <c r="B500" t="s">
        <v>661</v>
      </c>
      <c r="C500" t="s">
        <v>664</v>
      </c>
    </row>
    <row r="501" spans="1:3" x14ac:dyDescent="0.3">
      <c r="A501" s="3">
        <v>412646</v>
      </c>
      <c r="B501" t="s">
        <v>661</v>
      </c>
      <c r="C501" t="s">
        <v>664</v>
      </c>
    </row>
    <row r="502" spans="1:3" x14ac:dyDescent="0.3">
      <c r="A502" s="4">
        <v>418156</v>
      </c>
      <c r="B502" t="s">
        <v>661</v>
      </c>
      <c r="C502" t="s">
        <v>664</v>
      </c>
    </row>
    <row r="503" spans="1:3" x14ac:dyDescent="0.3">
      <c r="A503" s="4">
        <v>409921</v>
      </c>
      <c r="B503" t="s">
        <v>661</v>
      </c>
      <c r="C503" t="s">
        <v>664</v>
      </c>
    </row>
    <row r="504" spans="1:3" x14ac:dyDescent="0.3">
      <c r="A504" s="3">
        <v>405213</v>
      </c>
      <c r="B504" t="s">
        <v>661</v>
      </c>
      <c r="C504" t="s">
        <v>664</v>
      </c>
    </row>
    <row r="505" spans="1:3" x14ac:dyDescent="0.3">
      <c r="A505" s="4">
        <v>415457</v>
      </c>
      <c r="B505" t="s">
        <v>661</v>
      </c>
      <c r="C505" t="s">
        <v>664</v>
      </c>
    </row>
    <row r="506" spans="1:3" x14ac:dyDescent="0.3">
      <c r="A506" s="3">
        <v>418491</v>
      </c>
      <c r="B506" t="s">
        <v>661</v>
      </c>
      <c r="C506" t="s">
        <v>664</v>
      </c>
    </row>
    <row r="507" spans="1:3" x14ac:dyDescent="0.3">
      <c r="A507" s="3">
        <v>178057</v>
      </c>
      <c r="B507" t="s">
        <v>744</v>
      </c>
      <c r="C507" t="s">
        <v>664</v>
      </c>
    </row>
    <row r="508" spans="1:3" x14ac:dyDescent="0.3">
      <c r="A508" s="3">
        <v>236326</v>
      </c>
      <c r="B508" t="s">
        <v>699</v>
      </c>
      <c r="C508" t="s">
        <v>664</v>
      </c>
    </row>
    <row r="509" spans="1:3" x14ac:dyDescent="0.3">
      <c r="A509" s="4">
        <v>147446</v>
      </c>
      <c r="B509" t="s">
        <v>699</v>
      </c>
      <c r="C509" t="s">
        <v>664</v>
      </c>
    </row>
    <row r="510" spans="1:3" x14ac:dyDescent="0.3">
      <c r="A510" s="3">
        <v>234457</v>
      </c>
      <c r="B510" t="s">
        <v>699</v>
      </c>
      <c r="C510" t="s">
        <v>664</v>
      </c>
    </row>
    <row r="511" spans="1:3" x14ac:dyDescent="0.3">
      <c r="A511" s="4">
        <v>410457</v>
      </c>
      <c r="B511" t="s">
        <v>699</v>
      </c>
      <c r="C511" t="s">
        <v>664</v>
      </c>
    </row>
    <row r="512" spans="1:3" x14ac:dyDescent="0.3">
      <c r="A512" s="3">
        <v>419441</v>
      </c>
      <c r="B512" t="s">
        <v>699</v>
      </c>
      <c r="C512" t="s">
        <v>664</v>
      </c>
    </row>
    <row r="513" spans="1:3" x14ac:dyDescent="0.3">
      <c r="A513" s="4">
        <v>254773</v>
      </c>
      <c r="B513" t="s">
        <v>699</v>
      </c>
      <c r="C513" t="s">
        <v>664</v>
      </c>
    </row>
    <row r="514" spans="1:3" x14ac:dyDescent="0.3">
      <c r="A514" s="3">
        <v>181443</v>
      </c>
      <c r="B514" t="s">
        <v>743</v>
      </c>
      <c r="C514" t="s">
        <v>664</v>
      </c>
    </row>
    <row r="515" spans="1:3" x14ac:dyDescent="0.3">
      <c r="A515" s="4">
        <v>231654</v>
      </c>
      <c r="B515" t="s">
        <v>743</v>
      </c>
      <c r="C515" t="s">
        <v>664</v>
      </c>
    </row>
    <row r="516" spans="1:3" x14ac:dyDescent="0.3">
      <c r="A516" s="3">
        <v>187219</v>
      </c>
      <c r="B516" t="s">
        <v>743</v>
      </c>
      <c r="C516" t="s">
        <v>664</v>
      </c>
    </row>
    <row r="517" spans="1:3" x14ac:dyDescent="0.3">
      <c r="A517" s="4">
        <v>201339</v>
      </c>
      <c r="B517" t="s">
        <v>743</v>
      </c>
      <c r="C517" t="s">
        <v>664</v>
      </c>
    </row>
    <row r="518" spans="1:3" x14ac:dyDescent="0.3">
      <c r="A518" s="3">
        <v>400150</v>
      </c>
      <c r="B518" t="s">
        <v>743</v>
      </c>
      <c r="C518" t="s">
        <v>664</v>
      </c>
    </row>
    <row r="519" spans="1:3" x14ac:dyDescent="0.3">
      <c r="A519" s="4">
        <v>219247</v>
      </c>
      <c r="B519" t="s">
        <v>743</v>
      </c>
      <c r="C519" t="s">
        <v>664</v>
      </c>
    </row>
    <row r="520" spans="1:3" x14ac:dyDescent="0.3">
      <c r="A520" s="3">
        <v>181247</v>
      </c>
      <c r="B520" t="s">
        <v>743</v>
      </c>
      <c r="C520" t="s">
        <v>664</v>
      </c>
    </row>
    <row r="521" spans="1:3" x14ac:dyDescent="0.3">
      <c r="A521" s="3">
        <v>47425</v>
      </c>
      <c r="B521" t="s">
        <v>1191</v>
      </c>
      <c r="C521" t="s">
        <v>664</v>
      </c>
    </row>
    <row r="522" spans="1:3" x14ac:dyDescent="0.3">
      <c r="A522" s="3">
        <v>100129</v>
      </c>
      <c r="B522" t="s">
        <v>1191</v>
      </c>
      <c r="C522" t="s">
        <v>664</v>
      </c>
    </row>
    <row r="523" spans="1:3" x14ac:dyDescent="0.3">
      <c r="A523" s="3">
        <v>159728</v>
      </c>
      <c r="B523" t="s">
        <v>1191</v>
      </c>
      <c r="C523" t="s">
        <v>664</v>
      </c>
    </row>
    <row r="524" spans="1:3" x14ac:dyDescent="0.3">
      <c r="A524" s="4">
        <v>415629</v>
      </c>
      <c r="B524" t="s">
        <v>1191</v>
      </c>
      <c r="C524" t="s">
        <v>664</v>
      </c>
    </row>
    <row r="525" spans="1:3" x14ac:dyDescent="0.3">
      <c r="A525" s="3">
        <v>244442</v>
      </c>
      <c r="B525" t="s">
        <v>1191</v>
      </c>
      <c r="C525" t="s">
        <v>664</v>
      </c>
    </row>
    <row r="526" spans="1:3" x14ac:dyDescent="0.3">
      <c r="A526" s="4">
        <v>140073</v>
      </c>
      <c r="B526" t="s">
        <v>1191</v>
      </c>
      <c r="C526" t="s">
        <v>664</v>
      </c>
    </row>
    <row r="527" spans="1:3" x14ac:dyDescent="0.3">
      <c r="A527" s="3">
        <v>247007</v>
      </c>
      <c r="B527" t="s">
        <v>1191</v>
      </c>
      <c r="C527" t="s">
        <v>664</v>
      </c>
    </row>
    <row r="528" spans="1:3" x14ac:dyDescent="0.3">
      <c r="A528" s="4">
        <v>244617</v>
      </c>
      <c r="B528" t="s">
        <v>1191</v>
      </c>
      <c r="C528" t="s">
        <v>664</v>
      </c>
    </row>
    <row r="529" spans="1:3" x14ac:dyDescent="0.3">
      <c r="A529" s="3">
        <v>415340</v>
      </c>
      <c r="B529" t="s">
        <v>658</v>
      </c>
      <c r="C529" t="s">
        <v>664</v>
      </c>
    </row>
    <row r="530" spans="1:3" x14ac:dyDescent="0.3">
      <c r="A530" s="4">
        <v>405262</v>
      </c>
      <c r="B530" t="s">
        <v>699</v>
      </c>
      <c r="C530" t="s">
        <v>664</v>
      </c>
    </row>
    <row r="531" spans="1:3" x14ac:dyDescent="0.3">
      <c r="A531" s="3">
        <v>419599</v>
      </c>
      <c r="B531" t="s">
        <v>659</v>
      </c>
      <c r="C531" t="s">
        <v>664</v>
      </c>
    </row>
    <row r="532" spans="1:3" x14ac:dyDescent="0.3">
      <c r="A532" s="3">
        <v>418140</v>
      </c>
      <c r="B532" t="s">
        <v>1371</v>
      </c>
      <c r="C532" t="s">
        <v>664</v>
      </c>
    </row>
    <row r="533" spans="1:3" x14ac:dyDescent="0.3">
      <c r="A533" s="3">
        <v>419928</v>
      </c>
      <c r="B533" t="s">
        <v>658</v>
      </c>
      <c r="C533" t="s">
        <v>664</v>
      </c>
    </row>
    <row r="534" spans="1:3" x14ac:dyDescent="0.3">
      <c r="A534" s="3">
        <v>419855</v>
      </c>
      <c r="B534" t="s">
        <v>661</v>
      </c>
      <c r="C534" t="s">
        <v>664</v>
      </c>
    </row>
    <row r="535" spans="1:3" x14ac:dyDescent="0.3">
      <c r="A535" s="4">
        <v>420055</v>
      </c>
      <c r="B535" t="s">
        <v>661</v>
      </c>
      <c r="C535" t="s">
        <v>664</v>
      </c>
    </row>
    <row r="536" spans="1:3" x14ac:dyDescent="0.3">
      <c r="A536" s="3">
        <v>419929</v>
      </c>
      <c r="B536" t="s">
        <v>658</v>
      </c>
      <c r="C536" t="s">
        <v>664</v>
      </c>
    </row>
    <row r="537" spans="1:3" x14ac:dyDescent="0.3">
      <c r="A537" s="3">
        <v>419833</v>
      </c>
      <c r="B537" t="s">
        <v>1191</v>
      </c>
      <c r="C537" t="s">
        <v>664</v>
      </c>
    </row>
    <row r="538" spans="1:3" x14ac:dyDescent="0.3">
      <c r="A538" s="4">
        <v>420195</v>
      </c>
      <c r="B538" t="s">
        <v>1191</v>
      </c>
      <c r="C538" t="s">
        <v>664</v>
      </c>
    </row>
    <row r="539" spans="1:3" x14ac:dyDescent="0.3">
      <c r="A539" s="3">
        <v>419816</v>
      </c>
      <c r="B539" t="s">
        <v>660</v>
      </c>
      <c r="C539" t="s">
        <v>664</v>
      </c>
    </row>
    <row r="540" spans="1:3" x14ac:dyDescent="0.3">
      <c r="A540" s="4">
        <v>420262</v>
      </c>
      <c r="B540" t="s">
        <v>660</v>
      </c>
      <c r="C540" t="s">
        <v>664</v>
      </c>
    </row>
    <row r="541" spans="1:3" x14ac:dyDescent="0.3">
      <c r="A541" s="3">
        <v>403515</v>
      </c>
      <c r="B541" t="s">
        <v>660</v>
      </c>
      <c r="C541" t="s">
        <v>664</v>
      </c>
    </row>
    <row r="542" spans="1:3" x14ac:dyDescent="0.3">
      <c r="A542" s="3">
        <v>419800</v>
      </c>
      <c r="B542" t="s">
        <v>742</v>
      </c>
      <c r="C542" t="s">
        <v>664</v>
      </c>
    </row>
    <row r="543" spans="1:3" x14ac:dyDescent="0.3">
      <c r="A543" s="4">
        <v>417648</v>
      </c>
      <c r="B543" t="s">
        <v>742</v>
      </c>
      <c r="C543" t="s">
        <v>664</v>
      </c>
    </row>
    <row r="544" spans="1:3" x14ac:dyDescent="0.3">
      <c r="A544" s="3">
        <v>420122</v>
      </c>
      <c r="B544" t="s">
        <v>742</v>
      </c>
      <c r="C544" t="s">
        <v>664</v>
      </c>
    </row>
    <row r="545" spans="1:3" x14ac:dyDescent="0.3">
      <c r="A545" s="3">
        <v>253095</v>
      </c>
      <c r="B545" t="s">
        <v>659</v>
      </c>
      <c r="C545" t="s">
        <v>664</v>
      </c>
    </row>
    <row r="546" spans="1:3" x14ac:dyDescent="0.3">
      <c r="A546" s="3">
        <v>243054</v>
      </c>
      <c r="B546" t="s">
        <v>743</v>
      </c>
      <c r="C546" t="s">
        <v>664</v>
      </c>
    </row>
    <row r="547" spans="1:3" x14ac:dyDescent="0.3">
      <c r="A547" s="3">
        <v>420114</v>
      </c>
      <c r="B547" t="s">
        <v>658</v>
      </c>
      <c r="C547" t="s">
        <v>664</v>
      </c>
    </row>
    <row r="548" spans="1:3" x14ac:dyDescent="0.3">
      <c r="A548" s="4">
        <v>420344</v>
      </c>
      <c r="B548" t="s">
        <v>661</v>
      </c>
      <c r="C548" t="s">
        <v>664</v>
      </c>
    </row>
    <row r="549" spans="1:3" x14ac:dyDescent="0.3">
      <c r="A549" s="3">
        <v>419794</v>
      </c>
      <c r="B549" t="s">
        <v>661</v>
      </c>
      <c r="C549" t="s">
        <v>664</v>
      </c>
    </row>
    <row r="550" spans="1:3" x14ac:dyDescent="0.3">
      <c r="A550" s="3">
        <v>419999</v>
      </c>
      <c r="B550" t="s">
        <v>699</v>
      </c>
      <c r="C550" t="s">
        <v>664</v>
      </c>
    </row>
    <row r="551" spans="1:3" x14ac:dyDescent="0.3">
      <c r="A551" s="3">
        <v>419906</v>
      </c>
      <c r="B551" t="s">
        <v>1191</v>
      </c>
      <c r="C551" t="s">
        <v>664</v>
      </c>
    </row>
    <row r="552" spans="1:3" x14ac:dyDescent="0.3">
      <c r="A552" s="3">
        <v>411102</v>
      </c>
      <c r="B552" t="s">
        <v>1191</v>
      </c>
      <c r="C552" t="s">
        <v>664</v>
      </c>
    </row>
    <row r="553" spans="1:3" x14ac:dyDescent="0.3">
      <c r="A553" s="3">
        <v>420073</v>
      </c>
      <c r="B553" t="s">
        <v>1191</v>
      </c>
      <c r="C553" t="s">
        <v>664</v>
      </c>
    </row>
    <row r="554" spans="1:3" x14ac:dyDescent="0.3">
      <c r="A554" s="3">
        <v>72163</v>
      </c>
      <c r="B554" t="s">
        <v>1371</v>
      </c>
      <c r="C554" t="s">
        <v>664</v>
      </c>
    </row>
    <row r="555" spans="1:3" x14ac:dyDescent="0.3">
      <c r="A555" s="4">
        <v>70928</v>
      </c>
      <c r="B555" t="s">
        <v>1371</v>
      </c>
      <c r="C555" t="s">
        <v>664</v>
      </c>
    </row>
    <row r="556" spans="1:3" x14ac:dyDescent="0.3">
      <c r="A556" s="3">
        <v>419776</v>
      </c>
      <c r="B556" t="s">
        <v>1371</v>
      </c>
      <c r="C556" t="s">
        <v>664</v>
      </c>
    </row>
    <row r="557" spans="1:3" x14ac:dyDescent="0.3">
      <c r="A557" s="3">
        <v>419826</v>
      </c>
      <c r="B557" t="s">
        <v>660</v>
      </c>
      <c r="C557" t="s">
        <v>664</v>
      </c>
    </row>
    <row r="558" spans="1:3" x14ac:dyDescent="0.3">
      <c r="A558" s="3">
        <v>420038</v>
      </c>
      <c r="B558" t="s">
        <v>1371</v>
      </c>
      <c r="C558" t="s">
        <v>664</v>
      </c>
    </row>
    <row r="559" spans="1:3" x14ac:dyDescent="0.3">
      <c r="A559" s="3">
        <v>412747</v>
      </c>
      <c r="B559" t="s">
        <v>699</v>
      </c>
      <c r="C559" t="s">
        <v>664</v>
      </c>
    </row>
    <row r="560" spans="1:3" x14ac:dyDescent="0.3">
      <c r="A560" s="4">
        <v>420274</v>
      </c>
      <c r="B560" t="s">
        <v>699</v>
      </c>
      <c r="C560" t="s">
        <v>664</v>
      </c>
    </row>
    <row r="561" spans="1:3" x14ac:dyDescent="0.3">
      <c r="A561" s="3">
        <v>420354</v>
      </c>
      <c r="B561" t="s">
        <v>661</v>
      </c>
      <c r="C561" t="s">
        <v>664</v>
      </c>
    </row>
    <row r="562" spans="1:3" x14ac:dyDescent="0.3">
      <c r="A562" s="3">
        <v>415746</v>
      </c>
      <c r="B562" t="s">
        <v>699</v>
      </c>
      <c r="C562" t="s">
        <v>664</v>
      </c>
    </row>
    <row r="563" spans="1:3" x14ac:dyDescent="0.3">
      <c r="A563" s="3">
        <v>420264</v>
      </c>
      <c r="B563" t="s">
        <v>1371</v>
      </c>
      <c r="C563" t="s">
        <v>664</v>
      </c>
    </row>
    <row r="564" spans="1:3" x14ac:dyDescent="0.3">
      <c r="A564" s="4">
        <v>416771</v>
      </c>
      <c r="B564" t="s">
        <v>1371</v>
      </c>
      <c r="C564" t="s">
        <v>664</v>
      </c>
    </row>
    <row r="565" spans="1:3" x14ac:dyDescent="0.3">
      <c r="A565" s="3">
        <v>420272</v>
      </c>
      <c r="B565" t="s">
        <v>1371</v>
      </c>
      <c r="C565" t="s">
        <v>664</v>
      </c>
    </row>
    <row r="566" spans="1:3" x14ac:dyDescent="0.3">
      <c r="A566" s="3">
        <v>249378</v>
      </c>
      <c r="B566" t="s">
        <v>1371</v>
      </c>
      <c r="C566" t="s">
        <v>664</v>
      </c>
    </row>
    <row r="567" spans="1:3" x14ac:dyDescent="0.3">
      <c r="A567" s="4">
        <v>421680</v>
      </c>
      <c r="B567" t="s">
        <v>1191</v>
      </c>
      <c r="C567" t="s">
        <v>664</v>
      </c>
    </row>
    <row r="568" spans="1:3" x14ac:dyDescent="0.3">
      <c r="A568" s="3">
        <v>177515</v>
      </c>
      <c r="B568" t="s">
        <v>1371</v>
      </c>
      <c r="C568" t="s">
        <v>664</v>
      </c>
    </row>
    <row r="569" spans="1:3" x14ac:dyDescent="0.3">
      <c r="A569" s="4">
        <v>179100</v>
      </c>
      <c r="B569" t="s">
        <v>1371</v>
      </c>
      <c r="C569" t="s">
        <v>664</v>
      </c>
    </row>
    <row r="570" spans="1:3" x14ac:dyDescent="0.3">
      <c r="A570" s="3">
        <v>253212</v>
      </c>
      <c r="B570" t="s">
        <v>1371</v>
      </c>
      <c r="C570" t="s">
        <v>664</v>
      </c>
    </row>
    <row r="571" spans="1:3" x14ac:dyDescent="0.3">
      <c r="A571" s="3">
        <v>414559</v>
      </c>
      <c r="B571" t="s">
        <v>1371</v>
      </c>
      <c r="C571" t="s">
        <v>664</v>
      </c>
    </row>
    <row r="572" spans="1:3" x14ac:dyDescent="0.3">
      <c r="A572" s="3">
        <v>406184</v>
      </c>
      <c r="B572" t="s">
        <v>742</v>
      </c>
      <c r="C572" t="s">
        <v>664</v>
      </c>
    </row>
    <row r="573" spans="1:3" x14ac:dyDescent="0.3">
      <c r="A573" s="3">
        <v>84573</v>
      </c>
      <c r="B573" t="s">
        <v>659</v>
      </c>
      <c r="C573" t="s">
        <v>664</v>
      </c>
    </row>
    <row r="574" spans="1:3" x14ac:dyDescent="0.3">
      <c r="A574" s="4">
        <v>84575</v>
      </c>
      <c r="B574" t="s">
        <v>659</v>
      </c>
      <c r="C574" t="s">
        <v>664</v>
      </c>
    </row>
    <row r="575" spans="1:3" x14ac:dyDescent="0.3">
      <c r="A575" s="3">
        <v>167016</v>
      </c>
      <c r="B575" t="s">
        <v>659</v>
      </c>
      <c r="C575" t="s">
        <v>664</v>
      </c>
    </row>
    <row r="576" spans="1:3" x14ac:dyDescent="0.3">
      <c r="A576" s="4">
        <v>172524</v>
      </c>
      <c r="B576" t="s">
        <v>659</v>
      </c>
      <c r="C576" t="s">
        <v>664</v>
      </c>
    </row>
    <row r="577" spans="1:3" x14ac:dyDescent="0.3">
      <c r="A577" s="3">
        <v>182173</v>
      </c>
      <c r="B577" t="s">
        <v>659</v>
      </c>
      <c r="C577" t="s">
        <v>664</v>
      </c>
    </row>
    <row r="578" spans="1:3" x14ac:dyDescent="0.3">
      <c r="A578" s="4">
        <v>182179</v>
      </c>
      <c r="B578" t="s">
        <v>659</v>
      </c>
      <c r="C578" t="s">
        <v>664</v>
      </c>
    </row>
    <row r="579" spans="1:3" x14ac:dyDescent="0.3">
      <c r="A579" s="3">
        <v>182181</v>
      </c>
      <c r="B579" t="s">
        <v>659</v>
      </c>
      <c r="C579" t="s">
        <v>664</v>
      </c>
    </row>
    <row r="580" spans="1:3" x14ac:dyDescent="0.3">
      <c r="A580" s="4">
        <v>182182</v>
      </c>
      <c r="B580" t="s">
        <v>659</v>
      </c>
      <c r="C580" t="s">
        <v>664</v>
      </c>
    </row>
    <row r="581" spans="1:3" x14ac:dyDescent="0.3">
      <c r="A581" s="3">
        <v>205246</v>
      </c>
      <c r="B581" t="s">
        <v>659</v>
      </c>
      <c r="C581" t="s">
        <v>664</v>
      </c>
    </row>
    <row r="582" spans="1:3" x14ac:dyDescent="0.3">
      <c r="A582" s="4">
        <v>216771</v>
      </c>
      <c r="B582" t="s">
        <v>659</v>
      </c>
      <c r="C582" t="s">
        <v>664</v>
      </c>
    </row>
    <row r="583" spans="1:3" x14ac:dyDescent="0.3">
      <c r="A583" s="3">
        <v>221489</v>
      </c>
      <c r="B583" t="s">
        <v>659</v>
      </c>
      <c r="C583" t="s">
        <v>664</v>
      </c>
    </row>
    <row r="584" spans="1:3" x14ac:dyDescent="0.3">
      <c r="A584" s="4">
        <v>239067</v>
      </c>
      <c r="B584" t="s">
        <v>659</v>
      </c>
      <c r="C584" t="s">
        <v>664</v>
      </c>
    </row>
    <row r="585" spans="1:3" x14ac:dyDescent="0.3">
      <c r="A585" s="3">
        <v>240223</v>
      </c>
      <c r="B585" t="s">
        <v>659</v>
      </c>
      <c r="C585" t="s">
        <v>664</v>
      </c>
    </row>
    <row r="586" spans="1:3" x14ac:dyDescent="0.3">
      <c r="A586" s="4">
        <v>245332</v>
      </c>
      <c r="B586" t="s">
        <v>659</v>
      </c>
      <c r="C586" t="s">
        <v>664</v>
      </c>
    </row>
    <row r="587" spans="1:3" x14ac:dyDescent="0.3">
      <c r="A587" s="3">
        <v>255275</v>
      </c>
      <c r="B587" t="s">
        <v>659</v>
      </c>
      <c r="C587" t="s">
        <v>664</v>
      </c>
    </row>
    <row r="588" spans="1:3" x14ac:dyDescent="0.3">
      <c r="A588" s="4">
        <v>400723</v>
      </c>
      <c r="B588" t="s">
        <v>659</v>
      </c>
      <c r="C588" t="s">
        <v>664</v>
      </c>
    </row>
    <row r="589" spans="1:3" x14ac:dyDescent="0.3">
      <c r="A589" s="3">
        <v>404019</v>
      </c>
      <c r="B589" t="s">
        <v>659</v>
      </c>
      <c r="C589" t="s">
        <v>664</v>
      </c>
    </row>
    <row r="590" spans="1:3" x14ac:dyDescent="0.3">
      <c r="A590" s="4">
        <v>404324</v>
      </c>
      <c r="B590" t="s">
        <v>659</v>
      </c>
      <c r="C590" t="s">
        <v>664</v>
      </c>
    </row>
    <row r="591" spans="1:3" x14ac:dyDescent="0.3">
      <c r="A591" s="3">
        <v>406829</v>
      </c>
      <c r="B591" t="s">
        <v>659</v>
      </c>
      <c r="C591" t="s">
        <v>664</v>
      </c>
    </row>
    <row r="592" spans="1:3" x14ac:dyDescent="0.3">
      <c r="A592" s="4">
        <v>407867</v>
      </c>
      <c r="B592" t="s">
        <v>659</v>
      </c>
      <c r="C592" t="s">
        <v>664</v>
      </c>
    </row>
    <row r="593" spans="1:3" x14ac:dyDescent="0.3">
      <c r="A593" s="3">
        <v>408957</v>
      </c>
      <c r="B593" t="s">
        <v>659</v>
      </c>
      <c r="C593" t="s">
        <v>664</v>
      </c>
    </row>
    <row r="594" spans="1:3" x14ac:dyDescent="0.3">
      <c r="A594" s="4">
        <v>409253</v>
      </c>
      <c r="B594" t="s">
        <v>659</v>
      </c>
      <c r="C594" t="s">
        <v>664</v>
      </c>
    </row>
    <row r="595" spans="1:3" x14ac:dyDescent="0.3">
      <c r="A595" s="3">
        <v>411108</v>
      </c>
      <c r="B595" t="s">
        <v>659</v>
      </c>
      <c r="C595" t="s">
        <v>664</v>
      </c>
    </row>
    <row r="596" spans="1:3" x14ac:dyDescent="0.3">
      <c r="A596" s="4">
        <v>419097</v>
      </c>
      <c r="B596" t="s">
        <v>659</v>
      </c>
      <c r="C596" t="s">
        <v>664</v>
      </c>
    </row>
    <row r="597" spans="1:3" x14ac:dyDescent="0.3">
      <c r="A597" s="3">
        <v>69358</v>
      </c>
      <c r="B597" t="s">
        <v>1371</v>
      </c>
      <c r="C597" t="s">
        <v>664</v>
      </c>
    </row>
    <row r="598" spans="1:3" x14ac:dyDescent="0.3">
      <c r="A598" s="4">
        <v>157893</v>
      </c>
      <c r="B598" t="s">
        <v>1371</v>
      </c>
      <c r="C598" t="s">
        <v>664</v>
      </c>
    </row>
    <row r="599" spans="1:3" x14ac:dyDescent="0.3">
      <c r="A599" s="3">
        <v>231850</v>
      </c>
      <c r="B599" t="s">
        <v>1371</v>
      </c>
      <c r="C599" t="s">
        <v>664</v>
      </c>
    </row>
    <row r="600" spans="1:3" x14ac:dyDescent="0.3">
      <c r="A600" s="4">
        <v>242896</v>
      </c>
      <c r="B600" t="s">
        <v>1371</v>
      </c>
      <c r="C600" t="s">
        <v>664</v>
      </c>
    </row>
    <row r="601" spans="1:3" x14ac:dyDescent="0.3">
      <c r="A601" s="3">
        <v>406725</v>
      </c>
      <c r="B601" t="s">
        <v>1371</v>
      </c>
      <c r="C601" t="s">
        <v>664</v>
      </c>
    </row>
    <row r="602" spans="1:3" x14ac:dyDescent="0.3">
      <c r="A602" s="4">
        <v>416062</v>
      </c>
      <c r="B602" t="s">
        <v>1371</v>
      </c>
      <c r="C602" t="s">
        <v>664</v>
      </c>
    </row>
    <row r="603" spans="1:3" x14ac:dyDescent="0.3">
      <c r="A603" s="4">
        <v>417965</v>
      </c>
      <c r="B603" t="s">
        <v>1371</v>
      </c>
      <c r="C603" t="s">
        <v>664</v>
      </c>
    </row>
    <row r="604" spans="1:3" x14ac:dyDescent="0.3">
      <c r="A604" s="3">
        <v>216070</v>
      </c>
      <c r="B604" t="s">
        <v>1371</v>
      </c>
      <c r="C604" t="s">
        <v>664</v>
      </c>
    </row>
    <row r="605" spans="1:3" x14ac:dyDescent="0.3">
      <c r="A605" s="4">
        <v>217452</v>
      </c>
      <c r="B605" t="s">
        <v>1371</v>
      </c>
      <c r="C605" t="s">
        <v>664</v>
      </c>
    </row>
    <row r="606" spans="1:3" x14ac:dyDescent="0.3">
      <c r="A606" s="3">
        <v>410710</v>
      </c>
      <c r="B606" t="s">
        <v>1371</v>
      </c>
      <c r="C606" t="s">
        <v>664</v>
      </c>
    </row>
    <row r="607" spans="1:3" x14ac:dyDescent="0.3">
      <c r="A607" s="3">
        <v>407194</v>
      </c>
      <c r="B607" t="s">
        <v>1191</v>
      </c>
      <c r="C607" t="s">
        <v>664</v>
      </c>
    </row>
    <row r="608" spans="1:3" x14ac:dyDescent="0.3">
      <c r="A608" s="3">
        <v>407195</v>
      </c>
      <c r="B608" t="s">
        <v>1191</v>
      </c>
      <c r="C608" t="s">
        <v>664</v>
      </c>
    </row>
    <row r="609" spans="1:3" x14ac:dyDescent="0.3">
      <c r="A609" s="4">
        <v>178904</v>
      </c>
      <c r="B609" t="s">
        <v>1371</v>
      </c>
      <c r="C609" t="s">
        <v>664</v>
      </c>
    </row>
    <row r="610" spans="1:3" x14ac:dyDescent="0.3">
      <c r="A610" s="3">
        <v>404100</v>
      </c>
      <c r="B610" t="s">
        <v>659</v>
      </c>
      <c r="C610" t="s">
        <v>664</v>
      </c>
    </row>
    <row r="611" spans="1:3" x14ac:dyDescent="0.3">
      <c r="A611" s="4">
        <v>405506</v>
      </c>
      <c r="B611" t="s">
        <v>659</v>
      </c>
      <c r="C611" t="s">
        <v>664</v>
      </c>
    </row>
    <row r="612" spans="1:3" x14ac:dyDescent="0.3">
      <c r="A612" s="3">
        <v>255400</v>
      </c>
      <c r="B612" t="s">
        <v>1371</v>
      </c>
      <c r="C612" t="s">
        <v>664</v>
      </c>
    </row>
    <row r="613" spans="1:3" x14ac:dyDescent="0.3">
      <c r="A613" s="4">
        <v>255401</v>
      </c>
      <c r="B613" t="s">
        <v>1371</v>
      </c>
      <c r="C613" t="s">
        <v>664</v>
      </c>
    </row>
    <row r="614" spans="1:3" x14ac:dyDescent="0.3">
      <c r="A614" s="3">
        <v>228437</v>
      </c>
      <c r="B614" t="s">
        <v>1371</v>
      </c>
      <c r="C614" t="s">
        <v>664</v>
      </c>
    </row>
    <row r="615" spans="1:3" x14ac:dyDescent="0.3">
      <c r="A615" s="4">
        <v>152976</v>
      </c>
      <c r="B615" t="s">
        <v>1371</v>
      </c>
      <c r="C615" t="s">
        <v>664</v>
      </c>
    </row>
    <row r="616" spans="1:3" x14ac:dyDescent="0.3">
      <c r="A616" s="3">
        <v>421735</v>
      </c>
      <c r="B616" t="s">
        <v>742</v>
      </c>
      <c r="C616" t="s">
        <v>664</v>
      </c>
    </row>
    <row r="617" spans="1:3" x14ac:dyDescent="0.3">
      <c r="A617" s="3">
        <v>421786</v>
      </c>
      <c r="B617" t="s">
        <v>1371</v>
      </c>
      <c r="C617" t="s">
        <v>664</v>
      </c>
    </row>
    <row r="618" spans="1:3" x14ac:dyDescent="0.3">
      <c r="A618" s="3">
        <v>185910</v>
      </c>
      <c r="B618" t="s">
        <v>658</v>
      </c>
      <c r="C618" t="s">
        <v>664</v>
      </c>
    </row>
    <row r="619" spans="1:3" x14ac:dyDescent="0.3">
      <c r="A619" s="4">
        <v>411353</v>
      </c>
      <c r="B619" t="s">
        <v>658</v>
      </c>
      <c r="C619" t="s">
        <v>664</v>
      </c>
    </row>
    <row r="620" spans="1:3" x14ac:dyDescent="0.3">
      <c r="A620" s="3">
        <v>183748</v>
      </c>
      <c r="B620" t="s">
        <v>658</v>
      </c>
      <c r="C620" t="s">
        <v>664</v>
      </c>
    </row>
    <row r="621" spans="1:3" x14ac:dyDescent="0.3">
      <c r="A621" s="4">
        <v>414702</v>
      </c>
      <c r="B621" t="s">
        <v>658</v>
      </c>
      <c r="C621" t="s">
        <v>664</v>
      </c>
    </row>
    <row r="622" spans="1:3" x14ac:dyDescent="0.3">
      <c r="A622" s="3">
        <v>409235</v>
      </c>
      <c r="B622" t="s">
        <v>658</v>
      </c>
      <c r="C622" t="s">
        <v>664</v>
      </c>
    </row>
    <row r="623" spans="1:3" x14ac:dyDescent="0.3">
      <c r="A623" s="4">
        <v>216079</v>
      </c>
      <c r="B623" t="s">
        <v>658</v>
      </c>
      <c r="C623" t="s">
        <v>664</v>
      </c>
    </row>
    <row r="624" spans="1:3" x14ac:dyDescent="0.3">
      <c r="A624" s="3">
        <v>415931</v>
      </c>
      <c r="B624" t="s">
        <v>658</v>
      </c>
      <c r="C624" t="s">
        <v>664</v>
      </c>
    </row>
    <row r="625" spans="1:3" x14ac:dyDescent="0.3">
      <c r="A625" s="4">
        <v>410741</v>
      </c>
      <c r="B625" t="s">
        <v>658</v>
      </c>
      <c r="C625" t="s">
        <v>664</v>
      </c>
    </row>
    <row r="626" spans="1:3" x14ac:dyDescent="0.3">
      <c r="A626" s="3">
        <v>201213</v>
      </c>
      <c r="B626" t="s">
        <v>658</v>
      </c>
      <c r="C626" t="s">
        <v>664</v>
      </c>
    </row>
    <row r="627" spans="1:3" x14ac:dyDescent="0.3">
      <c r="A627" s="4">
        <v>406832</v>
      </c>
      <c r="B627" t="s">
        <v>658</v>
      </c>
      <c r="C627" t="s">
        <v>664</v>
      </c>
    </row>
    <row r="628" spans="1:3" x14ac:dyDescent="0.3">
      <c r="A628" s="4">
        <v>411992</v>
      </c>
      <c r="B628" t="s">
        <v>658</v>
      </c>
      <c r="C628" t="s">
        <v>664</v>
      </c>
    </row>
    <row r="629" spans="1:3" x14ac:dyDescent="0.3">
      <c r="A629" s="3">
        <v>182261</v>
      </c>
      <c r="B629" t="s">
        <v>658</v>
      </c>
      <c r="C629" t="s">
        <v>664</v>
      </c>
    </row>
    <row r="630" spans="1:3" x14ac:dyDescent="0.3">
      <c r="A630" s="4">
        <v>411755</v>
      </c>
      <c r="B630" t="s">
        <v>658</v>
      </c>
      <c r="C630" t="s">
        <v>664</v>
      </c>
    </row>
    <row r="631" spans="1:3" x14ac:dyDescent="0.3">
      <c r="A631" s="4">
        <v>413747</v>
      </c>
      <c r="B631" t="s">
        <v>658</v>
      </c>
      <c r="C631" t="s">
        <v>664</v>
      </c>
    </row>
    <row r="632" spans="1:3" x14ac:dyDescent="0.3">
      <c r="A632" s="3">
        <v>248496</v>
      </c>
      <c r="B632" t="s">
        <v>658</v>
      </c>
      <c r="C632" t="s">
        <v>664</v>
      </c>
    </row>
    <row r="633" spans="1:3" x14ac:dyDescent="0.3">
      <c r="A633" s="3">
        <v>403457</v>
      </c>
      <c r="B633" t="s">
        <v>658</v>
      </c>
      <c r="C633" t="s">
        <v>664</v>
      </c>
    </row>
    <row r="634" spans="1:3" x14ac:dyDescent="0.3">
      <c r="A634" s="4">
        <v>244445</v>
      </c>
      <c r="B634" t="s">
        <v>658</v>
      </c>
      <c r="C634" t="s">
        <v>664</v>
      </c>
    </row>
    <row r="635" spans="1:3" x14ac:dyDescent="0.3">
      <c r="A635" s="3">
        <v>419119</v>
      </c>
      <c r="B635" t="s">
        <v>658</v>
      </c>
      <c r="C635" t="s">
        <v>664</v>
      </c>
    </row>
    <row r="636" spans="1:3" x14ac:dyDescent="0.3">
      <c r="A636" s="3">
        <v>153740</v>
      </c>
      <c r="B636" t="s">
        <v>742</v>
      </c>
      <c r="C636" t="s">
        <v>664</v>
      </c>
    </row>
    <row r="637" spans="1:3" x14ac:dyDescent="0.3">
      <c r="A637" s="4">
        <v>411909</v>
      </c>
      <c r="B637" t="s">
        <v>742</v>
      </c>
      <c r="C637" t="s">
        <v>664</v>
      </c>
    </row>
    <row r="638" spans="1:3" x14ac:dyDescent="0.3">
      <c r="A638" s="3">
        <v>174787</v>
      </c>
      <c r="B638" t="s">
        <v>742</v>
      </c>
      <c r="C638" t="s">
        <v>664</v>
      </c>
    </row>
    <row r="639" spans="1:3" x14ac:dyDescent="0.3">
      <c r="A639" s="4">
        <v>136988</v>
      </c>
      <c r="B639" t="s">
        <v>742</v>
      </c>
      <c r="C639" t="s">
        <v>664</v>
      </c>
    </row>
    <row r="640" spans="1:3" x14ac:dyDescent="0.3">
      <c r="A640" s="4">
        <v>139942</v>
      </c>
      <c r="B640" t="s">
        <v>742</v>
      </c>
      <c r="C640" t="s">
        <v>664</v>
      </c>
    </row>
    <row r="641" spans="1:3" x14ac:dyDescent="0.3">
      <c r="A641" s="3">
        <v>400257</v>
      </c>
      <c r="B641" t="s">
        <v>742</v>
      </c>
      <c r="C641" t="s">
        <v>664</v>
      </c>
    </row>
    <row r="642" spans="1:3" x14ac:dyDescent="0.3">
      <c r="A642" s="3">
        <v>405936</v>
      </c>
      <c r="B642" t="s">
        <v>742</v>
      </c>
      <c r="C642" t="s">
        <v>664</v>
      </c>
    </row>
    <row r="643" spans="1:3" x14ac:dyDescent="0.3">
      <c r="A643" s="4">
        <v>415036</v>
      </c>
      <c r="B643" t="s">
        <v>742</v>
      </c>
      <c r="C643" t="s">
        <v>664</v>
      </c>
    </row>
    <row r="644" spans="1:3" x14ac:dyDescent="0.3">
      <c r="A644" s="4">
        <v>173520</v>
      </c>
      <c r="B644" t="s">
        <v>742</v>
      </c>
      <c r="C644" t="s">
        <v>664</v>
      </c>
    </row>
    <row r="645" spans="1:3" x14ac:dyDescent="0.3">
      <c r="A645" s="3">
        <v>45300</v>
      </c>
      <c r="B645" t="s">
        <v>742</v>
      </c>
      <c r="C645" t="s">
        <v>664</v>
      </c>
    </row>
    <row r="646" spans="1:3" x14ac:dyDescent="0.3">
      <c r="A646" s="4">
        <v>406141</v>
      </c>
      <c r="B646" t="s">
        <v>742</v>
      </c>
      <c r="C646" t="s">
        <v>664</v>
      </c>
    </row>
    <row r="647" spans="1:3" x14ac:dyDescent="0.3">
      <c r="A647" s="3">
        <v>225455</v>
      </c>
      <c r="B647" t="s">
        <v>742</v>
      </c>
      <c r="C647" t="s">
        <v>664</v>
      </c>
    </row>
    <row r="648" spans="1:3" x14ac:dyDescent="0.3">
      <c r="A648" s="3">
        <v>248658</v>
      </c>
      <c r="B648" t="s">
        <v>742</v>
      </c>
      <c r="C648" t="s">
        <v>664</v>
      </c>
    </row>
    <row r="649" spans="1:3" x14ac:dyDescent="0.3">
      <c r="A649" s="4">
        <v>242980</v>
      </c>
      <c r="B649" t="s">
        <v>742</v>
      </c>
      <c r="C649" t="s">
        <v>664</v>
      </c>
    </row>
    <row r="650" spans="1:3" x14ac:dyDescent="0.3">
      <c r="A650" s="3">
        <v>228267</v>
      </c>
      <c r="B650" t="s">
        <v>742</v>
      </c>
      <c r="C650" t="s">
        <v>664</v>
      </c>
    </row>
    <row r="651" spans="1:3" x14ac:dyDescent="0.3">
      <c r="A651" s="4">
        <v>419028</v>
      </c>
      <c r="B651" t="s">
        <v>742</v>
      </c>
      <c r="C651" t="s">
        <v>664</v>
      </c>
    </row>
    <row r="652" spans="1:3" x14ac:dyDescent="0.3">
      <c r="A652" s="3">
        <v>217349</v>
      </c>
      <c r="B652" t="s">
        <v>742</v>
      </c>
      <c r="C652" t="s">
        <v>664</v>
      </c>
    </row>
    <row r="653" spans="1:3" x14ac:dyDescent="0.3">
      <c r="A653" s="4">
        <v>244357</v>
      </c>
      <c r="B653" t="s">
        <v>742</v>
      </c>
      <c r="C653" t="s">
        <v>664</v>
      </c>
    </row>
    <row r="654" spans="1:3" x14ac:dyDescent="0.3">
      <c r="A654" s="3">
        <v>62265</v>
      </c>
      <c r="B654" t="s">
        <v>742</v>
      </c>
      <c r="C654" t="s">
        <v>664</v>
      </c>
    </row>
    <row r="655" spans="1:3" x14ac:dyDescent="0.3">
      <c r="A655" s="4">
        <v>188795</v>
      </c>
      <c r="B655" t="s">
        <v>742</v>
      </c>
      <c r="C655" t="s">
        <v>664</v>
      </c>
    </row>
    <row r="656" spans="1:3" x14ac:dyDescent="0.3">
      <c r="A656" s="3">
        <v>200662</v>
      </c>
      <c r="B656" t="s">
        <v>699</v>
      </c>
      <c r="C656" t="s">
        <v>664</v>
      </c>
    </row>
    <row r="657" spans="1:3" x14ac:dyDescent="0.3">
      <c r="A657" s="4">
        <v>232236</v>
      </c>
      <c r="B657" t="s">
        <v>699</v>
      </c>
      <c r="C657" t="s">
        <v>664</v>
      </c>
    </row>
    <row r="658" spans="1:3" x14ac:dyDescent="0.3">
      <c r="A658" s="3">
        <v>409592</v>
      </c>
      <c r="B658" t="s">
        <v>660</v>
      </c>
      <c r="C658" t="s">
        <v>664</v>
      </c>
    </row>
    <row r="659" spans="1:3" x14ac:dyDescent="0.3">
      <c r="A659" s="4">
        <v>409958</v>
      </c>
      <c r="B659" t="s">
        <v>699</v>
      </c>
      <c r="C659" t="s">
        <v>664</v>
      </c>
    </row>
    <row r="660" spans="1:3" x14ac:dyDescent="0.3">
      <c r="A660" s="3">
        <v>227208</v>
      </c>
      <c r="B660" t="s">
        <v>699</v>
      </c>
      <c r="C660" t="s">
        <v>664</v>
      </c>
    </row>
    <row r="661" spans="1:3" x14ac:dyDescent="0.3">
      <c r="A661" s="4">
        <v>402372</v>
      </c>
      <c r="B661" t="s">
        <v>699</v>
      </c>
      <c r="C661" t="s">
        <v>664</v>
      </c>
    </row>
    <row r="662" spans="1:3" x14ac:dyDescent="0.3">
      <c r="A662" s="3">
        <v>416311</v>
      </c>
      <c r="B662" t="s">
        <v>699</v>
      </c>
      <c r="C662" t="s">
        <v>664</v>
      </c>
    </row>
    <row r="663" spans="1:3" x14ac:dyDescent="0.3">
      <c r="A663" s="4">
        <v>229552</v>
      </c>
      <c r="B663" t="s">
        <v>699</v>
      </c>
      <c r="C663" t="s">
        <v>664</v>
      </c>
    </row>
    <row r="664" spans="1:3" x14ac:dyDescent="0.3">
      <c r="A664" s="3">
        <v>249994</v>
      </c>
      <c r="B664" t="s">
        <v>699</v>
      </c>
      <c r="C664" t="s">
        <v>664</v>
      </c>
    </row>
    <row r="665" spans="1:3" x14ac:dyDescent="0.3">
      <c r="A665" s="4">
        <v>419109</v>
      </c>
      <c r="B665" t="s">
        <v>699</v>
      </c>
      <c r="C665" t="s">
        <v>664</v>
      </c>
    </row>
    <row r="666" spans="1:3" x14ac:dyDescent="0.3">
      <c r="A666" s="3">
        <v>231853</v>
      </c>
      <c r="B666" t="s">
        <v>699</v>
      </c>
      <c r="C666" t="s">
        <v>664</v>
      </c>
    </row>
    <row r="667" spans="1:3" x14ac:dyDescent="0.3">
      <c r="A667" s="4">
        <v>228557</v>
      </c>
      <c r="B667" t="s">
        <v>699</v>
      </c>
      <c r="C667" t="s">
        <v>664</v>
      </c>
    </row>
    <row r="668" spans="1:3" x14ac:dyDescent="0.3">
      <c r="A668" s="3">
        <v>403382</v>
      </c>
      <c r="B668" t="s">
        <v>699</v>
      </c>
      <c r="C668" t="s">
        <v>664</v>
      </c>
    </row>
    <row r="669" spans="1:3" x14ac:dyDescent="0.3">
      <c r="A669" s="4">
        <v>160806</v>
      </c>
      <c r="B669" t="s">
        <v>699</v>
      </c>
      <c r="C669" t="s">
        <v>664</v>
      </c>
    </row>
    <row r="670" spans="1:3" x14ac:dyDescent="0.3">
      <c r="A670" s="3">
        <v>245504</v>
      </c>
      <c r="B670" t="s">
        <v>699</v>
      </c>
      <c r="C670" t="s">
        <v>664</v>
      </c>
    </row>
    <row r="671" spans="1:3" x14ac:dyDescent="0.3">
      <c r="A671" s="4">
        <v>410174</v>
      </c>
      <c r="B671" t="s">
        <v>699</v>
      </c>
      <c r="C671" t="s">
        <v>664</v>
      </c>
    </row>
    <row r="672" spans="1:3" x14ac:dyDescent="0.3">
      <c r="A672" s="3">
        <v>409598</v>
      </c>
      <c r="B672" t="s">
        <v>699</v>
      </c>
      <c r="C672" t="s">
        <v>664</v>
      </c>
    </row>
    <row r="673" spans="1:3" x14ac:dyDescent="0.3">
      <c r="A673" s="4">
        <v>245217</v>
      </c>
      <c r="B673" t="s">
        <v>699</v>
      </c>
      <c r="C673" t="s">
        <v>664</v>
      </c>
    </row>
    <row r="674" spans="1:3" x14ac:dyDescent="0.3">
      <c r="A674" s="3">
        <v>239095</v>
      </c>
      <c r="B674" t="s">
        <v>699</v>
      </c>
      <c r="C674" t="s">
        <v>664</v>
      </c>
    </row>
    <row r="675" spans="1:3" x14ac:dyDescent="0.3">
      <c r="A675" s="4">
        <v>411153</v>
      </c>
      <c r="B675" t="s">
        <v>699</v>
      </c>
      <c r="C675" t="s">
        <v>664</v>
      </c>
    </row>
    <row r="676" spans="1:3" x14ac:dyDescent="0.3">
      <c r="A676" s="3">
        <v>408665</v>
      </c>
      <c r="B676" t="s">
        <v>699</v>
      </c>
      <c r="C676" t="s">
        <v>664</v>
      </c>
    </row>
    <row r="677" spans="1:3" x14ac:dyDescent="0.3">
      <c r="A677" s="4">
        <v>414836</v>
      </c>
      <c r="B677" t="s">
        <v>699</v>
      </c>
      <c r="C677" t="s">
        <v>664</v>
      </c>
    </row>
    <row r="678" spans="1:3" x14ac:dyDescent="0.3">
      <c r="A678" s="3">
        <v>239952</v>
      </c>
      <c r="B678" t="s">
        <v>699</v>
      </c>
      <c r="C678" t="s">
        <v>664</v>
      </c>
    </row>
    <row r="679" spans="1:3" x14ac:dyDescent="0.3">
      <c r="A679" s="4">
        <v>410397</v>
      </c>
      <c r="B679" t="s">
        <v>699</v>
      </c>
      <c r="C679" t="s">
        <v>664</v>
      </c>
    </row>
    <row r="680" spans="1:3" x14ac:dyDescent="0.3">
      <c r="A680" s="4">
        <v>407692</v>
      </c>
      <c r="B680" t="s">
        <v>699</v>
      </c>
      <c r="C680" t="s">
        <v>664</v>
      </c>
    </row>
    <row r="681" spans="1:3" x14ac:dyDescent="0.3">
      <c r="A681" s="3">
        <v>188205</v>
      </c>
      <c r="B681" t="s">
        <v>699</v>
      </c>
      <c r="C681" t="s">
        <v>664</v>
      </c>
    </row>
    <row r="682" spans="1:3" x14ac:dyDescent="0.3">
      <c r="A682" s="4">
        <v>421679</v>
      </c>
      <c r="B682" t="s">
        <v>699</v>
      </c>
      <c r="C682" t="s">
        <v>664</v>
      </c>
    </row>
    <row r="683" spans="1:3" x14ac:dyDescent="0.3">
      <c r="A683" s="3">
        <v>416327</v>
      </c>
      <c r="B683" t="s">
        <v>699</v>
      </c>
      <c r="C683" t="s">
        <v>664</v>
      </c>
    </row>
    <row r="684" spans="1:3" x14ac:dyDescent="0.3">
      <c r="A684" s="4">
        <v>400665</v>
      </c>
      <c r="B684" t="s">
        <v>699</v>
      </c>
      <c r="C684" t="s">
        <v>664</v>
      </c>
    </row>
    <row r="685" spans="1:3" x14ac:dyDescent="0.3">
      <c r="A685" s="3">
        <v>242064</v>
      </c>
      <c r="B685" t="s">
        <v>699</v>
      </c>
      <c r="C685" t="s">
        <v>664</v>
      </c>
    </row>
    <row r="686" spans="1:3" x14ac:dyDescent="0.3">
      <c r="A686" s="4">
        <v>401133</v>
      </c>
      <c r="B686" t="s">
        <v>699</v>
      </c>
      <c r="C686" t="s">
        <v>664</v>
      </c>
    </row>
    <row r="687" spans="1:3" x14ac:dyDescent="0.3">
      <c r="A687" s="3">
        <v>217103</v>
      </c>
      <c r="B687" t="s">
        <v>699</v>
      </c>
      <c r="C687" t="s">
        <v>664</v>
      </c>
    </row>
    <row r="688" spans="1:3" x14ac:dyDescent="0.3">
      <c r="A688" s="4">
        <v>232840</v>
      </c>
      <c r="B688" t="s">
        <v>699</v>
      </c>
      <c r="C688" t="s">
        <v>664</v>
      </c>
    </row>
    <row r="689" spans="1:3" x14ac:dyDescent="0.3">
      <c r="A689" s="3">
        <v>406085</v>
      </c>
      <c r="B689" t="s">
        <v>699</v>
      </c>
      <c r="C689" t="s">
        <v>664</v>
      </c>
    </row>
    <row r="690" spans="1:3" x14ac:dyDescent="0.3">
      <c r="A690" s="4">
        <v>251507</v>
      </c>
      <c r="B690" t="s">
        <v>699</v>
      </c>
      <c r="C690" t="s">
        <v>664</v>
      </c>
    </row>
    <row r="691" spans="1:3" x14ac:dyDescent="0.3">
      <c r="A691" s="3">
        <v>175067</v>
      </c>
      <c r="B691" t="s">
        <v>699</v>
      </c>
      <c r="C691" t="s">
        <v>664</v>
      </c>
    </row>
    <row r="692" spans="1:3" x14ac:dyDescent="0.3">
      <c r="A692" s="4">
        <v>160722</v>
      </c>
      <c r="B692" t="s">
        <v>699</v>
      </c>
      <c r="C692" t="s">
        <v>664</v>
      </c>
    </row>
    <row r="693" spans="1:3" x14ac:dyDescent="0.3">
      <c r="A693" s="3">
        <v>412498</v>
      </c>
      <c r="B693" t="s">
        <v>699</v>
      </c>
      <c r="C693" t="s">
        <v>664</v>
      </c>
    </row>
    <row r="694" spans="1:3" x14ac:dyDescent="0.3">
      <c r="A694" s="4">
        <v>150698</v>
      </c>
      <c r="B694" t="s">
        <v>699</v>
      </c>
      <c r="C694" t="s">
        <v>664</v>
      </c>
    </row>
    <row r="695" spans="1:3" x14ac:dyDescent="0.3">
      <c r="A695" s="4">
        <v>82889</v>
      </c>
      <c r="B695" t="s">
        <v>742</v>
      </c>
      <c r="C695" t="s">
        <v>664</v>
      </c>
    </row>
    <row r="696" spans="1:3" x14ac:dyDescent="0.3">
      <c r="A696" s="3">
        <v>164949</v>
      </c>
      <c r="B696" t="s">
        <v>742</v>
      </c>
      <c r="C696" t="s">
        <v>664</v>
      </c>
    </row>
    <row r="697" spans="1:3" x14ac:dyDescent="0.3">
      <c r="A697" s="4">
        <v>63779</v>
      </c>
      <c r="B697" t="s">
        <v>742</v>
      </c>
      <c r="C697" t="s">
        <v>664</v>
      </c>
    </row>
    <row r="698" spans="1:3" x14ac:dyDescent="0.3">
      <c r="A698" s="3">
        <v>228934</v>
      </c>
      <c r="B698" t="s">
        <v>742</v>
      </c>
      <c r="C698" t="s">
        <v>664</v>
      </c>
    </row>
    <row r="699" spans="1:3" x14ac:dyDescent="0.3">
      <c r="A699" s="4">
        <v>54924</v>
      </c>
      <c r="B699" t="s">
        <v>742</v>
      </c>
      <c r="C699" t="s">
        <v>664</v>
      </c>
    </row>
    <row r="700" spans="1:3" x14ac:dyDescent="0.3">
      <c r="A700" s="3">
        <v>173144</v>
      </c>
      <c r="B700" t="s">
        <v>742</v>
      </c>
      <c r="C700" t="s">
        <v>664</v>
      </c>
    </row>
    <row r="701" spans="1:3" x14ac:dyDescent="0.3">
      <c r="A701" s="4">
        <v>37308</v>
      </c>
      <c r="B701" t="s">
        <v>742</v>
      </c>
      <c r="C701" t="s">
        <v>664</v>
      </c>
    </row>
    <row r="702" spans="1:3" x14ac:dyDescent="0.3">
      <c r="A702" s="4">
        <v>402538</v>
      </c>
      <c r="B702" t="s">
        <v>742</v>
      </c>
      <c r="C702" t="s">
        <v>664</v>
      </c>
    </row>
    <row r="703" spans="1:3" x14ac:dyDescent="0.3">
      <c r="A703" s="3">
        <v>418650</v>
      </c>
      <c r="B703" t="s">
        <v>742</v>
      </c>
      <c r="C703" t="s">
        <v>664</v>
      </c>
    </row>
    <row r="704" spans="1:3" x14ac:dyDescent="0.3">
      <c r="A704" s="4">
        <v>416572</v>
      </c>
      <c r="B704" t="s">
        <v>742</v>
      </c>
      <c r="C704" t="s">
        <v>664</v>
      </c>
    </row>
    <row r="705" spans="1:3" x14ac:dyDescent="0.3">
      <c r="A705" s="3">
        <v>421769</v>
      </c>
      <c r="B705" t="s">
        <v>659</v>
      </c>
      <c r="C705" t="s">
        <v>664</v>
      </c>
    </row>
    <row r="706" spans="1:3" x14ac:dyDescent="0.3">
      <c r="A706" s="3">
        <v>421791</v>
      </c>
      <c r="B706" t="s">
        <v>699</v>
      </c>
      <c r="C706" t="s">
        <v>664</v>
      </c>
    </row>
    <row r="707" spans="1:3" x14ac:dyDescent="0.3">
      <c r="A707" s="3">
        <v>402889</v>
      </c>
      <c r="B707" t="s">
        <v>658</v>
      </c>
      <c r="C707" t="s">
        <v>664</v>
      </c>
    </row>
    <row r="708" spans="1:3" x14ac:dyDescent="0.3">
      <c r="A708" s="4">
        <v>402236</v>
      </c>
      <c r="B708" t="s">
        <v>658</v>
      </c>
      <c r="C708" t="s">
        <v>664</v>
      </c>
    </row>
    <row r="709" spans="1:3" x14ac:dyDescent="0.3">
      <c r="A709" s="4">
        <v>225433</v>
      </c>
      <c r="B709" t="s">
        <v>658</v>
      </c>
      <c r="C709" t="s">
        <v>664</v>
      </c>
    </row>
    <row r="710" spans="1:3" x14ac:dyDescent="0.3">
      <c r="A710" s="4">
        <v>416340</v>
      </c>
      <c r="B710" t="s">
        <v>658</v>
      </c>
      <c r="C710" t="s">
        <v>664</v>
      </c>
    </row>
    <row r="711" spans="1:3" x14ac:dyDescent="0.3">
      <c r="A711" s="3">
        <v>167940</v>
      </c>
      <c r="B711" t="s">
        <v>658</v>
      </c>
      <c r="C711" t="s">
        <v>664</v>
      </c>
    </row>
    <row r="712" spans="1:3" x14ac:dyDescent="0.3">
      <c r="A712" s="4">
        <v>403857</v>
      </c>
      <c r="B712" t="s">
        <v>658</v>
      </c>
      <c r="C712" t="s">
        <v>664</v>
      </c>
    </row>
    <row r="713" spans="1:3" x14ac:dyDescent="0.3">
      <c r="A713" s="3">
        <v>22284</v>
      </c>
      <c r="B713" t="s">
        <v>658</v>
      </c>
      <c r="C713" t="s">
        <v>664</v>
      </c>
    </row>
    <row r="714" spans="1:3" x14ac:dyDescent="0.3">
      <c r="A714" s="4">
        <v>204258</v>
      </c>
      <c r="B714" t="s">
        <v>658</v>
      </c>
      <c r="C714" t="s">
        <v>664</v>
      </c>
    </row>
    <row r="715" spans="1:3" x14ac:dyDescent="0.3">
      <c r="A715" s="4">
        <v>422129</v>
      </c>
      <c r="B715" t="s">
        <v>744</v>
      </c>
      <c r="C715" t="s">
        <v>664</v>
      </c>
    </row>
    <row r="716" spans="1:3" x14ac:dyDescent="0.3">
      <c r="A716" s="3">
        <v>421971</v>
      </c>
      <c r="B716" t="s">
        <v>743</v>
      </c>
      <c r="C716" t="s">
        <v>664</v>
      </c>
    </row>
    <row r="717" spans="1:3" x14ac:dyDescent="0.3">
      <c r="A717" s="3">
        <v>421929</v>
      </c>
      <c r="B717" t="s">
        <v>661</v>
      </c>
      <c r="C717" t="s">
        <v>664</v>
      </c>
    </row>
    <row r="718" spans="1:3" x14ac:dyDescent="0.3">
      <c r="A718" s="3">
        <v>422174</v>
      </c>
      <c r="B718" t="s">
        <v>1191</v>
      </c>
      <c r="C718" t="s">
        <v>664</v>
      </c>
    </row>
    <row r="719" spans="1:3" x14ac:dyDescent="0.3">
      <c r="A719" s="3">
        <v>422116</v>
      </c>
      <c r="B719" t="s">
        <v>660</v>
      </c>
      <c r="C719" t="s">
        <v>664</v>
      </c>
    </row>
    <row r="720" spans="1:3" x14ac:dyDescent="0.3">
      <c r="A720" s="3">
        <v>422000</v>
      </c>
      <c r="B720" t="s">
        <v>658</v>
      </c>
      <c r="C720" t="s">
        <v>664</v>
      </c>
    </row>
    <row r="721" spans="1:3" x14ac:dyDescent="0.3">
      <c r="A721" s="23">
        <v>422250</v>
      </c>
      <c r="B721" t="s">
        <v>1371</v>
      </c>
      <c r="C721" t="s">
        <v>664</v>
      </c>
    </row>
    <row r="722" spans="1:3" x14ac:dyDescent="0.3">
      <c r="A722" s="23">
        <v>419870</v>
      </c>
      <c r="B722" t="s">
        <v>1371</v>
      </c>
      <c r="C722" t="s">
        <v>664</v>
      </c>
    </row>
    <row r="723" spans="1:3" x14ac:dyDescent="0.3">
      <c r="A723" s="23">
        <v>419957</v>
      </c>
      <c r="B723" t="s">
        <v>658</v>
      </c>
      <c r="C723" t="s">
        <v>664</v>
      </c>
    </row>
    <row r="724" spans="1:3" x14ac:dyDescent="0.3">
      <c r="A724" s="23">
        <v>422244</v>
      </c>
      <c r="B724" t="s">
        <v>1371</v>
      </c>
      <c r="C724" t="s">
        <v>664</v>
      </c>
    </row>
    <row r="725" spans="1:3" x14ac:dyDescent="0.3">
      <c r="A725" s="23">
        <v>422267</v>
      </c>
      <c r="B725" t="s">
        <v>659</v>
      </c>
      <c r="C725" t="s">
        <v>664</v>
      </c>
    </row>
    <row r="726" spans="1:3" x14ac:dyDescent="0.3">
      <c r="A726" s="23">
        <v>422185</v>
      </c>
      <c r="B726" t="s">
        <v>1191</v>
      </c>
      <c r="C726" t="s">
        <v>664</v>
      </c>
    </row>
    <row r="727" spans="1:3" x14ac:dyDescent="0.3">
      <c r="A727" s="23">
        <v>422374</v>
      </c>
      <c r="B727" t="s">
        <v>1371</v>
      </c>
      <c r="C727" t="s">
        <v>664</v>
      </c>
    </row>
    <row r="728" spans="1:3" x14ac:dyDescent="0.3">
      <c r="A728" s="24">
        <v>422470</v>
      </c>
      <c r="B728" t="s">
        <v>658</v>
      </c>
      <c r="C728" t="s">
        <v>664</v>
      </c>
    </row>
    <row r="729" spans="1:3" x14ac:dyDescent="0.3">
      <c r="A729" s="24">
        <v>422468</v>
      </c>
      <c r="B729" t="s">
        <v>1371</v>
      </c>
      <c r="C729" t="s">
        <v>664</v>
      </c>
    </row>
    <row r="730" spans="1:3" x14ac:dyDescent="0.3">
      <c r="A730" s="24">
        <v>153608</v>
      </c>
      <c r="B730" t="s">
        <v>1107</v>
      </c>
      <c r="C730" t="s">
        <v>662</v>
      </c>
    </row>
    <row r="731" spans="1:3" x14ac:dyDescent="0.3">
      <c r="A731" s="23">
        <v>160152</v>
      </c>
      <c r="B731" t="s">
        <v>1107</v>
      </c>
      <c r="C731" t="s">
        <v>662</v>
      </c>
    </row>
    <row r="732" spans="1:3" x14ac:dyDescent="0.3">
      <c r="A732" s="24">
        <v>255100</v>
      </c>
      <c r="B732" t="s">
        <v>1107</v>
      </c>
      <c r="C732" t="s">
        <v>662</v>
      </c>
    </row>
    <row r="733" spans="1:3" x14ac:dyDescent="0.3">
      <c r="A733" s="23">
        <v>37281</v>
      </c>
      <c r="B733" t="s">
        <v>1107</v>
      </c>
      <c r="C733" t="s">
        <v>662</v>
      </c>
    </row>
    <row r="734" spans="1:3" x14ac:dyDescent="0.3">
      <c r="A734" s="24">
        <v>101453</v>
      </c>
      <c r="B734" t="s">
        <v>1107</v>
      </c>
      <c r="C734" t="s">
        <v>662</v>
      </c>
    </row>
    <row r="735" spans="1:3" x14ac:dyDescent="0.3">
      <c r="A735" s="23">
        <v>40431</v>
      </c>
      <c r="B735" t="s">
        <v>1107</v>
      </c>
      <c r="C735" t="s">
        <v>662</v>
      </c>
    </row>
    <row r="736" spans="1:3" x14ac:dyDescent="0.3">
      <c r="A736" s="24">
        <v>181243</v>
      </c>
      <c r="B736" t="s">
        <v>1107</v>
      </c>
      <c r="C736" t="s">
        <v>662</v>
      </c>
    </row>
    <row r="737" spans="1:3" x14ac:dyDescent="0.3">
      <c r="A737" s="23">
        <v>251160</v>
      </c>
      <c r="B737" t="s">
        <v>1107</v>
      </c>
      <c r="C737" t="s">
        <v>662</v>
      </c>
    </row>
    <row r="738" spans="1:3" x14ac:dyDescent="0.3">
      <c r="A738" s="24">
        <v>165320</v>
      </c>
      <c r="B738" t="s">
        <v>1107</v>
      </c>
      <c r="C738" t="s">
        <v>662</v>
      </c>
    </row>
    <row r="739" spans="1:3" x14ac:dyDescent="0.3">
      <c r="A739" s="23">
        <v>43930</v>
      </c>
      <c r="B739" t="s">
        <v>1107</v>
      </c>
      <c r="C739" t="s">
        <v>662</v>
      </c>
    </row>
    <row r="740" spans="1:3" x14ac:dyDescent="0.3">
      <c r="A740" s="24">
        <v>412859</v>
      </c>
      <c r="B740" t="s">
        <v>1107</v>
      </c>
      <c r="C740" t="s">
        <v>662</v>
      </c>
    </row>
    <row r="741" spans="1:3" x14ac:dyDescent="0.3">
      <c r="A741" s="23">
        <v>141779</v>
      </c>
      <c r="B741" t="s">
        <v>1107</v>
      </c>
      <c r="C741" t="s">
        <v>662</v>
      </c>
    </row>
    <row r="742" spans="1:3" x14ac:dyDescent="0.3">
      <c r="A742" s="24">
        <v>217955</v>
      </c>
      <c r="B742" t="s">
        <v>1107</v>
      </c>
      <c r="C742" t="s">
        <v>662</v>
      </c>
    </row>
    <row r="743" spans="1:3" x14ac:dyDescent="0.3">
      <c r="A743" s="23">
        <v>207711</v>
      </c>
      <c r="B743" t="s">
        <v>1107</v>
      </c>
      <c r="C743" t="s">
        <v>662</v>
      </c>
    </row>
    <row r="744" spans="1:3" x14ac:dyDescent="0.3">
      <c r="A744" s="24">
        <v>217249</v>
      </c>
      <c r="B744" t="s">
        <v>1107</v>
      </c>
      <c r="C744" t="s">
        <v>662</v>
      </c>
    </row>
    <row r="745" spans="1:3" x14ac:dyDescent="0.3">
      <c r="A745" s="23">
        <v>410599</v>
      </c>
      <c r="B745" t="s">
        <v>1107</v>
      </c>
      <c r="C745" t="s">
        <v>662</v>
      </c>
    </row>
    <row r="746" spans="1:3" x14ac:dyDescent="0.3">
      <c r="A746" s="24">
        <v>422522</v>
      </c>
      <c r="B746" t="s">
        <v>1107</v>
      </c>
      <c r="C746" t="s">
        <v>662</v>
      </c>
    </row>
    <row r="747" spans="1:3" x14ac:dyDescent="0.3">
      <c r="A747" s="24">
        <v>58876</v>
      </c>
      <c r="B747" t="s">
        <v>1107</v>
      </c>
      <c r="C747" t="s">
        <v>662</v>
      </c>
    </row>
    <row r="748" spans="1:3" x14ac:dyDescent="0.3">
      <c r="A748" s="23">
        <v>226067</v>
      </c>
      <c r="B748" t="s">
        <v>1107</v>
      </c>
      <c r="C748" t="s">
        <v>662</v>
      </c>
    </row>
    <row r="749" spans="1:3" x14ac:dyDescent="0.3">
      <c r="A749" s="24">
        <v>99742</v>
      </c>
      <c r="B749" t="s">
        <v>1107</v>
      </c>
      <c r="C749" t="s">
        <v>662</v>
      </c>
    </row>
    <row r="750" spans="1:3" x14ac:dyDescent="0.3">
      <c r="A750" s="23">
        <v>422523</v>
      </c>
      <c r="B750" t="s">
        <v>1107</v>
      </c>
      <c r="C750" t="s">
        <v>662</v>
      </c>
    </row>
    <row r="751" spans="1:3" x14ac:dyDescent="0.3">
      <c r="A751" s="24">
        <v>86091</v>
      </c>
      <c r="B751" t="s">
        <v>1107</v>
      </c>
      <c r="C751" t="s">
        <v>662</v>
      </c>
    </row>
    <row r="752" spans="1:3" x14ac:dyDescent="0.3">
      <c r="A752" s="23">
        <v>188844</v>
      </c>
      <c r="B752" t="s">
        <v>1107</v>
      </c>
      <c r="C752" t="s">
        <v>662</v>
      </c>
    </row>
    <row r="753" spans="1:3" x14ac:dyDescent="0.3">
      <c r="A753" s="24">
        <v>178400</v>
      </c>
      <c r="B753" t="s">
        <v>1107</v>
      </c>
      <c r="C753" t="s">
        <v>662</v>
      </c>
    </row>
    <row r="754" spans="1:3" x14ac:dyDescent="0.3">
      <c r="A754" s="23">
        <v>251822</v>
      </c>
      <c r="B754" t="s">
        <v>1107</v>
      </c>
      <c r="C754" t="s">
        <v>662</v>
      </c>
    </row>
    <row r="755" spans="1:3" x14ac:dyDescent="0.3">
      <c r="A755" s="24">
        <v>83747</v>
      </c>
      <c r="B755" t="s">
        <v>1107</v>
      </c>
      <c r="C755" t="s">
        <v>662</v>
      </c>
    </row>
    <row r="756" spans="1:3" x14ac:dyDescent="0.3">
      <c r="A756" s="23">
        <v>229272</v>
      </c>
      <c r="B756" t="s">
        <v>1107</v>
      </c>
      <c r="C756" t="s">
        <v>662</v>
      </c>
    </row>
    <row r="757" spans="1:3" x14ac:dyDescent="0.3">
      <c r="A757" s="23">
        <v>246248</v>
      </c>
      <c r="B757" t="s">
        <v>1107</v>
      </c>
      <c r="C757" t="s">
        <v>662</v>
      </c>
    </row>
    <row r="758" spans="1:3" x14ac:dyDescent="0.3">
      <c r="A758" s="24">
        <v>151216</v>
      </c>
      <c r="B758" t="s">
        <v>1107</v>
      </c>
      <c r="C758" t="s">
        <v>662</v>
      </c>
    </row>
    <row r="759" spans="1:3" x14ac:dyDescent="0.3">
      <c r="A759" s="23">
        <v>419128</v>
      </c>
      <c r="B759" t="s">
        <v>1107</v>
      </c>
      <c r="C759" t="s">
        <v>662</v>
      </c>
    </row>
    <row r="760" spans="1:3" x14ac:dyDescent="0.3">
      <c r="A760" s="24">
        <v>400540</v>
      </c>
      <c r="B760" t="s">
        <v>1107</v>
      </c>
      <c r="C760" t="s">
        <v>662</v>
      </c>
    </row>
    <row r="761" spans="1:3" x14ac:dyDescent="0.3">
      <c r="A761" s="23">
        <v>135179</v>
      </c>
      <c r="B761" t="s">
        <v>1107</v>
      </c>
      <c r="C761" t="s">
        <v>662</v>
      </c>
    </row>
    <row r="762" spans="1:3" x14ac:dyDescent="0.3">
      <c r="A762" s="24">
        <v>247012</v>
      </c>
      <c r="B762" t="s">
        <v>1107</v>
      </c>
      <c r="C762" t="s">
        <v>662</v>
      </c>
    </row>
    <row r="763" spans="1:3" x14ac:dyDescent="0.3">
      <c r="A763" s="23">
        <v>70961</v>
      </c>
      <c r="B763" t="s">
        <v>1107</v>
      </c>
      <c r="C763" t="s">
        <v>662</v>
      </c>
    </row>
    <row r="764" spans="1:3" x14ac:dyDescent="0.3">
      <c r="A764" s="24">
        <v>185844</v>
      </c>
      <c r="B764" t="s">
        <v>1107</v>
      </c>
      <c r="C764" t="s">
        <v>662</v>
      </c>
    </row>
    <row r="765" spans="1:3" x14ac:dyDescent="0.3">
      <c r="A765" s="23">
        <v>164999</v>
      </c>
      <c r="B765" t="s">
        <v>1107</v>
      </c>
      <c r="C765" t="s">
        <v>662</v>
      </c>
    </row>
    <row r="766" spans="1:3" x14ac:dyDescent="0.3">
      <c r="A766" s="24">
        <v>170707</v>
      </c>
      <c r="B766" t="s">
        <v>1107</v>
      </c>
      <c r="C766" t="s">
        <v>662</v>
      </c>
    </row>
    <row r="767" spans="1:3" x14ac:dyDescent="0.3">
      <c r="A767" s="24">
        <v>204988</v>
      </c>
      <c r="B767" t="s">
        <v>1107</v>
      </c>
      <c r="C767" t="s">
        <v>662</v>
      </c>
    </row>
    <row r="768" spans="1:3" x14ac:dyDescent="0.3">
      <c r="A768" s="23">
        <v>13799</v>
      </c>
      <c r="B768" t="s">
        <v>1107</v>
      </c>
      <c r="C768" t="s">
        <v>662</v>
      </c>
    </row>
    <row r="769" spans="1:3" x14ac:dyDescent="0.3">
      <c r="A769" s="24">
        <v>227177</v>
      </c>
      <c r="B769" t="s">
        <v>1107</v>
      </c>
      <c r="C769" t="s">
        <v>662</v>
      </c>
    </row>
    <row r="770" spans="1:3" x14ac:dyDescent="0.3">
      <c r="A770" s="23">
        <v>131472</v>
      </c>
      <c r="B770" t="s">
        <v>1107</v>
      </c>
      <c r="C770" t="s">
        <v>662</v>
      </c>
    </row>
    <row r="771" spans="1:3" x14ac:dyDescent="0.3">
      <c r="A771" s="24">
        <v>413418</v>
      </c>
      <c r="B771" t="s">
        <v>1107</v>
      </c>
      <c r="C771" t="s">
        <v>662</v>
      </c>
    </row>
    <row r="772" spans="1:3" x14ac:dyDescent="0.3">
      <c r="A772" s="23">
        <v>76248</v>
      </c>
      <c r="B772" t="s">
        <v>1107</v>
      </c>
      <c r="C772" t="s">
        <v>662</v>
      </c>
    </row>
    <row r="773" spans="1:3" x14ac:dyDescent="0.3">
      <c r="A773" s="24">
        <v>227787</v>
      </c>
      <c r="B773" t="s">
        <v>1107</v>
      </c>
      <c r="C773" t="s">
        <v>662</v>
      </c>
    </row>
    <row r="774" spans="1:3" x14ac:dyDescent="0.3">
      <c r="A774" s="24">
        <v>204096</v>
      </c>
      <c r="B774" t="s">
        <v>1107</v>
      </c>
      <c r="C774" t="s">
        <v>662</v>
      </c>
    </row>
    <row r="775" spans="1:3" x14ac:dyDescent="0.3">
      <c r="A775" s="23">
        <v>187928</v>
      </c>
      <c r="B775" t="s">
        <v>1107</v>
      </c>
      <c r="C775" t="s">
        <v>662</v>
      </c>
    </row>
    <row r="776" spans="1:3" x14ac:dyDescent="0.3">
      <c r="A776" s="24">
        <v>410138</v>
      </c>
      <c r="B776" t="s">
        <v>1107</v>
      </c>
      <c r="C776" t="s">
        <v>662</v>
      </c>
    </row>
    <row r="777" spans="1:3" x14ac:dyDescent="0.3">
      <c r="A777" s="23">
        <v>86446</v>
      </c>
      <c r="B777" t="s">
        <v>1107</v>
      </c>
      <c r="C777" t="s">
        <v>662</v>
      </c>
    </row>
    <row r="778" spans="1:3" x14ac:dyDescent="0.3">
      <c r="A778" s="24">
        <v>87952</v>
      </c>
      <c r="B778" t="s">
        <v>1107</v>
      </c>
      <c r="C778" t="s">
        <v>662</v>
      </c>
    </row>
    <row r="779" spans="1:3" x14ac:dyDescent="0.3">
      <c r="A779" s="23">
        <v>188495</v>
      </c>
      <c r="B779" t="s">
        <v>1107</v>
      </c>
      <c r="C779" t="s">
        <v>662</v>
      </c>
    </row>
    <row r="780" spans="1:3" x14ac:dyDescent="0.3">
      <c r="A780" s="24">
        <v>188500</v>
      </c>
      <c r="B780" t="s">
        <v>1107</v>
      </c>
      <c r="C780" t="s">
        <v>662</v>
      </c>
    </row>
    <row r="781" spans="1:3" x14ac:dyDescent="0.3">
      <c r="A781" s="23">
        <v>418472</v>
      </c>
      <c r="B781" t="s">
        <v>1107</v>
      </c>
      <c r="C781" t="s">
        <v>662</v>
      </c>
    </row>
    <row r="782" spans="1:3" x14ac:dyDescent="0.3">
      <c r="A782" s="24">
        <v>82525</v>
      </c>
      <c r="B782" t="s">
        <v>1107</v>
      </c>
      <c r="C782" t="s">
        <v>662</v>
      </c>
    </row>
    <row r="783" spans="1:3" x14ac:dyDescent="0.3">
      <c r="A783" s="23">
        <v>87946</v>
      </c>
      <c r="B783" t="s">
        <v>1107</v>
      </c>
      <c r="C783" t="s">
        <v>662</v>
      </c>
    </row>
    <row r="784" spans="1:3" x14ac:dyDescent="0.3">
      <c r="A784" s="24">
        <v>418744</v>
      </c>
      <c r="B784" t="s">
        <v>1107</v>
      </c>
      <c r="C784" t="s">
        <v>662</v>
      </c>
    </row>
    <row r="785" spans="1:3" x14ac:dyDescent="0.3">
      <c r="A785" s="23">
        <v>415055</v>
      </c>
      <c r="B785" t="s">
        <v>1107</v>
      </c>
      <c r="C785" t="s">
        <v>662</v>
      </c>
    </row>
    <row r="786" spans="1:3" x14ac:dyDescent="0.3">
      <c r="A786" s="24">
        <v>88132</v>
      </c>
      <c r="B786" t="s">
        <v>1107</v>
      </c>
      <c r="C786" t="s">
        <v>662</v>
      </c>
    </row>
    <row r="787" spans="1:3" x14ac:dyDescent="0.3">
      <c r="A787" s="23">
        <v>410173</v>
      </c>
      <c r="B787" t="s">
        <v>1107</v>
      </c>
      <c r="C787" t="s">
        <v>662</v>
      </c>
    </row>
    <row r="788" spans="1:3" x14ac:dyDescent="0.3">
      <c r="A788" s="24">
        <v>161094</v>
      </c>
      <c r="B788" t="s">
        <v>1107</v>
      </c>
      <c r="C788" t="s">
        <v>662</v>
      </c>
    </row>
    <row r="789" spans="1:3" x14ac:dyDescent="0.3">
      <c r="A789" s="23">
        <v>216329</v>
      </c>
      <c r="B789" t="s">
        <v>1107</v>
      </c>
      <c r="C789" t="s">
        <v>662</v>
      </c>
    </row>
    <row r="790" spans="1:3" x14ac:dyDescent="0.3">
      <c r="A790" s="24">
        <v>153673</v>
      </c>
      <c r="B790" t="s">
        <v>1107</v>
      </c>
      <c r="C790" t="s">
        <v>662</v>
      </c>
    </row>
    <row r="791" spans="1:3" x14ac:dyDescent="0.3">
      <c r="A791" s="23">
        <v>141856</v>
      </c>
      <c r="B791" t="s">
        <v>1107</v>
      </c>
      <c r="C791" t="s">
        <v>662</v>
      </c>
    </row>
    <row r="792" spans="1:3" x14ac:dyDescent="0.3">
      <c r="A792" s="24">
        <v>153607</v>
      </c>
      <c r="B792" t="s">
        <v>1107</v>
      </c>
      <c r="C792" t="s">
        <v>662</v>
      </c>
    </row>
    <row r="793" spans="1:3" x14ac:dyDescent="0.3">
      <c r="A793" s="23">
        <v>164943</v>
      </c>
      <c r="B793" t="s">
        <v>1107</v>
      </c>
      <c r="C793" t="s">
        <v>662</v>
      </c>
    </row>
    <row r="794" spans="1:3" x14ac:dyDescent="0.3">
      <c r="A794" s="24">
        <v>413623</v>
      </c>
      <c r="B794" t="s">
        <v>1107</v>
      </c>
      <c r="C794" t="s">
        <v>662</v>
      </c>
    </row>
    <row r="795" spans="1:3" x14ac:dyDescent="0.3">
      <c r="A795" s="23">
        <v>402612</v>
      </c>
      <c r="B795" t="s">
        <v>1107</v>
      </c>
      <c r="C795" t="s">
        <v>662</v>
      </c>
    </row>
    <row r="796" spans="1:3" x14ac:dyDescent="0.3">
      <c r="A796" s="24">
        <v>403204</v>
      </c>
      <c r="B796" t="s">
        <v>1107</v>
      </c>
      <c r="C796" t="s">
        <v>662</v>
      </c>
    </row>
    <row r="797" spans="1:3" x14ac:dyDescent="0.3">
      <c r="A797" s="23">
        <v>403316</v>
      </c>
      <c r="B797" t="s">
        <v>1107</v>
      </c>
      <c r="C797" t="s">
        <v>662</v>
      </c>
    </row>
    <row r="798" spans="1:3" x14ac:dyDescent="0.3">
      <c r="A798" s="24">
        <v>140465</v>
      </c>
      <c r="B798" t="s">
        <v>1107</v>
      </c>
      <c r="C798" t="s">
        <v>662</v>
      </c>
    </row>
    <row r="799" spans="1:3" x14ac:dyDescent="0.3">
      <c r="A799" s="23">
        <v>170642</v>
      </c>
      <c r="B799" t="s">
        <v>1107</v>
      </c>
      <c r="C799" t="s">
        <v>662</v>
      </c>
    </row>
    <row r="800" spans="1:3" x14ac:dyDescent="0.3">
      <c r="A800" s="24">
        <v>172834</v>
      </c>
      <c r="B800" t="s">
        <v>1107</v>
      </c>
      <c r="C800" t="s">
        <v>662</v>
      </c>
    </row>
    <row r="801" spans="1:3" x14ac:dyDescent="0.3">
      <c r="A801" s="23">
        <v>45741</v>
      </c>
      <c r="B801" t="s">
        <v>1107</v>
      </c>
      <c r="C801" t="s">
        <v>662</v>
      </c>
    </row>
    <row r="802" spans="1:3" x14ac:dyDescent="0.3">
      <c r="A802" s="24">
        <v>86001</v>
      </c>
      <c r="B802" t="s">
        <v>1107</v>
      </c>
      <c r="C802" t="s">
        <v>662</v>
      </c>
    </row>
    <row r="803" spans="1:3" x14ac:dyDescent="0.3">
      <c r="A803" s="23">
        <v>200238</v>
      </c>
      <c r="B803" t="s">
        <v>1107</v>
      </c>
      <c r="C803" t="s">
        <v>662</v>
      </c>
    </row>
    <row r="804" spans="1:3" x14ac:dyDescent="0.3">
      <c r="A804" s="23">
        <v>183166</v>
      </c>
      <c r="B804" t="s">
        <v>1107</v>
      </c>
      <c r="C804" t="s">
        <v>662</v>
      </c>
    </row>
    <row r="805" spans="1:3" x14ac:dyDescent="0.3">
      <c r="A805" s="24">
        <v>233333</v>
      </c>
      <c r="B805" t="s">
        <v>1107</v>
      </c>
      <c r="C805" t="s">
        <v>662</v>
      </c>
    </row>
    <row r="806" spans="1:3" x14ac:dyDescent="0.3">
      <c r="A806" s="23">
        <v>83792</v>
      </c>
      <c r="B806" t="s">
        <v>1107</v>
      </c>
      <c r="C806" t="s">
        <v>662</v>
      </c>
    </row>
    <row r="807" spans="1:3" x14ac:dyDescent="0.3">
      <c r="A807" s="24">
        <v>88695</v>
      </c>
      <c r="B807" t="s">
        <v>1107</v>
      </c>
      <c r="C807" t="s">
        <v>662</v>
      </c>
    </row>
    <row r="808" spans="1:3" x14ac:dyDescent="0.3">
      <c r="A808" s="23">
        <v>418391</v>
      </c>
      <c r="B808" t="s">
        <v>1107</v>
      </c>
      <c r="C808" t="s">
        <v>662</v>
      </c>
    </row>
    <row r="809" spans="1:3" x14ac:dyDescent="0.3">
      <c r="A809" s="24">
        <v>248405</v>
      </c>
      <c r="B809" t="s">
        <v>1107</v>
      </c>
      <c r="C809" t="s">
        <v>662</v>
      </c>
    </row>
    <row r="810" spans="1:3" x14ac:dyDescent="0.3">
      <c r="A810" s="23">
        <v>157312</v>
      </c>
      <c r="B810" t="s">
        <v>1107</v>
      </c>
      <c r="C810" t="s">
        <v>662</v>
      </c>
    </row>
    <row r="811" spans="1:3" x14ac:dyDescent="0.3">
      <c r="A811" s="24">
        <v>221469</v>
      </c>
      <c r="B811" t="s">
        <v>1107</v>
      </c>
      <c r="C811" t="s">
        <v>662</v>
      </c>
    </row>
    <row r="812" spans="1:3" x14ac:dyDescent="0.3">
      <c r="A812" s="23">
        <v>176297</v>
      </c>
      <c r="B812" t="s">
        <v>1107</v>
      </c>
      <c r="C812" t="s">
        <v>662</v>
      </c>
    </row>
    <row r="813" spans="1:3" x14ac:dyDescent="0.3">
      <c r="A813" s="24">
        <v>422570</v>
      </c>
      <c r="B813" t="s">
        <v>699</v>
      </c>
      <c r="C813" t="s">
        <v>664</v>
      </c>
    </row>
    <row r="814" spans="1:3" x14ac:dyDescent="0.3">
      <c r="A814" s="24">
        <v>418055</v>
      </c>
      <c r="B814" t="s">
        <v>1191</v>
      </c>
      <c r="C814" t="s">
        <v>664</v>
      </c>
    </row>
    <row r="815" spans="1:3" x14ac:dyDescent="0.3">
      <c r="A815" s="24">
        <v>422592</v>
      </c>
      <c r="B815" t="s">
        <v>660</v>
      </c>
      <c r="C815" t="s">
        <v>664</v>
      </c>
    </row>
    <row r="816" spans="1:3" x14ac:dyDescent="0.3">
      <c r="A816" s="24">
        <v>412734</v>
      </c>
      <c r="B816" t="s">
        <v>658</v>
      </c>
      <c r="C816" t="s">
        <v>664</v>
      </c>
    </row>
    <row r="817" spans="1:3" x14ac:dyDescent="0.3">
      <c r="A817" s="24">
        <v>408067</v>
      </c>
      <c r="B817" t="s">
        <v>742</v>
      </c>
      <c r="C817" t="s">
        <v>664</v>
      </c>
    </row>
    <row r="818" spans="1:3" x14ac:dyDescent="0.3">
      <c r="A818" s="24">
        <v>402669</v>
      </c>
      <c r="B818" t="s">
        <v>1371</v>
      </c>
      <c r="C818" t="s">
        <v>664</v>
      </c>
    </row>
    <row r="819" spans="1:3" x14ac:dyDescent="0.3">
      <c r="A819" s="24">
        <v>415523</v>
      </c>
      <c r="B819" t="s">
        <v>1371</v>
      </c>
      <c r="C819" t="s">
        <v>664</v>
      </c>
    </row>
    <row r="820" spans="1:3" x14ac:dyDescent="0.3">
      <c r="A820" s="24">
        <v>408968</v>
      </c>
      <c r="B820" t="s">
        <v>661</v>
      </c>
      <c r="C820" t="s">
        <v>664</v>
      </c>
    </row>
    <row r="821" spans="1:3" x14ac:dyDescent="0.3">
      <c r="A821" s="24">
        <v>422354</v>
      </c>
      <c r="B821" t="s">
        <v>744</v>
      </c>
      <c r="C821" t="s">
        <v>664</v>
      </c>
    </row>
    <row r="822" spans="1:3" x14ac:dyDescent="0.3">
      <c r="A822" s="24">
        <v>407955</v>
      </c>
      <c r="B822" t="s">
        <v>699</v>
      </c>
      <c r="C822" t="s">
        <v>664</v>
      </c>
    </row>
    <row r="823" spans="1:3" x14ac:dyDescent="0.3">
      <c r="A823" s="24">
        <v>422229</v>
      </c>
      <c r="B823" t="s">
        <v>658</v>
      </c>
      <c r="C823" t="s">
        <v>664</v>
      </c>
    </row>
    <row r="824" spans="1:3" x14ac:dyDescent="0.3">
      <c r="A824" s="24">
        <v>422661</v>
      </c>
      <c r="B824" t="s">
        <v>1191</v>
      </c>
      <c r="C824" t="s">
        <v>664</v>
      </c>
    </row>
    <row r="825" spans="1:3" x14ac:dyDescent="0.3">
      <c r="A825" s="24">
        <v>422712</v>
      </c>
      <c r="B825" t="s">
        <v>661</v>
      </c>
      <c r="C825" t="s">
        <v>664</v>
      </c>
    </row>
    <row r="826" spans="1:3" x14ac:dyDescent="0.3">
      <c r="A826" s="24">
        <v>422633</v>
      </c>
      <c r="B826" t="s">
        <v>659</v>
      </c>
      <c r="C826" t="s">
        <v>664</v>
      </c>
    </row>
    <row r="827" spans="1:3" x14ac:dyDescent="0.3">
      <c r="A827" s="24">
        <v>422786</v>
      </c>
      <c r="B827" t="s">
        <v>1371</v>
      </c>
      <c r="C827" t="s">
        <v>664</v>
      </c>
    </row>
    <row r="828" spans="1:3" x14ac:dyDescent="0.3">
      <c r="A828" s="24">
        <v>422804</v>
      </c>
      <c r="B828" t="s">
        <v>699</v>
      </c>
      <c r="C828" t="s">
        <v>664</v>
      </c>
    </row>
    <row r="829" spans="1:3" x14ac:dyDescent="0.3">
      <c r="A829" s="24">
        <v>422788</v>
      </c>
      <c r="B829" t="s">
        <v>1371</v>
      </c>
      <c r="C829" t="s">
        <v>664</v>
      </c>
    </row>
    <row r="830" spans="1:3" x14ac:dyDescent="0.3">
      <c r="A830" s="24">
        <v>422756</v>
      </c>
      <c r="B830" t="s">
        <v>659</v>
      </c>
      <c r="C830" t="s">
        <v>664</v>
      </c>
    </row>
    <row r="831" spans="1:3" x14ac:dyDescent="0.3">
      <c r="A831" s="24">
        <v>422809</v>
      </c>
      <c r="B831" t="s">
        <v>1371</v>
      </c>
      <c r="C831" t="s">
        <v>664</v>
      </c>
    </row>
    <row r="832" spans="1:3" x14ac:dyDescent="0.3">
      <c r="A832" s="24">
        <v>422777</v>
      </c>
      <c r="B832" t="s">
        <v>1191</v>
      </c>
      <c r="C832" t="s">
        <v>664</v>
      </c>
    </row>
    <row r="833" spans="1:3" x14ac:dyDescent="0.3">
      <c r="A833" s="24">
        <v>422820</v>
      </c>
      <c r="B833" t="s">
        <v>1371</v>
      </c>
      <c r="C833" t="s">
        <v>664</v>
      </c>
    </row>
    <row r="834" spans="1:3" x14ac:dyDescent="0.3">
      <c r="A834" s="24">
        <v>422886</v>
      </c>
      <c r="B834" t="s">
        <v>1371</v>
      </c>
      <c r="C834" t="s">
        <v>664</v>
      </c>
    </row>
    <row r="835" spans="1:3" x14ac:dyDescent="0.3">
      <c r="A835" s="24">
        <v>422864</v>
      </c>
      <c r="B835" t="s">
        <v>659</v>
      </c>
      <c r="C835" t="s">
        <v>664</v>
      </c>
    </row>
    <row r="836" spans="1:3" x14ac:dyDescent="0.3">
      <c r="A836" s="24">
        <v>422879</v>
      </c>
      <c r="B836" t="s">
        <v>742</v>
      </c>
      <c r="C836" t="s">
        <v>664</v>
      </c>
    </row>
    <row r="837" spans="1:3" x14ac:dyDescent="0.3">
      <c r="A837" s="24">
        <v>422526</v>
      </c>
      <c r="B837" t="s">
        <v>1191</v>
      </c>
      <c r="C837" t="s">
        <v>664</v>
      </c>
    </row>
    <row r="838" spans="1:3" x14ac:dyDescent="0.3">
      <c r="A838" s="24">
        <v>422211</v>
      </c>
      <c r="B838" t="s">
        <v>660</v>
      </c>
      <c r="C838" t="s">
        <v>664</v>
      </c>
    </row>
    <row r="839" spans="1:3" x14ac:dyDescent="0.3">
      <c r="A839" s="24">
        <v>423001</v>
      </c>
      <c r="B839" t="s">
        <v>660</v>
      </c>
      <c r="C839" t="s">
        <v>664</v>
      </c>
    </row>
    <row r="840" spans="1:3" x14ac:dyDescent="0.3">
      <c r="A840" s="24">
        <v>202662</v>
      </c>
      <c r="B840" t="s">
        <v>1371</v>
      </c>
      <c r="C840" t="s">
        <v>664</v>
      </c>
    </row>
    <row r="841" spans="1:3" x14ac:dyDescent="0.3">
      <c r="A841" s="23">
        <v>422150</v>
      </c>
      <c r="B841" t="s">
        <v>1371</v>
      </c>
      <c r="C841" t="s">
        <v>664</v>
      </c>
    </row>
    <row r="842" spans="1:3" x14ac:dyDescent="0.3">
      <c r="A842" s="24">
        <v>422916</v>
      </c>
      <c r="B842" t="s">
        <v>1371</v>
      </c>
      <c r="C842" t="s">
        <v>664</v>
      </c>
    </row>
    <row r="843" spans="1:3" x14ac:dyDescent="0.3">
      <c r="A843" s="24">
        <v>423004</v>
      </c>
      <c r="B843" t="s">
        <v>658</v>
      </c>
      <c r="C843" t="s">
        <v>664</v>
      </c>
    </row>
    <row r="844" spans="1:3" x14ac:dyDescent="0.3">
      <c r="A844" s="24">
        <v>423040</v>
      </c>
      <c r="B844" t="s">
        <v>1191</v>
      </c>
      <c r="C844" t="s">
        <v>664</v>
      </c>
    </row>
    <row r="845" spans="1:3" x14ac:dyDescent="0.3">
      <c r="A845" s="24">
        <v>423137</v>
      </c>
      <c r="B845" t="s">
        <v>660</v>
      </c>
      <c r="C845" t="s">
        <v>664</v>
      </c>
    </row>
    <row r="846" spans="1:3" x14ac:dyDescent="0.3">
      <c r="A846" s="23">
        <v>225162</v>
      </c>
      <c r="B846" t="s">
        <v>662</v>
      </c>
      <c r="C846" t="s">
        <v>664</v>
      </c>
    </row>
    <row r="847" spans="1:3" x14ac:dyDescent="0.3">
      <c r="A847" s="24">
        <v>180812</v>
      </c>
      <c r="B847" t="s">
        <v>662</v>
      </c>
      <c r="C847" t="s">
        <v>664</v>
      </c>
    </row>
    <row r="848" spans="1:3" x14ac:dyDescent="0.3">
      <c r="A848" s="23">
        <v>240577</v>
      </c>
      <c r="B848" t="s">
        <v>662</v>
      </c>
      <c r="C848" t="s">
        <v>664</v>
      </c>
    </row>
    <row r="849" spans="1:3" x14ac:dyDescent="0.3">
      <c r="A849" s="24">
        <v>423114</v>
      </c>
      <c r="B849" t="s">
        <v>1371</v>
      </c>
      <c r="C849" t="s">
        <v>664</v>
      </c>
    </row>
    <row r="850" spans="1:3" x14ac:dyDescent="0.3">
      <c r="A850" s="24">
        <v>408942</v>
      </c>
      <c r="B850" t="s">
        <v>1371</v>
      </c>
      <c r="C850" t="s">
        <v>664</v>
      </c>
    </row>
    <row r="851" spans="1:3" x14ac:dyDescent="0.3">
      <c r="A851" s="24">
        <v>423251</v>
      </c>
      <c r="B851" t="s">
        <v>744</v>
      </c>
      <c r="C851" t="s">
        <v>664</v>
      </c>
    </row>
    <row r="852" spans="1:3" x14ac:dyDescent="0.3">
      <c r="A852" s="24">
        <v>401713</v>
      </c>
      <c r="B852" t="s">
        <v>1191</v>
      </c>
      <c r="C852" t="s">
        <v>664</v>
      </c>
    </row>
    <row r="853" spans="1:3" x14ac:dyDescent="0.3">
      <c r="A853" s="24">
        <v>423297</v>
      </c>
      <c r="B853" t="s">
        <v>658</v>
      </c>
      <c r="C853" t="s">
        <v>664</v>
      </c>
    </row>
    <row r="854" spans="1:3" x14ac:dyDescent="0.3">
      <c r="A854" s="24">
        <v>250808</v>
      </c>
      <c r="B854" t="s">
        <v>662</v>
      </c>
      <c r="C854" t="s">
        <v>664</v>
      </c>
    </row>
    <row r="855" spans="1:3" x14ac:dyDescent="0.3">
      <c r="A855" s="24">
        <v>155268</v>
      </c>
      <c r="B855" t="s">
        <v>662</v>
      </c>
      <c r="C855" t="s">
        <v>664</v>
      </c>
    </row>
    <row r="856" spans="1:3" x14ac:dyDescent="0.3">
      <c r="A856" s="23">
        <v>248557</v>
      </c>
      <c r="B856" t="s">
        <v>662</v>
      </c>
      <c r="C856" t="s">
        <v>664</v>
      </c>
    </row>
    <row r="857" spans="1:3" x14ac:dyDescent="0.3">
      <c r="A857" s="24">
        <v>401567</v>
      </c>
      <c r="B857" t="s">
        <v>662</v>
      </c>
      <c r="C857" t="s">
        <v>664</v>
      </c>
    </row>
    <row r="858" spans="1:3" x14ac:dyDescent="0.3">
      <c r="A858" s="23">
        <v>418009</v>
      </c>
      <c r="B858" t="s">
        <v>662</v>
      </c>
      <c r="C858" t="s">
        <v>664</v>
      </c>
    </row>
    <row r="859" spans="1:3" x14ac:dyDescent="0.3">
      <c r="A859" s="23">
        <v>188319</v>
      </c>
      <c r="B859" t="s">
        <v>662</v>
      </c>
      <c r="C859" t="s">
        <v>664</v>
      </c>
    </row>
    <row r="860" spans="1:3" x14ac:dyDescent="0.3">
      <c r="A860" s="23">
        <v>248103</v>
      </c>
      <c r="B860" t="s">
        <v>662</v>
      </c>
      <c r="C860" t="s">
        <v>664</v>
      </c>
    </row>
    <row r="861" spans="1:3" x14ac:dyDescent="0.3">
      <c r="A861" s="23">
        <v>57748</v>
      </c>
      <c r="B861" t="s">
        <v>662</v>
      </c>
      <c r="C861" t="s">
        <v>664</v>
      </c>
    </row>
    <row r="862" spans="1:3" x14ac:dyDescent="0.3">
      <c r="A862" s="24">
        <v>86898</v>
      </c>
      <c r="B862" t="s">
        <v>662</v>
      </c>
      <c r="C862" t="s">
        <v>664</v>
      </c>
    </row>
    <row r="863" spans="1:3" x14ac:dyDescent="0.3">
      <c r="A863" s="23">
        <v>93495</v>
      </c>
      <c r="B863" t="s">
        <v>662</v>
      </c>
      <c r="C863" t="s">
        <v>664</v>
      </c>
    </row>
    <row r="864" spans="1:3" x14ac:dyDescent="0.3">
      <c r="A864" s="24">
        <v>54377</v>
      </c>
      <c r="B864" t="s">
        <v>662</v>
      </c>
      <c r="C864" t="s">
        <v>664</v>
      </c>
    </row>
    <row r="865" spans="1:3" x14ac:dyDescent="0.3">
      <c r="A865" s="23">
        <v>154081</v>
      </c>
      <c r="B865" t="s">
        <v>662</v>
      </c>
      <c r="C865" t="s">
        <v>664</v>
      </c>
    </row>
    <row r="866" spans="1:3" x14ac:dyDescent="0.3">
      <c r="A866" s="24">
        <v>219521</v>
      </c>
      <c r="B866" t="s">
        <v>662</v>
      </c>
      <c r="C866" t="s">
        <v>664</v>
      </c>
    </row>
    <row r="867" spans="1:3" x14ac:dyDescent="0.3">
      <c r="A867" s="23">
        <v>408109</v>
      </c>
      <c r="B867" t="s">
        <v>662</v>
      </c>
      <c r="C867" t="s">
        <v>664</v>
      </c>
    </row>
    <row r="868" spans="1:3" x14ac:dyDescent="0.3">
      <c r="A868" s="24">
        <v>413684</v>
      </c>
      <c r="B868" t="s">
        <v>662</v>
      </c>
      <c r="C868" t="s">
        <v>664</v>
      </c>
    </row>
    <row r="869" spans="1:3" x14ac:dyDescent="0.3">
      <c r="A869" s="23">
        <v>419043</v>
      </c>
      <c r="B869" t="s">
        <v>662</v>
      </c>
      <c r="C869" t="s">
        <v>664</v>
      </c>
    </row>
    <row r="870" spans="1:3" x14ac:dyDescent="0.3">
      <c r="A870" s="23">
        <v>412735</v>
      </c>
      <c r="B870" t="s">
        <v>662</v>
      </c>
      <c r="C870" t="s">
        <v>664</v>
      </c>
    </row>
    <row r="871" spans="1:3" x14ac:dyDescent="0.3">
      <c r="A871" s="24">
        <v>47457</v>
      </c>
      <c r="B871" t="s">
        <v>662</v>
      </c>
      <c r="C871" t="s">
        <v>664</v>
      </c>
    </row>
    <row r="872" spans="1:3" x14ac:dyDescent="0.3">
      <c r="A872" s="23">
        <v>164577</v>
      </c>
      <c r="B872" t="s">
        <v>662</v>
      </c>
      <c r="C872" t="s">
        <v>664</v>
      </c>
    </row>
    <row r="873" spans="1:3" x14ac:dyDescent="0.3">
      <c r="A873" s="24">
        <v>156781</v>
      </c>
      <c r="B873" t="s">
        <v>662</v>
      </c>
      <c r="C873" t="s">
        <v>664</v>
      </c>
    </row>
    <row r="874" spans="1:3" x14ac:dyDescent="0.3">
      <c r="A874" s="24">
        <v>204297</v>
      </c>
      <c r="B874" t="s">
        <v>662</v>
      </c>
      <c r="C874" t="s">
        <v>664</v>
      </c>
    </row>
    <row r="875" spans="1:3" x14ac:dyDescent="0.3">
      <c r="A875" s="24">
        <v>413557</v>
      </c>
      <c r="B875" t="s">
        <v>662</v>
      </c>
      <c r="C875" t="s">
        <v>664</v>
      </c>
    </row>
    <row r="876" spans="1:3" x14ac:dyDescent="0.3">
      <c r="A876" s="24">
        <v>406886</v>
      </c>
      <c r="B876" t="s">
        <v>662</v>
      </c>
      <c r="C876" t="s">
        <v>664</v>
      </c>
    </row>
    <row r="877" spans="1:3" x14ac:dyDescent="0.3">
      <c r="A877" s="23">
        <v>414596</v>
      </c>
      <c r="B877" t="s">
        <v>662</v>
      </c>
      <c r="C877" t="s">
        <v>664</v>
      </c>
    </row>
    <row r="878" spans="1:3" x14ac:dyDescent="0.3">
      <c r="A878" s="24">
        <v>407900</v>
      </c>
      <c r="B878" t="s">
        <v>662</v>
      </c>
      <c r="C878" t="s">
        <v>664</v>
      </c>
    </row>
    <row r="879" spans="1:3" x14ac:dyDescent="0.3">
      <c r="A879" s="23">
        <v>120250</v>
      </c>
      <c r="B879" t="s">
        <v>662</v>
      </c>
      <c r="C879" t="s">
        <v>664</v>
      </c>
    </row>
    <row r="880" spans="1:3" x14ac:dyDescent="0.3">
      <c r="A880" s="24">
        <v>405979</v>
      </c>
      <c r="B880" t="s">
        <v>662</v>
      </c>
      <c r="C880" t="s">
        <v>664</v>
      </c>
    </row>
    <row r="881" spans="1:3" x14ac:dyDescent="0.3">
      <c r="A881" s="24">
        <v>250178</v>
      </c>
      <c r="B881" t="s">
        <v>662</v>
      </c>
      <c r="C881" t="s">
        <v>664</v>
      </c>
    </row>
    <row r="882" spans="1:3" x14ac:dyDescent="0.3">
      <c r="A882" s="23">
        <v>243206</v>
      </c>
      <c r="B882" t="s">
        <v>662</v>
      </c>
      <c r="C882" t="s">
        <v>664</v>
      </c>
    </row>
    <row r="883" spans="1:3" x14ac:dyDescent="0.3">
      <c r="A883" s="24">
        <v>58237</v>
      </c>
      <c r="B883" t="s">
        <v>662</v>
      </c>
      <c r="C883" t="s">
        <v>664</v>
      </c>
    </row>
    <row r="884" spans="1:3" x14ac:dyDescent="0.3">
      <c r="A884" s="23">
        <v>60722</v>
      </c>
      <c r="B884" t="s">
        <v>662</v>
      </c>
      <c r="C884" t="s">
        <v>664</v>
      </c>
    </row>
    <row r="885" spans="1:3" x14ac:dyDescent="0.3">
      <c r="A885" s="24">
        <v>147670</v>
      </c>
      <c r="B885" t="s">
        <v>662</v>
      </c>
      <c r="C885" t="s">
        <v>664</v>
      </c>
    </row>
    <row r="886" spans="1:3" x14ac:dyDescent="0.3">
      <c r="A886" s="24">
        <v>51537</v>
      </c>
      <c r="B886" t="s">
        <v>662</v>
      </c>
      <c r="C886" t="s">
        <v>664</v>
      </c>
    </row>
    <row r="887" spans="1:3" x14ac:dyDescent="0.3">
      <c r="A887" s="23">
        <v>118558</v>
      </c>
      <c r="B887" t="s">
        <v>662</v>
      </c>
      <c r="C887" t="s">
        <v>664</v>
      </c>
    </row>
    <row r="888" spans="1:3" x14ac:dyDescent="0.3">
      <c r="A888" s="24">
        <v>154649</v>
      </c>
      <c r="B888" t="s">
        <v>662</v>
      </c>
      <c r="C888" t="s">
        <v>664</v>
      </c>
    </row>
    <row r="889" spans="1:3" x14ac:dyDescent="0.3">
      <c r="A889" s="23">
        <v>221915</v>
      </c>
      <c r="B889" t="s">
        <v>662</v>
      </c>
      <c r="C889" t="s">
        <v>664</v>
      </c>
    </row>
    <row r="890" spans="1:3" x14ac:dyDescent="0.3">
      <c r="A890" s="23">
        <v>421703</v>
      </c>
      <c r="B890" t="s">
        <v>662</v>
      </c>
      <c r="C890" t="s">
        <v>664</v>
      </c>
    </row>
    <row r="891" spans="1:3" x14ac:dyDescent="0.3">
      <c r="A891" s="23">
        <v>166694</v>
      </c>
      <c r="B891" t="s">
        <v>662</v>
      </c>
      <c r="C891" t="s">
        <v>664</v>
      </c>
    </row>
    <row r="892" spans="1:3" x14ac:dyDescent="0.3">
      <c r="A892" s="24">
        <v>159594</v>
      </c>
      <c r="B892" t="s">
        <v>662</v>
      </c>
      <c r="C892" t="s">
        <v>664</v>
      </c>
    </row>
    <row r="893" spans="1:3" x14ac:dyDescent="0.3">
      <c r="A893" s="24">
        <v>67257</v>
      </c>
      <c r="B893" t="s">
        <v>662</v>
      </c>
      <c r="C893" t="s">
        <v>664</v>
      </c>
    </row>
    <row r="894" spans="1:3" x14ac:dyDescent="0.3">
      <c r="A894" s="23">
        <v>171059</v>
      </c>
      <c r="B894" t="s">
        <v>662</v>
      </c>
      <c r="C894" t="s">
        <v>664</v>
      </c>
    </row>
    <row r="895" spans="1:3" x14ac:dyDescent="0.3">
      <c r="A895" s="24">
        <v>172942</v>
      </c>
      <c r="B895" t="s">
        <v>662</v>
      </c>
      <c r="C895" t="s">
        <v>664</v>
      </c>
    </row>
    <row r="896" spans="1:3" x14ac:dyDescent="0.3">
      <c r="A896" s="23">
        <v>204149</v>
      </c>
      <c r="B896" t="s">
        <v>662</v>
      </c>
      <c r="C896" t="s">
        <v>664</v>
      </c>
    </row>
    <row r="897" spans="1:3" x14ac:dyDescent="0.3">
      <c r="A897" s="24">
        <v>86092</v>
      </c>
      <c r="B897" t="s">
        <v>662</v>
      </c>
      <c r="C897" t="s">
        <v>664</v>
      </c>
    </row>
    <row r="898" spans="1:3" x14ac:dyDescent="0.3">
      <c r="A898" s="23">
        <v>402320</v>
      </c>
      <c r="B898" t="s">
        <v>662</v>
      </c>
      <c r="C898" t="s">
        <v>664</v>
      </c>
    </row>
    <row r="899" spans="1:3" x14ac:dyDescent="0.3">
      <c r="A899" s="24">
        <v>418006</v>
      </c>
      <c r="B899" t="s">
        <v>662</v>
      </c>
      <c r="C899" t="s">
        <v>664</v>
      </c>
    </row>
    <row r="900" spans="1:3" x14ac:dyDescent="0.3">
      <c r="A900" s="23">
        <v>246818</v>
      </c>
      <c r="B900" t="s">
        <v>662</v>
      </c>
      <c r="C900" t="s">
        <v>664</v>
      </c>
    </row>
    <row r="901" spans="1:3" x14ac:dyDescent="0.3">
      <c r="A901" s="23">
        <v>248558</v>
      </c>
      <c r="B901" t="s">
        <v>662</v>
      </c>
      <c r="C901" t="s">
        <v>664</v>
      </c>
    </row>
    <row r="902" spans="1:3" x14ac:dyDescent="0.3">
      <c r="A902" s="24">
        <v>69579</v>
      </c>
      <c r="B902" t="s">
        <v>662</v>
      </c>
      <c r="C902" t="s">
        <v>664</v>
      </c>
    </row>
    <row r="903" spans="1:3" x14ac:dyDescent="0.3">
      <c r="A903" s="24">
        <v>82751</v>
      </c>
      <c r="B903" t="s">
        <v>662</v>
      </c>
      <c r="C903" t="s">
        <v>664</v>
      </c>
    </row>
    <row r="904" spans="1:3" x14ac:dyDescent="0.3">
      <c r="A904" s="23">
        <v>136802</v>
      </c>
      <c r="B904" t="s">
        <v>662</v>
      </c>
      <c r="C904" t="s">
        <v>664</v>
      </c>
    </row>
    <row r="905" spans="1:3" x14ac:dyDescent="0.3">
      <c r="A905" s="24">
        <v>100429</v>
      </c>
      <c r="B905" t="s">
        <v>662</v>
      </c>
      <c r="C905" t="s">
        <v>664</v>
      </c>
    </row>
    <row r="906" spans="1:3" x14ac:dyDescent="0.3">
      <c r="A906" s="23">
        <v>236028</v>
      </c>
      <c r="B906" t="s">
        <v>662</v>
      </c>
      <c r="C906" t="s">
        <v>664</v>
      </c>
    </row>
    <row r="907" spans="1:3" x14ac:dyDescent="0.3">
      <c r="A907" s="24">
        <v>401950</v>
      </c>
      <c r="B907" t="s">
        <v>662</v>
      </c>
      <c r="C907" t="s">
        <v>664</v>
      </c>
    </row>
    <row r="908" spans="1:3" x14ac:dyDescent="0.3">
      <c r="A908" s="23">
        <v>409065</v>
      </c>
      <c r="B908" t="s">
        <v>662</v>
      </c>
      <c r="C908" t="s">
        <v>664</v>
      </c>
    </row>
    <row r="909" spans="1:3" x14ac:dyDescent="0.3">
      <c r="A909" s="23">
        <v>181945</v>
      </c>
      <c r="B909" t="s">
        <v>662</v>
      </c>
      <c r="C909" t="s">
        <v>664</v>
      </c>
    </row>
    <row r="910" spans="1:3" x14ac:dyDescent="0.3">
      <c r="A910" s="24">
        <v>183256</v>
      </c>
      <c r="B910" t="s">
        <v>662</v>
      </c>
      <c r="C910" t="s">
        <v>664</v>
      </c>
    </row>
    <row r="911" spans="1:3" x14ac:dyDescent="0.3">
      <c r="A911" s="23">
        <v>188317</v>
      </c>
      <c r="B911" t="s">
        <v>662</v>
      </c>
      <c r="C911" t="s">
        <v>664</v>
      </c>
    </row>
    <row r="912" spans="1:3" x14ac:dyDescent="0.3">
      <c r="A912" s="24">
        <v>254751</v>
      </c>
      <c r="B912" t="s">
        <v>662</v>
      </c>
      <c r="C912" t="s">
        <v>664</v>
      </c>
    </row>
    <row r="913" spans="1:3" x14ac:dyDescent="0.3">
      <c r="A913" s="24">
        <v>207304</v>
      </c>
      <c r="B913" t="s">
        <v>662</v>
      </c>
      <c r="C913" t="s">
        <v>664</v>
      </c>
    </row>
    <row r="914" spans="1:3" x14ac:dyDescent="0.3">
      <c r="A914" s="23">
        <v>70913</v>
      </c>
      <c r="B914" t="s">
        <v>662</v>
      </c>
      <c r="C914" t="s">
        <v>664</v>
      </c>
    </row>
    <row r="915" spans="1:3" x14ac:dyDescent="0.3">
      <c r="A915" s="23">
        <v>169178</v>
      </c>
      <c r="B915" t="s">
        <v>662</v>
      </c>
      <c r="C915" t="s">
        <v>664</v>
      </c>
    </row>
    <row r="916" spans="1:3" x14ac:dyDescent="0.3">
      <c r="A916" s="24">
        <v>145239</v>
      </c>
      <c r="B916" t="s">
        <v>662</v>
      </c>
      <c r="C916" t="s">
        <v>664</v>
      </c>
    </row>
    <row r="917" spans="1:3" x14ac:dyDescent="0.3">
      <c r="A917" s="23">
        <v>117601</v>
      </c>
      <c r="B917" t="s">
        <v>662</v>
      </c>
      <c r="C917" t="s">
        <v>664</v>
      </c>
    </row>
    <row r="918" spans="1:3" x14ac:dyDescent="0.3">
      <c r="A918" s="24">
        <v>138087</v>
      </c>
      <c r="B918" t="s">
        <v>662</v>
      </c>
      <c r="C918" t="s">
        <v>664</v>
      </c>
    </row>
    <row r="919" spans="1:3" x14ac:dyDescent="0.3">
      <c r="A919" s="23">
        <v>400271</v>
      </c>
      <c r="B919" t="s">
        <v>662</v>
      </c>
      <c r="C919" t="s">
        <v>664</v>
      </c>
    </row>
    <row r="920" spans="1:3" x14ac:dyDescent="0.3">
      <c r="A920" s="24">
        <v>406597</v>
      </c>
      <c r="B920" t="s">
        <v>662</v>
      </c>
      <c r="C920" t="s">
        <v>664</v>
      </c>
    </row>
    <row r="921" spans="1:3" x14ac:dyDescent="0.3">
      <c r="A921" s="23">
        <v>405817</v>
      </c>
      <c r="B921" t="s">
        <v>662</v>
      </c>
      <c r="C921" t="s">
        <v>664</v>
      </c>
    </row>
    <row r="922" spans="1:3" x14ac:dyDescent="0.3">
      <c r="A922" s="24">
        <v>221759</v>
      </c>
      <c r="B922" t="s">
        <v>662</v>
      </c>
      <c r="C922" t="s">
        <v>664</v>
      </c>
    </row>
    <row r="923" spans="1:3" x14ac:dyDescent="0.3">
      <c r="A923" s="24">
        <v>250387</v>
      </c>
      <c r="B923" t="s">
        <v>662</v>
      </c>
      <c r="C923" t="s">
        <v>664</v>
      </c>
    </row>
    <row r="924" spans="1:3" x14ac:dyDescent="0.3">
      <c r="A924" s="23">
        <v>409286</v>
      </c>
      <c r="B924" t="s">
        <v>662</v>
      </c>
      <c r="C924" t="s">
        <v>664</v>
      </c>
    </row>
    <row r="925" spans="1:3" x14ac:dyDescent="0.3">
      <c r="A925" s="24">
        <v>226017</v>
      </c>
      <c r="B925" t="s">
        <v>662</v>
      </c>
      <c r="C925" t="s">
        <v>664</v>
      </c>
    </row>
    <row r="926" spans="1:3" x14ac:dyDescent="0.3">
      <c r="A926" s="23">
        <v>84204</v>
      </c>
      <c r="B926" t="s">
        <v>662</v>
      </c>
      <c r="C926" t="s">
        <v>664</v>
      </c>
    </row>
    <row r="927" spans="1:3" x14ac:dyDescent="0.3">
      <c r="A927" s="24">
        <v>79364</v>
      </c>
      <c r="B927" t="s">
        <v>662</v>
      </c>
      <c r="C927" t="s">
        <v>664</v>
      </c>
    </row>
    <row r="928" spans="1:3" x14ac:dyDescent="0.3">
      <c r="A928" s="23">
        <v>181143</v>
      </c>
      <c r="B928" t="s">
        <v>662</v>
      </c>
      <c r="C928" t="s">
        <v>664</v>
      </c>
    </row>
    <row r="929" spans="1:3" x14ac:dyDescent="0.3">
      <c r="A929" s="24">
        <v>77341</v>
      </c>
      <c r="B929" t="s">
        <v>662</v>
      </c>
      <c r="C929" t="s">
        <v>664</v>
      </c>
    </row>
    <row r="930" spans="1:3" x14ac:dyDescent="0.3">
      <c r="A930" s="24">
        <v>84412</v>
      </c>
      <c r="B930" t="s">
        <v>662</v>
      </c>
      <c r="C930" t="s">
        <v>664</v>
      </c>
    </row>
    <row r="931" spans="1:3" x14ac:dyDescent="0.3">
      <c r="A931" s="24">
        <v>120980</v>
      </c>
      <c r="B931" t="s">
        <v>662</v>
      </c>
      <c r="C931" t="s">
        <v>664</v>
      </c>
    </row>
    <row r="932" spans="1:3" x14ac:dyDescent="0.3">
      <c r="A932" s="23">
        <v>181134</v>
      </c>
      <c r="B932" t="s">
        <v>662</v>
      </c>
      <c r="C932" t="s">
        <v>664</v>
      </c>
    </row>
    <row r="933" spans="1:3" x14ac:dyDescent="0.3">
      <c r="A933" s="24">
        <v>231734</v>
      </c>
      <c r="B933" t="s">
        <v>662</v>
      </c>
      <c r="C933" t="s">
        <v>664</v>
      </c>
    </row>
    <row r="934" spans="1:3" x14ac:dyDescent="0.3">
      <c r="A934" s="24">
        <v>144112</v>
      </c>
      <c r="B934" t="s">
        <v>662</v>
      </c>
      <c r="C934" t="s">
        <v>664</v>
      </c>
    </row>
    <row r="935" spans="1:3" x14ac:dyDescent="0.3">
      <c r="A935" s="23">
        <v>415434</v>
      </c>
      <c r="B935" t="s">
        <v>662</v>
      </c>
      <c r="C935" t="s">
        <v>664</v>
      </c>
    </row>
    <row r="936" spans="1:3" x14ac:dyDescent="0.3">
      <c r="A936" s="23">
        <v>242809</v>
      </c>
      <c r="B936" t="s">
        <v>662</v>
      </c>
      <c r="C936" t="s">
        <v>664</v>
      </c>
    </row>
    <row r="937" spans="1:3" x14ac:dyDescent="0.3">
      <c r="A937" s="24">
        <v>250109</v>
      </c>
      <c r="B937" t="s">
        <v>662</v>
      </c>
      <c r="C937" t="s">
        <v>664</v>
      </c>
    </row>
    <row r="938" spans="1:3" x14ac:dyDescent="0.3">
      <c r="A938" s="23">
        <v>139618</v>
      </c>
      <c r="B938" t="s">
        <v>662</v>
      </c>
      <c r="C938" t="s">
        <v>664</v>
      </c>
    </row>
    <row r="939" spans="1:3" x14ac:dyDescent="0.3">
      <c r="A939" s="24">
        <v>407924</v>
      </c>
      <c r="B939" t="s">
        <v>662</v>
      </c>
      <c r="C939" t="s">
        <v>664</v>
      </c>
    </row>
    <row r="940" spans="1:3" x14ac:dyDescent="0.3">
      <c r="A940" s="23">
        <v>404396</v>
      </c>
      <c r="B940" t="s">
        <v>662</v>
      </c>
      <c r="C940" t="s">
        <v>664</v>
      </c>
    </row>
    <row r="941" spans="1:3" x14ac:dyDescent="0.3">
      <c r="A941" s="23">
        <v>171707</v>
      </c>
      <c r="B941" t="s">
        <v>662</v>
      </c>
      <c r="C941" t="s">
        <v>664</v>
      </c>
    </row>
    <row r="942" spans="1:3" x14ac:dyDescent="0.3">
      <c r="A942" s="24">
        <v>418394</v>
      </c>
      <c r="B942" t="s">
        <v>662</v>
      </c>
      <c r="C942" t="s">
        <v>664</v>
      </c>
    </row>
    <row r="943" spans="1:3" x14ac:dyDescent="0.3">
      <c r="A943" s="23">
        <v>181136</v>
      </c>
      <c r="B943" t="s">
        <v>662</v>
      </c>
      <c r="C943" t="s">
        <v>664</v>
      </c>
    </row>
    <row r="944" spans="1:3" x14ac:dyDescent="0.3">
      <c r="A944" s="24">
        <v>250384</v>
      </c>
      <c r="B944" t="s">
        <v>662</v>
      </c>
      <c r="C944" t="s">
        <v>664</v>
      </c>
    </row>
    <row r="945" spans="1:3" x14ac:dyDescent="0.3">
      <c r="A945" s="23">
        <v>419127</v>
      </c>
      <c r="B945" t="s">
        <v>662</v>
      </c>
      <c r="C945" t="s">
        <v>664</v>
      </c>
    </row>
    <row r="946" spans="1:3" x14ac:dyDescent="0.3">
      <c r="A946" s="24">
        <v>251212</v>
      </c>
      <c r="B946" t="s">
        <v>662</v>
      </c>
      <c r="C946" t="s">
        <v>664</v>
      </c>
    </row>
    <row r="947" spans="1:3" x14ac:dyDescent="0.3">
      <c r="A947" s="23">
        <v>409758</v>
      </c>
      <c r="B947" t="s">
        <v>662</v>
      </c>
      <c r="C947" t="s">
        <v>664</v>
      </c>
    </row>
    <row r="948" spans="1:3" x14ac:dyDescent="0.3">
      <c r="A948" s="24">
        <v>150700</v>
      </c>
      <c r="B948" t="s">
        <v>662</v>
      </c>
      <c r="C948" t="s">
        <v>664</v>
      </c>
    </row>
    <row r="949" spans="1:3" x14ac:dyDescent="0.3">
      <c r="A949" s="23">
        <v>69449</v>
      </c>
      <c r="B949" t="s">
        <v>662</v>
      </c>
      <c r="C949" t="s">
        <v>664</v>
      </c>
    </row>
    <row r="950" spans="1:3" x14ac:dyDescent="0.3">
      <c r="A950" s="23">
        <v>62909</v>
      </c>
      <c r="B950" t="s">
        <v>662</v>
      </c>
      <c r="C950" t="s">
        <v>664</v>
      </c>
    </row>
    <row r="951" spans="1:3" x14ac:dyDescent="0.3">
      <c r="A951" s="24">
        <v>419514</v>
      </c>
      <c r="B951" t="s">
        <v>662</v>
      </c>
      <c r="C951" t="s">
        <v>664</v>
      </c>
    </row>
    <row r="952" spans="1:3" x14ac:dyDescent="0.3">
      <c r="A952" s="23">
        <v>157548</v>
      </c>
      <c r="B952" t="s">
        <v>662</v>
      </c>
      <c r="C952" t="s">
        <v>664</v>
      </c>
    </row>
    <row r="953" spans="1:3" x14ac:dyDescent="0.3">
      <c r="A953" s="24">
        <v>217543</v>
      </c>
      <c r="B953" t="s">
        <v>662</v>
      </c>
      <c r="C953" t="s">
        <v>664</v>
      </c>
    </row>
    <row r="954" spans="1:3" x14ac:dyDescent="0.3">
      <c r="A954" s="23">
        <v>80845</v>
      </c>
      <c r="B954" t="s">
        <v>662</v>
      </c>
      <c r="C954" t="s">
        <v>664</v>
      </c>
    </row>
    <row r="955" spans="1:3" x14ac:dyDescent="0.3">
      <c r="A955" s="24">
        <v>184473</v>
      </c>
      <c r="B955" t="s">
        <v>662</v>
      </c>
      <c r="C955" t="s">
        <v>664</v>
      </c>
    </row>
    <row r="956" spans="1:3" x14ac:dyDescent="0.3">
      <c r="A956" s="24">
        <v>87455</v>
      </c>
      <c r="B956" t="s">
        <v>662</v>
      </c>
      <c r="C956" t="s">
        <v>664</v>
      </c>
    </row>
    <row r="957" spans="1:3" x14ac:dyDescent="0.3">
      <c r="A957" s="23">
        <v>65595</v>
      </c>
      <c r="B957" t="s">
        <v>662</v>
      </c>
      <c r="C957" t="s">
        <v>664</v>
      </c>
    </row>
    <row r="958" spans="1:3" x14ac:dyDescent="0.3">
      <c r="A958" s="24">
        <v>216776</v>
      </c>
      <c r="B958" t="s">
        <v>662</v>
      </c>
      <c r="C958" t="s">
        <v>664</v>
      </c>
    </row>
    <row r="959" spans="1:3" x14ac:dyDescent="0.3">
      <c r="A959" s="23">
        <v>422858</v>
      </c>
      <c r="B959" t="s">
        <v>662</v>
      </c>
      <c r="C959" t="s">
        <v>664</v>
      </c>
    </row>
    <row r="960" spans="1:3" x14ac:dyDescent="0.3">
      <c r="A960" s="24">
        <v>248406</v>
      </c>
      <c r="B960" t="s">
        <v>662</v>
      </c>
      <c r="C960" t="s">
        <v>664</v>
      </c>
    </row>
    <row r="961" spans="1:3" x14ac:dyDescent="0.3">
      <c r="A961" s="23">
        <v>402582</v>
      </c>
      <c r="B961" t="s">
        <v>662</v>
      </c>
      <c r="C961" t="s">
        <v>664</v>
      </c>
    </row>
    <row r="962" spans="1:3" x14ac:dyDescent="0.3">
      <c r="A962" s="23">
        <v>181137</v>
      </c>
      <c r="B962" t="s">
        <v>662</v>
      </c>
      <c r="C962" t="s">
        <v>664</v>
      </c>
    </row>
    <row r="963" spans="1:3" x14ac:dyDescent="0.3">
      <c r="A963" s="24">
        <v>54844</v>
      </c>
      <c r="B963" t="s">
        <v>662</v>
      </c>
      <c r="C963" t="s">
        <v>664</v>
      </c>
    </row>
    <row r="964" spans="1:3" x14ac:dyDescent="0.3">
      <c r="A964" s="23">
        <v>171708</v>
      </c>
      <c r="B964" t="s">
        <v>662</v>
      </c>
      <c r="C964" t="s">
        <v>664</v>
      </c>
    </row>
    <row r="965" spans="1:3" x14ac:dyDescent="0.3">
      <c r="A965" s="24">
        <v>413229</v>
      </c>
      <c r="B965" t="s">
        <v>662</v>
      </c>
      <c r="C965" t="s">
        <v>664</v>
      </c>
    </row>
    <row r="966" spans="1:3" x14ac:dyDescent="0.3">
      <c r="A966" s="24">
        <v>179185</v>
      </c>
      <c r="B966" t="s">
        <v>662</v>
      </c>
      <c r="C966" t="s">
        <v>664</v>
      </c>
    </row>
    <row r="967" spans="1:3" x14ac:dyDescent="0.3">
      <c r="A967" s="23">
        <v>182813</v>
      </c>
      <c r="B967" t="s">
        <v>662</v>
      </c>
      <c r="C967" t="s">
        <v>664</v>
      </c>
    </row>
    <row r="968" spans="1:3" x14ac:dyDescent="0.3">
      <c r="A968" s="24">
        <v>416498</v>
      </c>
      <c r="B968" t="s">
        <v>662</v>
      </c>
      <c r="C968" t="s">
        <v>664</v>
      </c>
    </row>
    <row r="969" spans="1:3" x14ac:dyDescent="0.3">
      <c r="A969" s="23">
        <v>171060</v>
      </c>
      <c r="B969" t="s">
        <v>662</v>
      </c>
      <c r="C969" t="s">
        <v>664</v>
      </c>
    </row>
    <row r="970" spans="1:3" x14ac:dyDescent="0.3">
      <c r="A970" s="24">
        <v>156047</v>
      </c>
      <c r="B970" t="s">
        <v>662</v>
      </c>
      <c r="C970" t="s">
        <v>664</v>
      </c>
    </row>
    <row r="971" spans="1:3" x14ac:dyDescent="0.3">
      <c r="A971" s="23">
        <v>158679</v>
      </c>
      <c r="B971" t="s">
        <v>662</v>
      </c>
      <c r="C971" t="s">
        <v>664</v>
      </c>
    </row>
    <row r="972" spans="1:3" x14ac:dyDescent="0.3">
      <c r="A972" s="24">
        <v>176103</v>
      </c>
      <c r="B972" t="s">
        <v>662</v>
      </c>
      <c r="C972" t="s">
        <v>664</v>
      </c>
    </row>
    <row r="973" spans="1:3" x14ac:dyDescent="0.3">
      <c r="A973" s="23">
        <v>418188</v>
      </c>
      <c r="B973" t="s">
        <v>662</v>
      </c>
      <c r="C973" t="s">
        <v>664</v>
      </c>
    </row>
    <row r="974" spans="1:3" x14ac:dyDescent="0.3">
      <c r="A974" s="23">
        <v>54115</v>
      </c>
      <c r="B974" t="s">
        <v>662</v>
      </c>
      <c r="C974" t="s">
        <v>664</v>
      </c>
    </row>
    <row r="975" spans="1:3" x14ac:dyDescent="0.3">
      <c r="A975" s="24">
        <v>181144</v>
      </c>
      <c r="B975" t="s">
        <v>662</v>
      </c>
      <c r="C975" t="s">
        <v>664</v>
      </c>
    </row>
    <row r="976" spans="1:3" x14ac:dyDescent="0.3">
      <c r="A976" s="23">
        <v>203153</v>
      </c>
      <c r="B976" t="s">
        <v>662</v>
      </c>
      <c r="C976" t="s">
        <v>664</v>
      </c>
    </row>
    <row r="977" spans="1:3" x14ac:dyDescent="0.3">
      <c r="A977" s="24">
        <v>139837</v>
      </c>
      <c r="B977" t="s">
        <v>662</v>
      </c>
      <c r="C977" t="s">
        <v>664</v>
      </c>
    </row>
    <row r="978" spans="1:3" x14ac:dyDescent="0.3">
      <c r="A978" s="23">
        <v>46323</v>
      </c>
      <c r="B978" t="s">
        <v>662</v>
      </c>
      <c r="C978" t="s">
        <v>664</v>
      </c>
    </row>
    <row r="979" spans="1:3" x14ac:dyDescent="0.3">
      <c r="A979" s="23">
        <v>223454</v>
      </c>
      <c r="B979" t="s">
        <v>662</v>
      </c>
      <c r="C979" t="s">
        <v>664</v>
      </c>
    </row>
    <row r="980" spans="1:3" x14ac:dyDescent="0.3">
      <c r="A980" s="24">
        <v>145469</v>
      </c>
      <c r="B980" t="s">
        <v>662</v>
      </c>
      <c r="C980" t="s">
        <v>664</v>
      </c>
    </row>
    <row r="981" spans="1:3" x14ac:dyDescent="0.3">
      <c r="A981" s="23">
        <v>244933</v>
      </c>
      <c r="B981" t="s">
        <v>662</v>
      </c>
      <c r="C981" t="s">
        <v>664</v>
      </c>
    </row>
    <row r="982" spans="1:3" x14ac:dyDescent="0.3">
      <c r="A982" s="24">
        <v>221029</v>
      </c>
      <c r="B982" t="s">
        <v>662</v>
      </c>
      <c r="C982" t="s">
        <v>664</v>
      </c>
    </row>
    <row r="983" spans="1:3" x14ac:dyDescent="0.3">
      <c r="A983" s="23">
        <v>152768</v>
      </c>
      <c r="B983" t="s">
        <v>662</v>
      </c>
      <c r="C983" t="s">
        <v>664</v>
      </c>
    </row>
    <row r="984" spans="1:3" x14ac:dyDescent="0.3">
      <c r="A984" s="24">
        <v>63557</v>
      </c>
      <c r="B984" t="s">
        <v>662</v>
      </c>
      <c r="C984" t="s">
        <v>664</v>
      </c>
    </row>
    <row r="985" spans="1:3" x14ac:dyDescent="0.3">
      <c r="A985" s="24">
        <v>207628</v>
      </c>
      <c r="B985" t="s">
        <v>658</v>
      </c>
      <c r="C985" t="s">
        <v>664</v>
      </c>
    </row>
    <row r="986" spans="1:3" x14ac:dyDescent="0.3">
      <c r="A986" s="23">
        <v>207897</v>
      </c>
      <c r="B986" t="s">
        <v>658</v>
      </c>
      <c r="C986" t="s">
        <v>664</v>
      </c>
    </row>
    <row r="987" spans="1:3" x14ac:dyDescent="0.3">
      <c r="A987" s="24">
        <v>413186</v>
      </c>
      <c r="B987" t="s">
        <v>1371</v>
      </c>
      <c r="C987" t="s">
        <v>664</v>
      </c>
    </row>
    <row r="988" spans="1:3" x14ac:dyDescent="0.3">
      <c r="A988" s="24">
        <v>423593</v>
      </c>
      <c r="B988" t="s">
        <v>699</v>
      </c>
      <c r="C988" t="s">
        <v>664</v>
      </c>
    </row>
    <row r="989" spans="1:3" x14ac:dyDescent="0.3">
      <c r="A989" s="24">
        <v>423957</v>
      </c>
      <c r="B989" t="s">
        <v>742</v>
      </c>
      <c r="C989" t="s">
        <v>664</v>
      </c>
    </row>
    <row r="990" spans="1:3" x14ac:dyDescent="0.3">
      <c r="A990" s="24">
        <v>412987</v>
      </c>
      <c r="B990" t="s">
        <v>662</v>
      </c>
      <c r="C990" t="s">
        <v>664</v>
      </c>
    </row>
    <row r="991" spans="1:3" x14ac:dyDescent="0.3">
      <c r="A991" s="23">
        <v>418618</v>
      </c>
      <c r="B991" t="s">
        <v>662</v>
      </c>
      <c r="C991" t="s">
        <v>664</v>
      </c>
    </row>
    <row r="992" spans="1:3" x14ac:dyDescent="0.3">
      <c r="A992" s="24">
        <v>423818</v>
      </c>
      <c r="B992" t="s">
        <v>1371</v>
      </c>
      <c r="C992" t="s">
        <v>664</v>
      </c>
    </row>
    <row r="993" spans="1:3" x14ac:dyDescent="0.3">
      <c r="A993" s="24">
        <v>207894</v>
      </c>
      <c r="B993" t="s">
        <v>1371</v>
      </c>
      <c r="C993" t="s">
        <v>664</v>
      </c>
    </row>
    <row r="994" spans="1:3" x14ac:dyDescent="0.3">
      <c r="A994" s="24">
        <v>423758</v>
      </c>
      <c r="B994" t="s">
        <v>699</v>
      </c>
      <c r="C994" t="s">
        <v>664</v>
      </c>
    </row>
    <row r="995" spans="1:3" x14ac:dyDescent="0.3">
      <c r="A995" s="24">
        <v>423772</v>
      </c>
      <c r="B995" t="s">
        <v>743</v>
      </c>
      <c r="C995" t="s">
        <v>664</v>
      </c>
    </row>
    <row r="996" spans="1:3" x14ac:dyDescent="0.3">
      <c r="A996" s="23">
        <v>423625</v>
      </c>
      <c r="B996" t="s">
        <v>743</v>
      </c>
      <c r="C996" t="s">
        <v>664</v>
      </c>
    </row>
    <row r="997" spans="1:3" x14ac:dyDescent="0.3">
      <c r="A997" s="24">
        <v>423774</v>
      </c>
      <c r="B997" t="s">
        <v>1191</v>
      </c>
      <c r="C997" t="s">
        <v>664</v>
      </c>
    </row>
    <row r="998" spans="1:3" x14ac:dyDescent="0.3">
      <c r="A998" s="24">
        <v>423771</v>
      </c>
      <c r="B998" t="s">
        <v>1191</v>
      </c>
      <c r="C998" t="s">
        <v>664</v>
      </c>
    </row>
    <row r="999" spans="1:3" x14ac:dyDescent="0.3">
      <c r="A999" s="24">
        <v>423698</v>
      </c>
      <c r="B999" t="s">
        <v>658</v>
      </c>
      <c r="C999" t="s">
        <v>664</v>
      </c>
    </row>
    <row r="1000" spans="1:3" x14ac:dyDescent="0.3">
      <c r="A1000" s="24">
        <v>423798</v>
      </c>
      <c r="B1000" t="s">
        <v>1371</v>
      </c>
      <c r="C1000" t="s">
        <v>664</v>
      </c>
    </row>
    <row r="1001" spans="1:3" x14ac:dyDescent="0.3">
      <c r="A1001" s="23">
        <v>423508</v>
      </c>
      <c r="B1001" t="s">
        <v>1371</v>
      </c>
      <c r="C1001" t="s">
        <v>664</v>
      </c>
    </row>
    <row r="1002" spans="1:3" x14ac:dyDescent="0.3">
      <c r="A1002" s="24">
        <v>423506</v>
      </c>
      <c r="B1002" t="s">
        <v>660</v>
      </c>
      <c r="C1002" t="s">
        <v>664</v>
      </c>
    </row>
    <row r="1003" spans="1:3" x14ac:dyDescent="0.3">
      <c r="A1003" s="24">
        <v>423524</v>
      </c>
      <c r="B1003" t="s">
        <v>1371</v>
      </c>
      <c r="C1003" t="s">
        <v>664</v>
      </c>
    </row>
    <row r="1004" spans="1:3" x14ac:dyDescent="0.3">
      <c r="A1004" s="24">
        <v>423983</v>
      </c>
      <c r="B1004" t="s">
        <v>1191</v>
      </c>
      <c r="C1004" t="s">
        <v>664</v>
      </c>
    </row>
    <row r="1005" spans="1:3" x14ac:dyDescent="0.3">
      <c r="A1005" s="24">
        <v>405887</v>
      </c>
      <c r="B1005" t="s">
        <v>662</v>
      </c>
      <c r="C1005" t="s">
        <v>664</v>
      </c>
    </row>
    <row r="1006" spans="1:3" x14ac:dyDescent="0.3">
      <c r="A1006" s="24">
        <v>423949</v>
      </c>
      <c r="B1006" t="s">
        <v>658</v>
      </c>
      <c r="C1006" t="s">
        <v>664</v>
      </c>
    </row>
    <row r="1007" spans="1:3" x14ac:dyDescent="0.3">
      <c r="A1007" s="24">
        <v>403164</v>
      </c>
      <c r="B1007" t="s">
        <v>1107</v>
      </c>
      <c r="C1007" t="s">
        <v>662</v>
      </c>
    </row>
    <row r="1008" spans="1:3" x14ac:dyDescent="0.3">
      <c r="A1008" s="24">
        <v>423860</v>
      </c>
      <c r="B1008" t="s">
        <v>658</v>
      </c>
      <c r="C1008" t="s">
        <v>664</v>
      </c>
    </row>
    <row r="1009" spans="1:3" x14ac:dyDescent="0.3">
      <c r="A1009" s="24">
        <v>424081</v>
      </c>
      <c r="B1009" t="s">
        <v>662</v>
      </c>
      <c r="C1009" t="s">
        <v>664</v>
      </c>
    </row>
    <row r="1010" spans="1:3" x14ac:dyDescent="0.3">
      <c r="A1010" s="24">
        <v>424106</v>
      </c>
      <c r="B1010" t="s">
        <v>742</v>
      </c>
      <c r="C1010" t="s">
        <v>664</v>
      </c>
    </row>
    <row r="1011" spans="1:3" x14ac:dyDescent="0.3">
      <c r="A1011" s="24">
        <v>423638</v>
      </c>
      <c r="B1011" t="s">
        <v>744</v>
      </c>
      <c r="C1011" t="s">
        <v>664</v>
      </c>
    </row>
    <row r="1012" spans="1:3" x14ac:dyDescent="0.3">
      <c r="A1012" s="24">
        <v>179143</v>
      </c>
      <c r="B1012" t="s">
        <v>1107</v>
      </c>
      <c r="C1012" t="s">
        <v>662</v>
      </c>
    </row>
    <row r="1013" spans="1:3" x14ac:dyDescent="0.3">
      <c r="A1013" s="23">
        <v>221639</v>
      </c>
      <c r="B1013" t="s">
        <v>1107</v>
      </c>
      <c r="C1013" t="s">
        <v>662</v>
      </c>
    </row>
    <row r="1014" spans="1:3" x14ac:dyDescent="0.3">
      <c r="A1014" s="24">
        <v>150795</v>
      </c>
      <c r="B1014" t="s">
        <v>1107</v>
      </c>
      <c r="C1014" t="s">
        <v>662</v>
      </c>
    </row>
    <row r="1015" spans="1:3" x14ac:dyDescent="0.3">
      <c r="A1015" s="23">
        <v>417617</v>
      </c>
      <c r="B1015" t="s">
        <v>1107</v>
      </c>
      <c r="C1015" t="s">
        <v>662</v>
      </c>
    </row>
    <row r="1016" spans="1:3" x14ac:dyDescent="0.3">
      <c r="A1016" s="24">
        <v>406179</v>
      </c>
      <c r="B1016" t="s">
        <v>1107</v>
      </c>
      <c r="C1016" t="s">
        <v>662</v>
      </c>
    </row>
    <row r="1017" spans="1:3" x14ac:dyDescent="0.3">
      <c r="A1017" s="23">
        <v>176231</v>
      </c>
      <c r="B1017" t="s">
        <v>1107</v>
      </c>
      <c r="C1017" t="s">
        <v>662</v>
      </c>
    </row>
    <row r="1018" spans="1:3" x14ac:dyDescent="0.3">
      <c r="A1018" s="24">
        <v>143510</v>
      </c>
      <c r="B1018" t="s">
        <v>1107</v>
      </c>
      <c r="C1018" t="s">
        <v>662</v>
      </c>
    </row>
    <row r="1019" spans="1:3" x14ac:dyDescent="0.3">
      <c r="A1019" s="23">
        <v>98954</v>
      </c>
      <c r="B1019" t="s">
        <v>1107</v>
      </c>
      <c r="C1019" t="s">
        <v>662</v>
      </c>
    </row>
    <row r="1020" spans="1:3" x14ac:dyDescent="0.3">
      <c r="A1020" s="24">
        <v>410830</v>
      </c>
      <c r="B1020" t="s">
        <v>1107</v>
      </c>
      <c r="C1020" t="s">
        <v>662</v>
      </c>
    </row>
    <row r="1021" spans="1:3" x14ac:dyDescent="0.3">
      <c r="A1021" s="23">
        <v>44993</v>
      </c>
      <c r="B1021" t="s">
        <v>1107</v>
      </c>
      <c r="C1021" t="s">
        <v>662</v>
      </c>
    </row>
    <row r="1022" spans="1:3" x14ac:dyDescent="0.3">
      <c r="A1022" s="24">
        <v>245749</v>
      </c>
      <c r="B1022" t="s">
        <v>1107</v>
      </c>
      <c r="C1022" t="s">
        <v>662</v>
      </c>
    </row>
    <row r="1023" spans="1:3" x14ac:dyDescent="0.3">
      <c r="A1023" s="23">
        <v>418853</v>
      </c>
      <c r="B1023" t="s">
        <v>1107</v>
      </c>
      <c r="C1023" t="s">
        <v>662</v>
      </c>
    </row>
    <row r="1024" spans="1:3" x14ac:dyDescent="0.3">
      <c r="A1024" s="24">
        <v>75105</v>
      </c>
      <c r="B1024" t="s">
        <v>1107</v>
      </c>
      <c r="C1024" t="s">
        <v>662</v>
      </c>
    </row>
    <row r="1025" spans="1:3" x14ac:dyDescent="0.3">
      <c r="A1025" s="23">
        <v>231557</v>
      </c>
      <c r="B1025" t="s">
        <v>1107</v>
      </c>
      <c r="C1025" t="s">
        <v>662</v>
      </c>
    </row>
    <row r="1026" spans="1:3" x14ac:dyDescent="0.3">
      <c r="A1026" s="24">
        <v>401192</v>
      </c>
      <c r="B1026" t="s">
        <v>1107</v>
      </c>
      <c r="C1026" t="s">
        <v>662</v>
      </c>
    </row>
    <row r="1027" spans="1:3" x14ac:dyDescent="0.3">
      <c r="A1027" s="23">
        <v>408285</v>
      </c>
      <c r="B1027" t="s">
        <v>1107</v>
      </c>
      <c r="C1027" t="s">
        <v>662</v>
      </c>
    </row>
    <row r="1028" spans="1:3" x14ac:dyDescent="0.3">
      <c r="A1028" s="24">
        <v>408863</v>
      </c>
      <c r="B1028" t="s">
        <v>1107</v>
      </c>
      <c r="C1028" t="s">
        <v>662</v>
      </c>
    </row>
    <row r="1029" spans="1:3" x14ac:dyDescent="0.3">
      <c r="A1029" s="23">
        <v>243081</v>
      </c>
      <c r="B1029" t="s">
        <v>1107</v>
      </c>
      <c r="C1029" t="s">
        <v>662</v>
      </c>
    </row>
    <row r="1030" spans="1:3" x14ac:dyDescent="0.3">
      <c r="A1030" s="24">
        <v>250924</v>
      </c>
      <c r="B1030" t="s">
        <v>1107</v>
      </c>
      <c r="C1030" t="s">
        <v>662</v>
      </c>
    </row>
    <row r="1031" spans="1:3" x14ac:dyDescent="0.3">
      <c r="A1031" s="23">
        <v>187294</v>
      </c>
      <c r="B1031" t="s">
        <v>1107</v>
      </c>
      <c r="C1031" t="s">
        <v>662</v>
      </c>
    </row>
    <row r="1032" spans="1:3" x14ac:dyDescent="0.3">
      <c r="A1032" s="24">
        <v>251820</v>
      </c>
      <c r="B1032" t="s">
        <v>1107</v>
      </c>
      <c r="C1032" t="s">
        <v>662</v>
      </c>
    </row>
    <row r="1033" spans="1:3" x14ac:dyDescent="0.3">
      <c r="A1033" s="23">
        <v>235844</v>
      </c>
      <c r="B1033" t="s">
        <v>1107</v>
      </c>
      <c r="C1033" t="s">
        <v>662</v>
      </c>
    </row>
    <row r="1034" spans="1:3" x14ac:dyDescent="0.3">
      <c r="A1034" s="23">
        <v>153609</v>
      </c>
      <c r="B1034" t="s">
        <v>1107</v>
      </c>
      <c r="C1034" t="s">
        <v>662</v>
      </c>
    </row>
    <row r="1035" spans="1:3" x14ac:dyDescent="0.3">
      <c r="A1035" s="24">
        <v>159525</v>
      </c>
      <c r="B1035" t="s">
        <v>1107</v>
      </c>
      <c r="C1035" t="s">
        <v>662</v>
      </c>
    </row>
    <row r="1036" spans="1:3" x14ac:dyDescent="0.3">
      <c r="A1036" s="23">
        <v>408894</v>
      </c>
      <c r="B1036" t="s">
        <v>1107</v>
      </c>
      <c r="C1036" t="s">
        <v>662</v>
      </c>
    </row>
    <row r="1037" spans="1:3" x14ac:dyDescent="0.3">
      <c r="A1037" s="24">
        <v>231563</v>
      </c>
      <c r="B1037" t="s">
        <v>1107</v>
      </c>
      <c r="C1037" t="s">
        <v>662</v>
      </c>
    </row>
    <row r="1038" spans="1:3" x14ac:dyDescent="0.3">
      <c r="A1038" s="23">
        <v>231564</v>
      </c>
      <c r="B1038" t="s">
        <v>1107</v>
      </c>
      <c r="C1038" t="s">
        <v>662</v>
      </c>
    </row>
    <row r="1039" spans="1:3" x14ac:dyDescent="0.3">
      <c r="A1039" s="24">
        <v>47362</v>
      </c>
      <c r="B1039" t="s">
        <v>1107</v>
      </c>
      <c r="C1039" t="s">
        <v>662</v>
      </c>
    </row>
    <row r="1040" spans="1:3" x14ac:dyDescent="0.3">
      <c r="A1040" s="23">
        <v>239280</v>
      </c>
      <c r="B1040" t="s">
        <v>1107</v>
      </c>
      <c r="C1040" t="s">
        <v>662</v>
      </c>
    </row>
    <row r="1041" spans="1:3" x14ac:dyDescent="0.3">
      <c r="A1041" s="24">
        <v>121932</v>
      </c>
      <c r="B1041" t="s">
        <v>1107</v>
      </c>
      <c r="C1041" t="s">
        <v>662</v>
      </c>
    </row>
    <row r="1042" spans="1:3" x14ac:dyDescent="0.3">
      <c r="A1042" s="23">
        <v>411566</v>
      </c>
      <c r="B1042" t="s">
        <v>1107</v>
      </c>
      <c r="C1042" t="s">
        <v>662</v>
      </c>
    </row>
    <row r="1043" spans="1:3" x14ac:dyDescent="0.3">
      <c r="A1043" s="24">
        <v>400458</v>
      </c>
      <c r="B1043" t="s">
        <v>1107</v>
      </c>
      <c r="C1043" t="s">
        <v>662</v>
      </c>
    </row>
    <row r="1044" spans="1:3" x14ac:dyDescent="0.3">
      <c r="A1044" s="23">
        <v>404653</v>
      </c>
      <c r="B1044" t="s">
        <v>1107</v>
      </c>
      <c r="C1044" t="s">
        <v>662</v>
      </c>
    </row>
    <row r="1045" spans="1:3" x14ac:dyDescent="0.3">
      <c r="A1045" s="24">
        <v>181014</v>
      </c>
      <c r="B1045" t="s">
        <v>1107</v>
      </c>
      <c r="C1045" t="s">
        <v>662</v>
      </c>
    </row>
    <row r="1046" spans="1:3" x14ac:dyDescent="0.3">
      <c r="A1046" s="24">
        <v>423050</v>
      </c>
      <c r="B1046" t="s">
        <v>1107</v>
      </c>
      <c r="C1046" t="s">
        <v>662</v>
      </c>
    </row>
    <row r="1047" spans="1:3" x14ac:dyDescent="0.3">
      <c r="A1047" s="23">
        <v>423538</v>
      </c>
      <c r="B1047" t="s">
        <v>1107</v>
      </c>
      <c r="C1047" t="s">
        <v>662</v>
      </c>
    </row>
    <row r="1048" spans="1:3" x14ac:dyDescent="0.3">
      <c r="A1048" s="24">
        <v>423900</v>
      </c>
      <c r="B1048" t="s">
        <v>1107</v>
      </c>
      <c r="C1048" t="s">
        <v>662</v>
      </c>
    </row>
    <row r="1049" spans="1:3" x14ac:dyDescent="0.3">
      <c r="A1049" s="23">
        <v>423616</v>
      </c>
      <c r="B1049" t="s">
        <v>1107</v>
      </c>
      <c r="C1049" t="s">
        <v>662</v>
      </c>
    </row>
    <row r="1050" spans="1:3" x14ac:dyDescent="0.3">
      <c r="A1050" s="24">
        <v>423901</v>
      </c>
      <c r="B1050" t="s">
        <v>1107</v>
      </c>
      <c r="C1050" t="s">
        <v>662</v>
      </c>
    </row>
    <row r="1051" spans="1:3" x14ac:dyDescent="0.3">
      <c r="A1051" s="23">
        <v>155522</v>
      </c>
      <c r="B1051" t="s">
        <v>1107</v>
      </c>
      <c r="C1051" t="s">
        <v>662</v>
      </c>
    </row>
    <row r="1052" spans="1:3" x14ac:dyDescent="0.3">
      <c r="A1052" s="24">
        <v>424129</v>
      </c>
      <c r="B1052" t="s">
        <v>1191</v>
      </c>
      <c r="C1052" t="s">
        <v>664</v>
      </c>
    </row>
    <row r="1053" spans="1:3" x14ac:dyDescent="0.3">
      <c r="A1053" s="23">
        <v>424107</v>
      </c>
      <c r="B1053" t="s">
        <v>1191</v>
      </c>
      <c r="C1053" t="s">
        <v>664</v>
      </c>
    </row>
    <row r="1054" spans="1:3" x14ac:dyDescent="0.3">
      <c r="A1054" s="24">
        <v>423966</v>
      </c>
      <c r="B1054" t="s">
        <v>1371</v>
      </c>
      <c r="C1054" t="s">
        <v>664</v>
      </c>
    </row>
    <row r="1055" spans="1:3" x14ac:dyDescent="0.3">
      <c r="A1055" s="23">
        <v>424206</v>
      </c>
      <c r="B1055" t="s">
        <v>659</v>
      </c>
      <c r="C1055" t="s">
        <v>664</v>
      </c>
    </row>
    <row r="1056" spans="1:3" x14ac:dyDescent="0.3">
      <c r="A1056" s="24">
        <v>424248</v>
      </c>
      <c r="B1056" t="s">
        <v>659</v>
      </c>
      <c r="C1056" t="s">
        <v>664</v>
      </c>
    </row>
    <row r="1057" spans="1:3" x14ac:dyDescent="0.3">
      <c r="A1057" s="24">
        <v>424165</v>
      </c>
      <c r="B1057" t="s">
        <v>742</v>
      </c>
      <c r="C1057" t="s">
        <v>664</v>
      </c>
    </row>
    <row r="1058" spans="1:3" x14ac:dyDescent="0.3">
      <c r="A1058" s="23">
        <v>424061</v>
      </c>
      <c r="B1058" t="s">
        <v>742</v>
      </c>
      <c r="C1058" t="s">
        <v>664</v>
      </c>
    </row>
    <row r="1059" spans="1:3" x14ac:dyDescent="0.3">
      <c r="A1059" s="24">
        <v>51350</v>
      </c>
      <c r="B1059" t="s">
        <v>743</v>
      </c>
      <c r="C1059" t="s">
        <v>664</v>
      </c>
    </row>
    <row r="1060" spans="1:3" x14ac:dyDescent="0.3">
      <c r="A1060" s="23">
        <v>251646</v>
      </c>
      <c r="B1060" t="s">
        <v>743</v>
      </c>
      <c r="C1060" t="s">
        <v>664</v>
      </c>
    </row>
    <row r="1061" spans="1:3" x14ac:dyDescent="0.3">
      <c r="A1061" s="24">
        <v>409636</v>
      </c>
      <c r="B1061" t="s">
        <v>742</v>
      </c>
      <c r="C1061" t="s">
        <v>664</v>
      </c>
    </row>
    <row r="1062" spans="1:3" x14ac:dyDescent="0.3">
      <c r="A1062" s="23">
        <v>422407</v>
      </c>
      <c r="B1062" t="s">
        <v>699</v>
      </c>
      <c r="C1062" t="s">
        <v>664</v>
      </c>
    </row>
    <row r="1063" spans="1:3" x14ac:dyDescent="0.3">
      <c r="A1063" s="24">
        <v>223446</v>
      </c>
      <c r="B1063" t="s">
        <v>662</v>
      </c>
      <c r="C1063" t="s">
        <v>664</v>
      </c>
    </row>
    <row r="1064" spans="1:3" x14ac:dyDescent="0.3">
      <c r="A1064" s="23">
        <v>424205</v>
      </c>
      <c r="B1064" t="s">
        <v>1107</v>
      </c>
      <c r="C1064" t="s">
        <v>662</v>
      </c>
    </row>
    <row r="1065" spans="1:3" x14ac:dyDescent="0.3">
      <c r="A1065" s="24">
        <v>412253</v>
      </c>
      <c r="B1065" t="s">
        <v>1371</v>
      </c>
      <c r="C1065" t="s">
        <v>664</v>
      </c>
    </row>
    <row r="1066" spans="1:3" x14ac:dyDescent="0.3">
      <c r="A1066" s="24">
        <v>424192</v>
      </c>
      <c r="B1066" t="s">
        <v>1371</v>
      </c>
      <c r="C1066" t="s">
        <v>664</v>
      </c>
    </row>
    <row r="1067" spans="1:3" x14ac:dyDescent="0.3">
      <c r="A1067" s="23">
        <v>424426</v>
      </c>
      <c r="B1067" t="s">
        <v>1371</v>
      </c>
      <c r="C1067" t="s">
        <v>664</v>
      </c>
    </row>
    <row r="1068" spans="1:3" x14ac:dyDescent="0.3">
      <c r="A1068" s="24">
        <v>424026</v>
      </c>
      <c r="B1068" t="s">
        <v>661</v>
      </c>
      <c r="C1068" t="s">
        <v>664</v>
      </c>
    </row>
    <row r="1069" spans="1:3" x14ac:dyDescent="0.3">
      <c r="A1069" s="24">
        <v>410723</v>
      </c>
      <c r="B1069" t="s">
        <v>1191</v>
      </c>
      <c r="C1069" t="s">
        <v>664</v>
      </c>
    </row>
    <row r="1070" spans="1:3" x14ac:dyDescent="0.3">
      <c r="A1070" s="23">
        <v>37098</v>
      </c>
      <c r="B1070" t="s">
        <v>660</v>
      </c>
      <c r="C1070" t="s">
        <v>664</v>
      </c>
    </row>
    <row r="1071" spans="1:3" x14ac:dyDescent="0.3">
      <c r="A1071" s="23">
        <v>424350</v>
      </c>
      <c r="B1071" t="s">
        <v>660</v>
      </c>
      <c r="C1071" t="s">
        <v>664</v>
      </c>
    </row>
    <row r="1072" spans="1:3" x14ac:dyDescent="0.3">
      <c r="A1072" s="24">
        <v>424311</v>
      </c>
      <c r="B1072" t="s">
        <v>658</v>
      </c>
      <c r="C1072" t="s">
        <v>664</v>
      </c>
    </row>
    <row r="1073" spans="1:3" x14ac:dyDescent="0.3">
      <c r="A1073" s="24">
        <v>424446</v>
      </c>
      <c r="B1073" t="s">
        <v>662</v>
      </c>
      <c r="C1073" t="s">
        <v>664</v>
      </c>
    </row>
    <row r="1074" spans="1:3" x14ac:dyDescent="0.3">
      <c r="A1074" s="23">
        <v>135827</v>
      </c>
      <c r="B1074" t="s">
        <v>662</v>
      </c>
      <c r="C1074" t="s">
        <v>664</v>
      </c>
    </row>
    <row r="1075" spans="1:3" x14ac:dyDescent="0.3">
      <c r="A1075" s="23">
        <v>423814</v>
      </c>
      <c r="B1075" t="s">
        <v>659</v>
      </c>
      <c r="C1075" t="s">
        <v>664</v>
      </c>
    </row>
    <row r="1076" spans="1:3" x14ac:dyDescent="0.3">
      <c r="A1076" s="24">
        <v>424389</v>
      </c>
      <c r="B1076" t="s">
        <v>743</v>
      </c>
      <c r="C1076" t="s">
        <v>664</v>
      </c>
    </row>
    <row r="1077" spans="1:3" x14ac:dyDescent="0.3">
      <c r="A1077" s="23">
        <v>406878</v>
      </c>
      <c r="B1077" t="s">
        <v>743</v>
      </c>
      <c r="C1077" t="s">
        <v>664</v>
      </c>
    </row>
    <row r="1078" spans="1:3" x14ac:dyDescent="0.3">
      <c r="A1078" s="23">
        <v>219479</v>
      </c>
      <c r="B1078" t="s">
        <v>1191</v>
      </c>
      <c r="C1078" t="s">
        <v>664</v>
      </c>
    </row>
    <row r="1079" spans="1:3" x14ac:dyDescent="0.3">
      <c r="A1079" s="24">
        <v>424385</v>
      </c>
      <c r="B1079" t="s">
        <v>662</v>
      </c>
      <c r="C1079" t="s">
        <v>664</v>
      </c>
    </row>
    <row r="1080" spans="1:3" x14ac:dyDescent="0.3">
      <c r="A1080" s="24">
        <v>119605</v>
      </c>
      <c r="B1080" t="s">
        <v>1107</v>
      </c>
      <c r="C1080" t="s">
        <v>662</v>
      </c>
    </row>
    <row r="1081" spans="1:3" x14ac:dyDescent="0.3">
      <c r="A1081" s="23">
        <v>140907</v>
      </c>
      <c r="B1081" t="s">
        <v>1107</v>
      </c>
      <c r="C1081" t="s">
        <v>662</v>
      </c>
    </row>
    <row r="1082" spans="1:3" x14ac:dyDescent="0.3">
      <c r="A1082" s="24">
        <v>407432</v>
      </c>
      <c r="B1082" t="s">
        <v>1107</v>
      </c>
      <c r="C1082" t="s">
        <v>662</v>
      </c>
    </row>
    <row r="1083" spans="1:3" x14ac:dyDescent="0.3">
      <c r="A1083" s="23">
        <v>236248</v>
      </c>
      <c r="B1083" t="s">
        <v>1107</v>
      </c>
      <c r="C1083" t="s">
        <v>662</v>
      </c>
    </row>
    <row r="1084" spans="1:3" x14ac:dyDescent="0.3">
      <c r="A1084" s="24">
        <v>415558</v>
      </c>
      <c r="B1084" t="s">
        <v>1107</v>
      </c>
      <c r="C1084" t="s">
        <v>662</v>
      </c>
    </row>
    <row r="1085" spans="1:3" x14ac:dyDescent="0.3">
      <c r="A1085" s="23">
        <v>60538</v>
      </c>
      <c r="B1085" t="s">
        <v>1107</v>
      </c>
      <c r="C1085" t="s">
        <v>662</v>
      </c>
    </row>
    <row r="1086" spans="1:3" x14ac:dyDescent="0.3">
      <c r="A1086" s="24">
        <v>130791</v>
      </c>
      <c r="B1086" t="s">
        <v>1107</v>
      </c>
      <c r="C1086" t="s">
        <v>662</v>
      </c>
    </row>
    <row r="1087" spans="1:3" x14ac:dyDescent="0.3">
      <c r="A1087" s="23">
        <v>66569</v>
      </c>
      <c r="B1087" t="s">
        <v>1107</v>
      </c>
      <c r="C1087" t="s">
        <v>662</v>
      </c>
    </row>
    <row r="1088" spans="1:3" x14ac:dyDescent="0.3">
      <c r="A1088" s="24">
        <v>240628</v>
      </c>
      <c r="B1088" t="s">
        <v>1107</v>
      </c>
      <c r="C1088" t="s">
        <v>662</v>
      </c>
    </row>
    <row r="1089" spans="1:3" x14ac:dyDescent="0.3">
      <c r="A1089" s="23">
        <v>414255</v>
      </c>
      <c r="B1089" t="s">
        <v>1107</v>
      </c>
      <c r="C1089" t="s">
        <v>662</v>
      </c>
    </row>
    <row r="1090" spans="1:3" x14ac:dyDescent="0.3">
      <c r="A1090" s="24">
        <v>130815</v>
      </c>
      <c r="B1090" t="s">
        <v>1107</v>
      </c>
      <c r="C1090" t="s">
        <v>662</v>
      </c>
    </row>
    <row r="1091" spans="1:3" x14ac:dyDescent="0.3">
      <c r="A1091" s="23">
        <v>403855</v>
      </c>
      <c r="B1091" t="s">
        <v>1107</v>
      </c>
      <c r="C1091" t="s">
        <v>662</v>
      </c>
    </row>
    <row r="1092" spans="1:3" x14ac:dyDescent="0.3">
      <c r="A1092" s="24">
        <v>420190</v>
      </c>
      <c r="B1092" t="s">
        <v>1107</v>
      </c>
      <c r="C1092" t="s">
        <v>662</v>
      </c>
    </row>
    <row r="1093" spans="1:3" x14ac:dyDescent="0.3">
      <c r="A1093" s="23">
        <v>220498</v>
      </c>
      <c r="B1093" t="s">
        <v>1107</v>
      </c>
      <c r="C1093" t="s">
        <v>662</v>
      </c>
    </row>
    <row r="1094" spans="1:3" x14ac:dyDescent="0.3">
      <c r="A1094" s="24">
        <v>154279</v>
      </c>
      <c r="B1094" t="s">
        <v>1107</v>
      </c>
      <c r="C1094" t="s">
        <v>662</v>
      </c>
    </row>
    <row r="1095" spans="1:3" x14ac:dyDescent="0.3">
      <c r="A1095" s="23">
        <v>171924</v>
      </c>
      <c r="B1095" t="s">
        <v>1107</v>
      </c>
      <c r="C1095" t="s">
        <v>662</v>
      </c>
    </row>
    <row r="1096" spans="1:3" x14ac:dyDescent="0.3">
      <c r="A1096" s="24">
        <v>134090</v>
      </c>
      <c r="B1096" t="s">
        <v>1107</v>
      </c>
      <c r="C1096" t="s">
        <v>662</v>
      </c>
    </row>
    <row r="1097" spans="1:3" x14ac:dyDescent="0.3">
      <c r="A1097" s="23">
        <v>62735</v>
      </c>
      <c r="B1097" t="s">
        <v>1107</v>
      </c>
      <c r="C1097" t="s">
        <v>662</v>
      </c>
    </row>
    <row r="1098" spans="1:3" x14ac:dyDescent="0.3">
      <c r="A1098" s="24">
        <v>130816</v>
      </c>
      <c r="B1098" t="s">
        <v>1107</v>
      </c>
      <c r="C1098" t="s">
        <v>662</v>
      </c>
    </row>
    <row r="1099" spans="1:3" x14ac:dyDescent="0.3">
      <c r="A1099" s="23">
        <v>418691</v>
      </c>
      <c r="B1099" t="s">
        <v>1107</v>
      </c>
      <c r="C1099" t="s">
        <v>662</v>
      </c>
    </row>
    <row r="1100" spans="1:3" x14ac:dyDescent="0.3">
      <c r="A1100" s="24">
        <v>232570</v>
      </c>
      <c r="B1100" t="s">
        <v>1107</v>
      </c>
      <c r="C1100" t="s">
        <v>662</v>
      </c>
    </row>
    <row r="1101" spans="1:3" x14ac:dyDescent="0.3">
      <c r="A1101" s="23">
        <v>226418</v>
      </c>
      <c r="B1101" t="s">
        <v>1107</v>
      </c>
      <c r="C1101" t="s">
        <v>662</v>
      </c>
    </row>
    <row r="1102" spans="1:3" x14ac:dyDescent="0.3">
      <c r="A1102" s="24">
        <v>80351</v>
      </c>
      <c r="B1102" t="s">
        <v>1107</v>
      </c>
      <c r="C1102" t="s">
        <v>662</v>
      </c>
    </row>
    <row r="1103" spans="1:3" x14ac:dyDescent="0.3">
      <c r="A1103" s="23">
        <v>417200</v>
      </c>
      <c r="B1103" t="s">
        <v>1107</v>
      </c>
      <c r="C1103" t="s">
        <v>662</v>
      </c>
    </row>
    <row r="1104" spans="1:3" x14ac:dyDescent="0.3">
      <c r="A1104" s="24">
        <v>424285</v>
      </c>
      <c r="B1104" t="s">
        <v>662</v>
      </c>
      <c r="C1104" t="s">
        <v>664</v>
      </c>
    </row>
    <row r="1105" spans="1:3" x14ac:dyDescent="0.3">
      <c r="A1105" s="23">
        <v>418305</v>
      </c>
      <c r="B1105" t="s">
        <v>1107</v>
      </c>
      <c r="C1105" t="s">
        <v>662</v>
      </c>
    </row>
    <row r="1106" spans="1:3" x14ac:dyDescent="0.3">
      <c r="A1106" s="24">
        <v>424482</v>
      </c>
      <c r="B1106" t="s">
        <v>659</v>
      </c>
      <c r="C1106" t="s">
        <v>664</v>
      </c>
    </row>
    <row r="1107" spans="1:3" x14ac:dyDescent="0.3">
      <c r="A1107" s="24">
        <v>424534</v>
      </c>
      <c r="B1107" t="s">
        <v>743</v>
      </c>
      <c r="C1107" t="s">
        <v>664</v>
      </c>
    </row>
    <row r="1108" spans="1:3" x14ac:dyDescent="0.3">
      <c r="A1108" s="24">
        <v>188191</v>
      </c>
      <c r="B1108" t="s">
        <v>662</v>
      </c>
      <c r="C1108" t="s">
        <v>664</v>
      </c>
    </row>
    <row r="1109" spans="1:3" x14ac:dyDescent="0.3">
      <c r="A1109" s="24">
        <v>151136</v>
      </c>
      <c r="B1109" t="s">
        <v>662</v>
      </c>
      <c r="C1109" t="s">
        <v>664</v>
      </c>
    </row>
    <row r="1110" spans="1:3" x14ac:dyDescent="0.3">
      <c r="A1110" s="24">
        <v>424525</v>
      </c>
      <c r="B1110" t="s">
        <v>1371</v>
      </c>
      <c r="C1110" t="s">
        <v>664</v>
      </c>
    </row>
    <row r="1111" spans="1:3" x14ac:dyDescent="0.3">
      <c r="A1111" s="23">
        <v>424555</v>
      </c>
      <c r="B1111" t="s">
        <v>744</v>
      </c>
      <c r="C1111" t="s">
        <v>664</v>
      </c>
    </row>
    <row r="1112" spans="1:3" x14ac:dyDescent="0.3">
      <c r="A1112" s="23">
        <v>423397</v>
      </c>
      <c r="B1112" t="s">
        <v>1191</v>
      </c>
      <c r="C1112" t="s">
        <v>664</v>
      </c>
    </row>
    <row r="1113" spans="1:3" x14ac:dyDescent="0.3">
      <c r="A1113" s="23">
        <v>100468</v>
      </c>
      <c r="B1113" t="s">
        <v>1107</v>
      </c>
      <c r="C1113" t="s">
        <v>662</v>
      </c>
    </row>
    <row r="1114" spans="1:3" x14ac:dyDescent="0.3">
      <c r="A1114" s="24">
        <v>424654</v>
      </c>
      <c r="B1114" t="s">
        <v>742</v>
      </c>
      <c r="C1114" t="s">
        <v>664</v>
      </c>
    </row>
    <row r="1115" spans="1:3" x14ac:dyDescent="0.3">
      <c r="A1115" s="24">
        <v>406142</v>
      </c>
      <c r="B1115" t="s">
        <v>742</v>
      </c>
      <c r="C1115" t="s">
        <v>664</v>
      </c>
    </row>
    <row r="1116" spans="1:3" x14ac:dyDescent="0.3">
      <c r="A1116" s="23">
        <v>424271</v>
      </c>
      <c r="B1116" t="s">
        <v>1371</v>
      </c>
      <c r="C1116" t="s">
        <v>664</v>
      </c>
    </row>
    <row r="1117" spans="1:3" x14ac:dyDescent="0.3">
      <c r="A1117" s="23">
        <v>409537</v>
      </c>
      <c r="B1117" t="s">
        <v>742</v>
      </c>
      <c r="C1117" t="s">
        <v>664</v>
      </c>
    </row>
    <row r="1118" spans="1:3" x14ac:dyDescent="0.3">
      <c r="A1118" s="23">
        <v>424682</v>
      </c>
      <c r="B1118" t="s">
        <v>662</v>
      </c>
      <c r="C1118" t="s">
        <v>664</v>
      </c>
    </row>
    <row r="1119" spans="1:3" x14ac:dyDescent="0.3">
      <c r="A1119" s="24">
        <v>424595</v>
      </c>
      <c r="B1119" t="s">
        <v>1371</v>
      </c>
      <c r="C1119" t="s">
        <v>664</v>
      </c>
    </row>
    <row r="1120" spans="1:3" x14ac:dyDescent="0.3">
      <c r="A1120" s="23">
        <v>411279</v>
      </c>
      <c r="B1120" t="s">
        <v>742</v>
      </c>
      <c r="C1120" t="s">
        <v>664</v>
      </c>
    </row>
    <row r="1121" spans="1:3" x14ac:dyDescent="0.3">
      <c r="A1121" s="23">
        <v>424599</v>
      </c>
      <c r="B1121" t="s">
        <v>1371</v>
      </c>
      <c r="C1121" t="s">
        <v>664</v>
      </c>
    </row>
    <row r="1122" spans="1:3" x14ac:dyDescent="0.3">
      <c r="A1122" s="23">
        <v>424673</v>
      </c>
      <c r="B1122" t="s">
        <v>659</v>
      </c>
      <c r="C1122" t="s">
        <v>664</v>
      </c>
    </row>
    <row r="1123" spans="1:3" x14ac:dyDescent="0.3">
      <c r="A1123" s="24">
        <v>424646</v>
      </c>
      <c r="B1123" t="s">
        <v>658</v>
      </c>
      <c r="C1123" t="s">
        <v>664</v>
      </c>
    </row>
    <row r="1124" spans="1:3" x14ac:dyDescent="0.3">
      <c r="A1124" s="24">
        <v>424651</v>
      </c>
      <c r="B1124" t="s">
        <v>662</v>
      </c>
      <c r="C1124" t="s">
        <v>664</v>
      </c>
    </row>
    <row r="1125" spans="1:3" x14ac:dyDescent="0.3">
      <c r="A1125" s="24">
        <v>424704</v>
      </c>
      <c r="B1125" t="s">
        <v>1371</v>
      </c>
      <c r="C1125" t="s">
        <v>664</v>
      </c>
    </row>
    <row r="1126" spans="1:3" x14ac:dyDescent="0.3">
      <c r="A1126" s="23">
        <v>424344</v>
      </c>
      <c r="B1126" t="s">
        <v>744</v>
      </c>
      <c r="C1126" t="s">
        <v>664</v>
      </c>
    </row>
    <row r="1127" spans="1:3" x14ac:dyDescent="0.3">
      <c r="A1127" s="24">
        <v>56376</v>
      </c>
      <c r="B1127" t="s">
        <v>661</v>
      </c>
      <c r="C1127" t="s">
        <v>664</v>
      </c>
    </row>
    <row r="1128" spans="1:3" x14ac:dyDescent="0.3">
      <c r="A1128" s="24">
        <v>424706</v>
      </c>
      <c r="B1128" t="s">
        <v>659</v>
      </c>
      <c r="C1128" t="s">
        <v>664</v>
      </c>
    </row>
    <row r="1129" spans="1:3" x14ac:dyDescent="0.3">
      <c r="A1129" s="23">
        <v>424745</v>
      </c>
      <c r="B1129" t="s">
        <v>699</v>
      </c>
      <c r="C1129" t="s">
        <v>664</v>
      </c>
    </row>
    <row r="1130" spans="1:3" x14ac:dyDescent="0.3">
      <c r="A1130" s="24">
        <v>100900</v>
      </c>
      <c r="B1130" t="s">
        <v>658</v>
      </c>
      <c r="C1130" t="s">
        <v>664</v>
      </c>
    </row>
    <row r="1131" spans="1:3" x14ac:dyDescent="0.3">
      <c r="A1131" s="23">
        <v>144350</v>
      </c>
      <c r="B1131" t="s">
        <v>659</v>
      </c>
      <c r="C1131" t="s">
        <v>664</v>
      </c>
    </row>
    <row r="1132" spans="1:3" x14ac:dyDescent="0.3">
      <c r="A1132" s="23">
        <v>424862</v>
      </c>
      <c r="B1132" t="s">
        <v>1371</v>
      </c>
      <c r="C1132" t="s">
        <v>664</v>
      </c>
    </row>
    <row r="1133" spans="1:3" x14ac:dyDescent="0.3">
      <c r="A1133" s="24">
        <v>424834</v>
      </c>
      <c r="B1133" t="s">
        <v>1371</v>
      </c>
      <c r="C1133" t="s">
        <v>664</v>
      </c>
    </row>
    <row r="1134" spans="1:3" x14ac:dyDescent="0.3">
      <c r="A1134" s="23">
        <v>185488</v>
      </c>
      <c r="B1134" t="s">
        <v>1371</v>
      </c>
      <c r="C1134" t="s">
        <v>664</v>
      </c>
    </row>
    <row r="1135" spans="1:3" x14ac:dyDescent="0.3">
      <c r="A1135" s="24">
        <v>422618</v>
      </c>
      <c r="B1135" t="s">
        <v>1371</v>
      </c>
      <c r="C1135" t="s">
        <v>664</v>
      </c>
    </row>
    <row r="1136" spans="1:3" x14ac:dyDescent="0.3">
      <c r="A1136" s="24">
        <v>418458</v>
      </c>
      <c r="B1136" t="s">
        <v>1371</v>
      </c>
      <c r="C1136" t="s">
        <v>664</v>
      </c>
    </row>
    <row r="1137" spans="1:3" x14ac:dyDescent="0.3">
      <c r="A1137" s="23">
        <v>409857</v>
      </c>
      <c r="B1137" t="s">
        <v>699</v>
      </c>
      <c r="C1137" t="s">
        <v>664</v>
      </c>
    </row>
    <row r="1138" spans="1:3" x14ac:dyDescent="0.3">
      <c r="A1138" s="24">
        <v>421757</v>
      </c>
      <c r="B1138" t="s">
        <v>658</v>
      </c>
      <c r="C1138" t="s">
        <v>664</v>
      </c>
    </row>
    <row r="1139" spans="1:3" x14ac:dyDescent="0.3">
      <c r="A1139" s="24">
        <v>415561</v>
      </c>
      <c r="B1139" t="s">
        <v>660</v>
      </c>
      <c r="C1139" t="s">
        <v>664</v>
      </c>
    </row>
    <row r="1140" spans="1:3" x14ac:dyDescent="0.3">
      <c r="A1140" s="23">
        <v>200312</v>
      </c>
      <c r="B1140" t="s">
        <v>1107</v>
      </c>
      <c r="C1140" t="s">
        <v>662</v>
      </c>
    </row>
    <row r="1141" spans="1:3" x14ac:dyDescent="0.3">
      <c r="A1141" s="24">
        <v>187992</v>
      </c>
      <c r="B1141" t="s">
        <v>1107</v>
      </c>
      <c r="C1141" t="s">
        <v>662</v>
      </c>
    </row>
    <row r="1142" spans="1:3" x14ac:dyDescent="0.3">
      <c r="A1142" s="24">
        <v>224066</v>
      </c>
      <c r="B1142" t="s">
        <v>743</v>
      </c>
      <c r="C1142" t="s">
        <v>664</v>
      </c>
    </row>
    <row r="1143" spans="1:3" x14ac:dyDescent="0.3">
      <c r="A1143" s="23">
        <v>250803</v>
      </c>
      <c r="B1143" t="s">
        <v>743</v>
      </c>
      <c r="C1143" t="s">
        <v>664</v>
      </c>
    </row>
    <row r="1144" spans="1:3" x14ac:dyDescent="0.3">
      <c r="A1144" s="24">
        <v>417675</v>
      </c>
      <c r="B1144" t="s">
        <v>1107</v>
      </c>
      <c r="C1144" t="s">
        <v>662</v>
      </c>
    </row>
    <row r="1145" spans="1:3" x14ac:dyDescent="0.3">
      <c r="A1145" s="24">
        <v>424889</v>
      </c>
      <c r="B1145" t="s">
        <v>662</v>
      </c>
      <c r="C1145" t="s">
        <v>664</v>
      </c>
    </row>
    <row r="1146" spans="1:3" x14ac:dyDescent="0.3">
      <c r="A1146" s="24">
        <v>423561</v>
      </c>
      <c r="B1146" t="s">
        <v>659</v>
      </c>
      <c r="C1146" t="s">
        <v>664</v>
      </c>
    </row>
    <row r="1147" spans="1:3" x14ac:dyDescent="0.3">
      <c r="A1147" s="24">
        <v>425024</v>
      </c>
      <c r="B1147" t="s">
        <v>744</v>
      </c>
      <c r="C1147" t="s">
        <v>664</v>
      </c>
    </row>
    <row r="1148" spans="1:3" x14ac:dyDescent="0.3">
      <c r="A1148" s="23">
        <v>425001</v>
      </c>
      <c r="B1148" t="s">
        <v>660</v>
      </c>
      <c r="C1148" t="s">
        <v>664</v>
      </c>
    </row>
    <row r="1149" spans="1:3" x14ac:dyDescent="0.3">
      <c r="A1149" s="23">
        <v>424905</v>
      </c>
      <c r="B1149" t="s">
        <v>1191</v>
      </c>
      <c r="C1149" t="s">
        <v>664</v>
      </c>
    </row>
    <row r="1150" spans="1:3" x14ac:dyDescent="0.3">
      <c r="A1150" s="23">
        <v>424904</v>
      </c>
      <c r="B1150" t="s">
        <v>1191</v>
      </c>
      <c r="C1150" t="s">
        <v>664</v>
      </c>
    </row>
    <row r="1151" spans="1:3" x14ac:dyDescent="0.3">
      <c r="A1151" s="24">
        <v>424993</v>
      </c>
      <c r="B1151" t="s">
        <v>1107</v>
      </c>
      <c r="C1151" t="s">
        <v>662</v>
      </c>
    </row>
    <row r="1152" spans="1:3" x14ac:dyDescent="0.3">
      <c r="A1152" s="23">
        <v>425007</v>
      </c>
      <c r="B1152" t="s">
        <v>744</v>
      </c>
      <c r="C1152" t="s">
        <v>664</v>
      </c>
    </row>
    <row r="1153" spans="1:3" x14ac:dyDescent="0.3">
      <c r="A1153" s="24">
        <v>424695</v>
      </c>
      <c r="B1153" t="s">
        <v>661</v>
      </c>
      <c r="C1153" t="s">
        <v>664</v>
      </c>
    </row>
    <row r="1154" spans="1:3" x14ac:dyDescent="0.3">
      <c r="A1154" s="24">
        <v>425167</v>
      </c>
      <c r="B1154" t="s">
        <v>1191</v>
      </c>
      <c r="C1154" t="s">
        <v>664</v>
      </c>
    </row>
    <row r="1155" spans="1:3" x14ac:dyDescent="0.3">
      <c r="A1155" s="23">
        <v>229241</v>
      </c>
      <c r="B1155" t="s">
        <v>658</v>
      </c>
      <c r="C1155" t="s">
        <v>664</v>
      </c>
    </row>
    <row r="1156" spans="1:3" x14ac:dyDescent="0.3">
      <c r="A1156" s="24">
        <v>423003</v>
      </c>
      <c r="B1156" t="s">
        <v>660</v>
      </c>
      <c r="C1156" t="s">
        <v>664</v>
      </c>
    </row>
    <row r="1157" spans="1:3" x14ac:dyDescent="0.3">
      <c r="A1157" s="24">
        <v>425048</v>
      </c>
      <c r="B1157" t="s">
        <v>660</v>
      </c>
      <c r="C1157" t="s">
        <v>664</v>
      </c>
    </row>
    <row r="1158" spans="1:3" x14ac:dyDescent="0.3">
      <c r="A1158" s="24">
        <v>425210</v>
      </c>
      <c r="B1158" t="s">
        <v>1107</v>
      </c>
      <c r="C1158" t="s">
        <v>662</v>
      </c>
    </row>
    <row r="1159" spans="1:3" x14ac:dyDescent="0.3">
      <c r="A1159" s="24">
        <v>425217</v>
      </c>
      <c r="B1159" t="s">
        <v>661</v>
      </c>
      <c r="C1159" t="s">
        <v>664</v>
      </c>
    </row>
    <row r="1160" spans="1:3" x14ac:dyDescent="0.3">
      <c r="A1160" s="24">
        <v>425204</v>
      </c>
      <c r="B1160" t="s">
        <v>659</v>
      </c>
      <c r="C1160" t="s">
        <v>664</v>
      </c>
    </row>
    <row r="1161" spans="1:3" x14ac:dyDescent="0.3">
      <c r="A1161" s="23">
        <v>418528</v>
      </c>
      <c r="B1161" t="s">
        <v>661</v>
      </c>
      <c r="C1161" t="s">
        <v>664</v>
      </c>
    </row>
    <row r="1162" spans="1:3" x14ac:dyDescent="0.3">
      <c r="A1162" s="23">
        <v>425332</v>
      </c>
      <c r="B1162" t="s">
        <v>744</v>
      </c>
      <c r="C1162" t="s">
        <v>664</v>
      </c>
    </row>
    <row r="1163" spans="1:3" x14ac:dyDescent="0.3">
      <c r="A1163" s="24">
        <v>409043</v>
      </c>
      <c r="B1163" t="s">
        <v>659</v>
      </c>
      <c r="C1163" t="s">
        <v>664</v>
      </c>
    </row>
    <row r="1164" spans="1:3" x14ac:dyDescent="0.3">
      <c r="A1164" s="24">
        <v>422393</v>
      </c>
      <c r="B1164" t="s">
        <v>1371</v>
      </c>
      <c r="C1164" t="s">
        <v>664</v>
      </c>
    </row>
    <row r="1165" spans="1:3" x14ac:dyDescent="0.3">
      <c r="A1165" s="23">
        <v>425342</v>
      </c>
      <c r="B1165" t="s">
        <v>659</v>
      </c>
      <c r="C1165" t="s">
        <v>664</v>
      </c>
    </row>
    <row r="1166" spans="1:3" x14ac:dyDescent="0.3">
      <c r="A1166" s="24">
        <v>425351</v>
      </c>
      <c r="B1166" t="s">
        <v>659</v>
      </c>
      <c r="C1166" t="s">
        <v>664</v>
      </c>
    </row>
    <row r="1167" spans="1:3" x14ac:dyDescent="0.3">
      <c r="A1167" s="23">
        <v>425288</v>
      </c>
      <c r="B1167" t="s">
        <v>661</v>
      </c>
      <c r="C1167" t="s">
        <v>664</v>
      </c>
    </row>
    <row r="1168" spans="1:3" x14ac:dyDescent="0.3">
      <c r="A1168" s="24">
        <v>425353</v>
      </c>
      <c r="B1168" t="s">
        <v>658</v>
      </c>
      <c r="C1168" t="s">
        <v>664</v>
      </c>
    </row>
    <row r="1169" spans="1:3" x14ac:dyDescent="0.3">
      <c r="A1169" s="23">
        <v>425425</v>
      </c>
      <c r="B1169" t="s">
        <v>661</v>
      </c>
      <c r="C1169" t="s">
        <v>664</v>
      </c>
    </row>
    <row r="1170" spans="1:3" x14ac:dyDescent="0.3">
      <c r="A1170" s="24">
        <v>236605</v>
      </c>
      <c r="B1170" t="s">
        <v>660</v>
      </c>
      <c r="C1170" t="s">
        <v>664</v>
      </c>
    </row>
    <row r="1171" spans="1:3" x14ac:dyDescent="0.3">
      <c r="A1171" s="24">
        <v>152950</v>
      </c>
      <c r="B1171" t="s">
        <v>1371</v>
      </c>
      <c r="C1171" t="s">
        <v>664</v>
      </c>
    </row>
    <row r="1172" spans="1:3" x14ac:dyDescent="0.3">
      <c r="A1172" s="24">
        <v>424098</v>
      </c>
      <c r="B1172" t="s">
        <v>658</v>
      </c>
      <c r="C1172" t="s">
        <v>664</v>
      </c>
    </row>
    <row r="1173" spans="1:3" x14ac:dyDescent="0.3">
      <c r="A1173" s="24">
        <v>87856</v>
      </c>
      <c r="B1173" t="s">
        <v>659</v>
      </c>
      <c r="C1173" t="s">
        <v>664</v>
      </c>
    </row>
    <row r="1174" spans="1:3" x14ac:dyDescent="0.3">
      <c r="A1174" s="24">
        <v>425107</v>
      </c>
      <c r="B1174" t="s">
        <v>658</v>
      </c>
      <c r="C1174" t="s">
        <v>664</v>
      </c>
    </row>
    <row r="1175" spans="1:3" x14ac:dyDescent="0.3">
      <c r="A1175" s="23">
        <v>239577</v>
      </c>
      <c r="B1175" t="s">
        <v>660</v>
      </c>
      <c r="C1175" t="s">
        <v>664</v>
      </c>
    </row>
    <row r="1176" spans="1:3" x14ac:dyDescent="0.3">
      <c r="A1176" s="23">
        <v>424394</v>
      </c>
      <c r="B1176" t="s">
        <v>659</v>
      </c>
      <c r="C1176" t="s">
        <v>664</v>
      </c>
    </row>
    <row r="1177" spans="1:3" x14ac:dyDescent="0.3">
      <c r="A1177" s="24">
        <v>425240</v>
      </c>
      <c r="B1177" t="s">
        <v>699</v>
      </c>
      <c r="C1177" t="s">
        <v>664</v>
      </c>
    </row>
    <row r="1178" spans="1:3" x14ac:dyDescent="0.3">
      <c r="A1178" s="24">
        <v>425413</v>
      </c>
      <c r="B1178" t="s">
        <v>658</v>
      </c>
      <c r="C1178" t="s">
        <v>664</v>
      </c>
    </row>
    <row r="1179" spans="1:3" x14ac:dyDescent="0.3">
      <c r="A1179" s="23">
        <v>422437</v>
      </c>
      <c r="B1179" t="s">
        <v>742</v>
      </c>
      <c r="C1179" t="s">
        <v>664</v>
      </c>
    </row>
    <row r="1180" spans="1:3" x14ac:dyDescent="0.3">
      <c r="A1180" s="24">
        <v>425203</v>
      </c>
      <c r="B1180" t="s">
        <v>662</v>
      </c>
      <c r="C1180" t="s">
        <v>664</v>
      </c>
    </row>
    <row r="1181" spans="1:3" x14ac:dyDescent="0.3">
      <c r="A1181" s="24">
        <v>425430</v>
      </c>
      <c r="B1181" t="s">
        <v>662</v>
      </c>
      <c r="C1181" t="s">
        <v>664</v>
      </c>
    </row>
    <row r="1182" spans="1:3" x14ac:dyDescent="0.3">
      <c r="A1182" s="24">
        <v>172157</v>
      </c>
      <c r="B1182" t="s">
        <v>658</v>
      </c>
      <c r="C1182" t="s">
        <v>664</v>
      </c>
    </row>
    <row r="1183" spans="1:3" x14ac:dyDescent="0.3">
      <c r="A1183" s="24">
        <v>174735</v>
      </c>
      <c r="B1183" t="s">
        <v>1433</v>
      </c>
      <c r="C1183" t="s">
        <v>662</v>
      </c>
    </row>
    <row r="1184" spans="1:3" x14ac:dyDescent="0.3">
      <c r="A1184" s="23">
        <v>185729</v>
      </c>
      <c r="B1184" t="s">
        <v>1433</v>
      </c>
      <c r="C1184" t="s">
        <v>662</v>
      </c>
    </row>
    <row r="1185" spans="1:3" x14ac:dyDescent="0.3">
      <c r="A1185" s="24">
        <v>418805</v>
      </c>
      <c r="B1185" t="s">
        <v>1433</v>
      </c>
      <c r="C1185" t="s">
        <v>662</v>
      </c>
    </row>
    <row r="1186" spans="1:3" x14ac:dyDescent="0.3">
      <c r="A1186" s="23">
        <v>84655</v>
      </c>
      <c r="B1186" t="s">
        <v>1433</v>
      </c>
      <c r="C1186" t="s">
        <v>662</v>
      </c>
    </row>
    <row r="1187" spans="1:3" x14ac:dyDescent="0.3">
      <c r="A1187" s="24">
        <v>223965</v>
      </c>
      <c r="B1187" t="s">
        <v>1433</v>
      </c>
      <c r="C1187" t="s">
        <v>662</v>
      </c>
    </row>
    <row r="1188" spans="1:3" x14ac:dyDescent="0.3">
      <c r="A1188" s="23">
        <v>406959</v>
      </c>
      <c r="B1188" t="s">
        <v>1433</v>
      </c>
      <c r="C1188" t="s">
        <v>662</v>
      </c>
    </row>
    <row r="1189" spans="1:3" x14ac:dyDescent="0.3">
      <c r="A1189" s="24">
        <v>136902</v>
      </c>
      <c r="B1189" t="s">
        <v>1433</v>
      </c>
      <c r="C1189" t="s">
        <v>662</v>
      </c>
    </row>
    <row r="1190" spans="1:3" x14ac:dyDescent="0.3">
      <c r="A1190" s="23">
        <v>412149</v>
      </c>
      <c r="B1190" t="s">
        <v>1433</v>
      </c>
      <c r="C1190" t="s">
        <v>662</v>
      </c>
    </row>
    <row r="1191" spans="1:3" x14ac:dyDescent="0.3">
      <c r="A1191" s="24">
        <v>171937</v>
      </c>
      <c r="B1191" t="s">
        <v>1433</v>
      </c>
      <c r="C1191" t="s">
        <v>662</v>
      </c>
    </row>
    <row r="1192" spans="1:3" x14ac:dyDescent="0.3">
      <c r="A1192" s="23">
        <v>165005</v>
      </c>
      <c r="B1192" t="s">
        <v>1433</v>
      </c>
      <c r="C1192" t="s">
        <v>662</v>
      </c>
    </row>
    <row r="1193" spans="1:3" x14ac:dyDescent="0.3">
      <c r="A1193" s="24">
        <v>238578</v>
      </c>
      <c r="B1193" t="s">
        <v>1433</v>
      </c>
      <c r="C1193" t="s">
        <v>662</v>
      </c>
    </row>
    <row r="1194" spans="1:3" x14ac:dyDescent="0.3">
      <c r="A1194" s="23">
        <v>251695</v>
      </c>
      <c r="B1194" t="s">
        <v>1433</v>
      </c>
      <c r="C1194" t="s">
        <v>662</v>
      </c>
    </row>
    <row r="1195" spans="1:3" x14ac:dyDescent="0.3">
      <c r="A1195" s="24">
        <v>227242</v>
      </c>
      <c r="B1195" t="s">
        <v>1433</v>
      </c>
      <c r="C1195" t="s">
        <v>662</v>
      </c>
    </row>
    <row r="1196" spans="1:3" x14ac:dyDescent="0.3">
      <c r="A1196" s="23">
        <v>412892</v>
      </c>
      <c r="B1196" t="s">
        <v>1433</v>
      </c>
      <c r="C1196" t="s">
        <v>662</v>
      </c>
    </row>
    <row r="1197" spans="1:3" x14ac:dyDescent="0.3">
      <c r="A1197" s="24">
        <v>59775</v>
      </c>
      <c r="B1197" t="s">
        <v>1433</v>
      </c>
      <c r="C1197" t="s">
        <v>662</v>
      </c>
    </row>
    <row r="1198" spans="1:3" x14ac:dyDescent="0.3">
      <c r="A1198" s="23">
        <v>200919</v>
      </c>
      <c r="B1198" t="s">
        <v>1433</v>
      </c>
      <c r="C1198" t="s">
        <v>662</v>
      </c>
    </row>
    <row r="1199" spans="1:3" x14ac:dyDescent="0.3">
      <c r="A1199" s="24">
        <v>231928</v>
      </c>
      <c r="B1199" t="s">
        <v>1433</v>
      </c>
      <c r="C1199" t="s">
        <v>662</v>
      </c>
    </row>
    <row r="1200" spans="1:3" x14ac:dyDescent="0.3">
      <c r="A1200" s="23">
        <v>169825</v>
      </c>
      <c r="B1200" t="s">
        <v>1433</v>
      </c>
      <c r="C1200" t="s">
        <v>662</v>
      </c>
    </row>
    <row r="1201" spans="1:3" x14ac:dyDescent="0.3">
      <c r="A1201" s="24">
        <v>152746</v>
      </c>
      <c r="B1201" t="s">
        <v>1433</v>
      </c>
      <c r="C1201" t="s">
        <v>662</v>
      </c>
    </row>
    <row r="1202" spans="1:3" x14ac:dyDescent="0.3">
      <c r="A1202" s="23">
        <v>423259</v>
      </c>
      <c r="B1202" t="s">
        <v>1433</v>
      </c>
      <c r="C1202" t="s">
        <v>662</v>
      </c>
    </row>
    <row r="1203" spans="1:3" x14ac:dyDescent="0.3">
      <c r="A1203" s="24">
        <v>233043</v>
      </c>
      <c r="B1203" t="s">
        <v>1433</v>
      </c>
      <c r="C1203" t="s">
        <v>662</v>
      </c>
    </row>
    <row r="1204" spans="1:3" x14ac:dyDescent="0.3">
      <c r="A1204" s="23">
        <v>255014</v>
      </c>
      <c r="B1204" t="s">
        <v>1433</v>
      </c>
      <c r="C1204" t="s">
        <v>662</v>
      </c>
    </row>
    <row r="1205" spans="1:3" x14ac:dyDescent="0.3">
      <c r="A1205" s="24">
        <v>55630</v>
      </c>
      <c r="B1205" t="s">
        <v>1433</v>
      </c>
      <c r="C1205" t="s">
        <v>662</v>
      </c>
    </row>
    <row r="1206" spans="1:3" x14ac:dyDescent="0.3">
      <c r="A1206" s="23">
        <v>182045</v>
      </c>
      <c r="B1206" t="s">
        <v>1433</v>
      </c>
      <c r="C1206" t="s">
        <v>662</v>
      </c>
    </row>
    <row r="1207" spans="1:3" x14ac:dyDescent="0.3">
      <c r="A1207" s="24">
        <v>413713</v>
      </c>
      <c r="B1207" t="s">
        <v>1433</v>
      </c>
      <c r="C1207" t="s">
        <v>662</v>
      </c>
    </row>
    <row r="1208" spans="1:3" x14ac:dyDescent="0.3">
      <c r="A1208" s="23">
        <v>150342</v>
      </c>
      <c r="B1208" t="s">
        <v>1433</v>
      </c>
      <c r="C1208" t="s">
        <v>662</v>
      </c>
    </row>
    <row r="1209" spans="1:3" x14ac:dyDescent="0.3">
      <c r="A1209" s="24">
        <v>121045</v>
      </c>
      <c r="B1209" t="s">
        <v>1433</v>
      </c>
      <c r="C1209" t="s">
        <v>662</v>
      </c>
    </row>
    <row r="1210" spans="1:3" x14ac:dyDescent="0.3">
      <c r="A1210" s="23">
        <v>422328</v>
      </c>
      <c r="B1210" t="s">
        <v>1433</v>
      </c>
      <c r="C1210" t="s">
        <v>662</v>
      </c>
    </row>
    <row r="1211" spans="1:3" x14ac:dyDescent="0.3">
      <c r="A1211" s="24">
        <v>143642</v>
      </c>
      <c r="B1211" t="s">
        <v>1433</v>
      </c>
      <c r="C1211" t="s">
        <v>662</v>
      </c>
    </row>
    <row r="1212" spans="1:3" x14ac:dyDescent="0.3">
      <c r="A1212" s="23">
        <v>220880</v>
      </c>
      <c r="B1212" t="s">
        <v>1433</v>
      </c>
      <c r="C1212" t="s">
        <v>662</v>
      </c>
    </row>
    <row r="1213" spans="1:3" x14ac:dyDescent="0.3">
      <c r="A1213" s="24">
        <v>232587</v>
      </c>
      <c r="B1213" t="s">
        <v>1433</v>
      </c>
      <c r="C1213" t="s">
        <v>662</v>
      </c>
    </row>
    <row r="1214" spans="1:3" x14ac:dyDescent="0.3">
      <c r="A1214" s="23">
        <v>161347</v>
      </c>
      <c r="B1214" t="s">
        <v>1433</v>
      </c>
      <c r="C1214" t="s">
        <v>662</v>
      </c>
    </row>
    <row r="1215" spans="1:3" x14ac:dyDescent="0.3">
      <c r="A1215" s="24">
        <v>170735</v>
      </c>
      <c r="B1215" t="s">
        <v>1433</v>
      </c>
      <c r="C1215" t="s">
        <v>662</v>
      </c>
    </row>
    <row r="1216" spans="1:3" x14ac:dyDescent="0.3">
      <c r="A1216" s="23">
        <v>424799</v>
      </c>
      <c r="B1216" t="s">
        <v>1433</v>
      </c>
      <c r="C1216" t="s">
        <v>662</v>
      </c>
    </row>
    <row r="1217" spans="1:3" x14ac:dyDescent="0.3">
      <c r="A1217" s="24">
        <v>69957</v>
      </c>
      <c r="B1217" t="s">
        <v>1433</v>
      </c>
      <c r="C1217" t="s">
        <v>662</v>
      </c>
    </row>
    <row r="1218" spans="1:3" x14ac:dyDescent="0.3">
      <c r="A1218" s="23">
        <v>142174</v>
      </c>
      <c r="B1218" t="s">
        <v>1433</v>
      </c>
      <c r="C1218" t="s">
        <v>662</v>
      </c>
    </row>
    <row r="1219" spans="1:3" x14ac:dyDescent="0.3">
      <c r="A1219" s="24">
        <v>170736</v>
      </c>
      <c r="B1219" t="s">
        <v>1433</v>
      </c>
      <c r="C1219" t="s">
        <v>662</v>
      </c>
    </row>
    <row r="1220" spans="1:3" x14ac:dyDescent="0.3">
      <c r="A1220" s="23">
        <v>238726</v>
      </c>
      <c r="B1220" t="s">
        <v>1433</v>
      </c>
      <c r="C1220" t="s">
        <v>662</v>
      </c>
    </row>
    <row r="1221" spans="1:3" x14ac:dyDescent="0.3">
      <c r="A1221" s="24">
        <v>43580</v>
      </c>
      <c r="B1221" t="s">
        <v>1433</v>
      </c>
      <c r="C1221" t="s">
        <v>662</v>
      </c>
    </row>
    <row r="1222" spans="1:3" x14ac:dyDescent="0.3">
      <c r="A1222" s="23">
        <v>403465</v>
      </c>
      <c r="B1222" t="s">
        <v>1433</v>
      </c>
      <c r="C1222" t="s">
        <v>662</v>
      </c>
    </row>
    <row r="1223" spans="1:3" x14ac:dyDescent="0.3">
      <c r="A1223" s="24">
        <v>247023</v>
      </c>
      <c r="B1223" t="s">
        <v>1433</v>
      </c>
      <c r="C1223" t="s">
        <v>662</v>
      </c>
    </row>
    <row r="1224" spans="1:3" x14ac:dyDescent="0.3">
      <c r="A1224" s="23">
        <v>136160</v>
      </c>
      <c r="B1224" t="s">
        <v>1433</v>
      </c>
      <c r="C1224" t="s">
        <v>662</v>
      </c>
    </row>
    <row r="1225" spans="1:3" x14ac:dyDescent="0.3">
      <c r="A1225" s="24">
        <v>170734</v>
      </c>
      <c r="B1225" t="s">
        <v>1433</v>
      </c>
      <c r="C1225" t="s">
        <v>662</v>
      </c>
    </row>
    <row r="1226" spans="1:3" x14ac:dyDescent="0.3">
      <c r="A1226" s="23">
        <v>55632</v>
      </c>
      <c r="B1226" t="s">
        <v>1433</v>
      </c>
      <c r="C1226" t="s">
        <v>662</v>
      </c>
    </row>
    <row r="1227" spans="1:3" x14ac:dyDescent="0.3">
      <c r="A1227" s="24">
        <v>250498</v>
      </c>
      <c r="B1227" t="s">
        <v>1433</v>
      </c>
      <c r="C1227" t="s">
        <v>662</v>
      </c>
    </row>
    <row r="1228" spans="1:3" x14ac:dyDescent="0.3">
      <c r="A1228" s="23">
        <v>403466</v>
      </c>
      <c r="B1228" t="s">
        <v>1433</v>
      </c>
      <c r="C1228" t="s">
        <v>662</v>
      </c>
    </row>
    <row r="1229" spans="1:3" x14ac:dyDescent="0.3">
      <c r="A1229" s="24">
        <v>186607</v>
      </c>
      <c r="B1229" t="s">
        <v>1433</v>
      </c>
      <c r="C1229" t="s">
        <v>662</v>
      </c>
    </row>
    <row r="1230" spans="1:3" x14ac:dyDescent="0.3">
      <c r="A1230" s="23">
        <v>169759</v>
      </c>
      <c r="B1230" t="s">
        <v>1433</v>
      </c>
      <c r="C1230" t="s">
        <v>662</v>
      </c>
    </row>
    <row r="1231" spans="1:3" x14ac:dyDescent="0.3">
      <c r="A1231" s="24">
        <v>92715</v>
      </c>
      <c r="B1231" t="s">
        <v>1433</v>
      </c>
      <c r="C1231" t="s">
        <v>662</v>
      </c>
    </row>
    <row r="1232" spans="1:3" x14ac:dyDescent="0.3">
      <c r="A1232" s="23">
        <v>204036</v>
      </c>
      <c r="B1232" t="s">
        <v>1433</v>
      </c>
      <c r="C1232" t="s">
        <v>662</v>
      </c>
    </row>
    <row r="1233" spans="1:3" x14ac:dyDescent="0.3">
      <c r="A1233" s="24">
        <v>100415</v>
      </c>
      <c r="B1233" t="s">
        <v>1433</v>
      </c>
      <c r="C1233" t="s">
        <v>662</v>
      </c>
    </row>
    <row r="1234" spans="1:3" x14ac:dyDescent="0.3">
      <c r="A1234" s="23">
        <v>133795</v>
      </c>
      <c r="B1234" t="s">
        <v>1433</v>
      </c>
      <c r="C1234" t="s">
        <v>662</v>
      </c>
    </row>
    <row r="1235" spans="1:3" x14ac:dyDescent="0.3">
      <c r="A1235" s="24">
        <v>219453</v>
      </c>
      <c r="B1235" t="s">
        <v>1433</v>
      </c>
      <c r="C1235" t="s">
        <v>662</v>
      </c>
    </row>
    <row r="1236" spans="1:3" x14ac:dyDescent="0.3">
      <c r="A1236" s="23">
        <v>223948</v>
      </c>
      <c r="B1236" t="s">
        <v>1433</v>
      </c>
      <c r="C1236" t="s">
        <v>662</v>
      </c>
    </row>
    <row r="1237" spans="1:3" x14ac:dyDescent="0.3">
      <c r="A1237" s="24">
        <v>169824</v>
      </c>
      <c r="B1237" t="s">
        <v>1433</v>
      </c>
      <c r="C1237" t="s">
        <v>662</v>
      </c>
    </row>
    <row r="1238" spans="1:3" x14ac:dyDescent="0.3">
      <c r="A1238" s="23">
        <v>122035</v>
      </c>
      <c r="B1238" t="s">
        <v>1433</v>
      </c>
      <c r="C1238" t="s">
        <v>662</v>
      </c>
    </row>
    <row r="1239" spans="1:3" x14ac:dyDescent="0.3">
      <c r="A1239" s="24">
        <v>130534</v>
      </c>
      <c r="B1239" t="s">
        <v>1433</v>
      </c>
      <c r="C1239" t="s">
        <v>662</v>
      </c>
    </row>
    <row r="1240" spans="1:3" x14ac:dyDescent="0.3">
      <c r="A1240" s="23">
        <v>160501</v>
      </c>
      <c r="B1240" t="s">
        <v>1433</v>
      </c>
      <c r="C1240" t="s">
        <v>662</v>
      </c>
    </row>
    <row r="1241" spans="1:3" x14ac:dyDescent="0.3">
      <c r="A1241" s="24">
        <v>187482</v>
      </c>
      <c r="B1241" t="s">
        <v>1433</v>
      </c>
      <c r="C1241" t="s">
        <v>662</v>
      </c>
    </row>
    <row r="1242" spans="1:3" x14ac:dyDescent="0.3">
      <c r="A1242" s="23">
        <v>249314</v>
      </c>
      <c r="B1242" t="s">
        <v>1433</v>
      </c>
      <c r="C1242" t="s">
        <v>662</v>
      </c>
    </row>
    <row r="1243" spans="1:3" x14ac:dyDescent="0.3">
      <c r="A1243" s="24">
        <v>57445</v>
      </c>
      <c r="B1243" t="s">
        <v>1433</v>
      </c>
      <c r="C1243" t="s">
        <v>662</v>
      </c>
    </row>
    <row r="1244" spans="1:3" x14ac:dyDescent="0.3">
      <c r="A1244" s="23">
        <v>182200</v>
      </c>
      <c r="B1244" t="s">
        <v>1433</v>
      </c>
      <c r="C1244" t="s">
        <v>662</v>
      </c>
    </row>
    <row r="1245" spans="1:3" x14ac:dyDescent="0.3">
      <c r="A1245" s="24">
        <v>116228</v>
      </c>
      <c r="B1245" t="s">
        <v>1433</v>
      </c>
      <c r="C1245" t="s">
        <v>662</v>
      </c>
    </row>
    <row r="1246" spans="1:3" x14ac:dyDescent="0.3">
      <c r="A1246" s="23">
        <v>238725</v>
      </c>
      <c r="B1246" t="s">
        <v>1433</v>
      </c>
      <c r="C1246" t="s">
        <v>662</v>
      </c>
    </row>
    <row r="1247" spans="1:3" x14ac:dyDescent="0.3">
      <c r="A1247" s="24">
        <v>130325</v>
      </c>
      <c r="B1247" t="s">
        <v>1433</v>
      </c>
      <c r="C1247" t="s">
        <v>662</v>
      </c>
    </row>
    <row r="1248" spans="1:3" x14ac:dyDescent="0.3">
      <c r="A1248" s="23">
        <v>248759</v>
      </c>
      <c r="B1248" t="s">
        <v>1433</v>
      </c>
      <c r="C1248" t="s">
        <v>662</v>
      </c>
    </row>
    <row r="1249" spans="1:3" x14ac:dyDescent="0.3">
      <c r="A1249" s="24">
        <v>402932</v>
      </c>
      <c r="B1249" t="s">
        <v>1433</v>
      </c>
      <c r="C1249" t="s">
        <v>662</v>
      </c>
    </row>
    <row r="1250" spans="1:3" x14ac:dyDescent="0.3">
      <c r="A1250" s="23">
        <v>422684</v>
      </c>
      <c r="B1250" t="s">
        <v>1433</v>
      </c>
      <c r="C1250" t="s">
        <v>662</v>
      </c>
    </row>
    <row r="1251" spans="1:3" x14ac:dyDescent="0.3">
      <c r="A1251" s="24">
        <v>419596</v>
      </c>
      <c r="B1251" t="s">
        <v>1433</v>
      </c>
      <c r="C1251" t="s">
        <v>662</v>
      </c>
    </row>
    <row r="1252" spans="1:3" x14ac:dyDescent="0.3">
      <c r="A1252" s="23">
        <v>217474</v>
      </c>
      <c r="B1252" t="s">
        <v>1433</v>
      </c>
      <c r="C1252" t="s">
        <v>662</v>
      </c>
    </row>
    <row r="1253" spans="1:3" x14ac:dyDescent="0.3">
      <c r="A1253" s="24">
        <v>232584</v>
      </c>
      <c r="B1253" t="s">
        <v>1433</v>
      </c>
      <c r="C1253" t="s">
        <v>662</v>
      </c>
    </row>
    <row r="1254" spans="1:3" x14ac:dyDescent="0.3">
      <c r="A1254" s="23">
        <v>173912</v>
      </c>
      <c r="B1254" t="s">
        <v>1433</v>
      </c>
      <c r="C1254" t="s">
        <v>662</v>
      </c>
    </row>
    <row r="1255" spans="1:3" x14ac:dyDescent="0.3">
      <c r="A1255" s="24">
        <v>402631</v>
      </c>
      <c r="B1255" t="s">
        <v>1433</v>
      </c>
      <c r="C1255" t="s">
        <v>662</v>
      </c>
    </row>
    <row r="1256" spans="1:3" x14ac:dyDescent="0.3">
      <c r="A1256" s="23">
        <v>226029</v>
      </c>
      <c r="B1256" t="s">
        <v>1433</v>
      </c>
      <c r="C1256" t="s">
        <v>662</v>
      </c>
    </row>
    <row r="1257" spans="1:3" x14ac:dyDescent="0.3">
      <c r="A1257" s="24">
        <v>423605</v>
      </c>
      <c r="B1257" t="s">
        <v>1433</v>
      </c>
      <c r="C1257" t="s">
        <v>662</v>
      </c>
    </row>
    <row r="1258" spans="1:3" x14ac:dyDescent="0.3">
      <c r="A1258" s="23">
        <v>164122</v>
      </c>
      <c r="B1258" t="s">
        <v>1433</v>
      </c>
      <c r="C1258" t="s">
        <v>662</v>
      </c>
    </row>
    <row r="1259" spans="1:3" x14ac:dyDescent="0.3">
      <c r="A1259" s="24">
        <v>74848</v>
      </c>
      <c r="B1259" t="s">
        <v>1433</v>
      </c>
      <c r="C1259" t="s">
        <v>662</v>
      </c>
    </row>
    <row r="1260" spans="1:3" x14ac:dyDescent="0.3">
      <c r="A1260" s="23">
        <v>234527</v>
      </c>
      <c r="B1260" t="s">
        <v>1433</v>
      </c>
      <c r="C1260" t="s">
        <v>662</v>
      </c>
    </row>
    <row r="1261" spans="1:3" x14ac:dyDescent="0.3">
      <c r="A1261" s="24">
        <v>54376</v>
      </c>
      <c r="B1261" t="s">
        <v>1433</v>
      </c>
      <c r="C1261" t="s">
        <v>662</v>
      </c>
    </row>
    <row r="1262" spans="1:3" x14ac:dyDescent="0.3">
      <c r="A1262" s="23">
        <v>227367</v>
      </c>
      <c r="B1262" t="s">
        <v>1433</v>
      </c>
      <c r="C1262" t="s">
        <v>662</v>
      </c>
    </row>
    <row r="1263" spans="1:3" x14ac:dyDescent="0.3">
      <c r="A1263" s="24">
        <v>408899</v>
      </c>
      <c r="B1263" t="s">
        <v>1433</v>
      </c>
      <c r="C1263" t="s">
        <v>662</v>
      </c>
    </row>
    <row r="1264" spans="1:3" x14ac:dyDescent="0.3">
      <c r="A1264" s="23">
        <v>254955</v>
      </c>
      <c r="B1264" t="s">
        <v>1433</v>
      </c>
      <c r="C1264" t="s">
        <v>662</v>
      </c>
    </row>
    <row r="1265" spans="1:3" x14ac:dyDescent="0.3">
      <c r="A1265" s="24">
        <v>235174</v>
      </c>
      <c r="B1265" t="s">
        <v>1433</v>
      </c>
      <c r="C1265" t="s">
        <v>662</v>
      </c>
    </row>
    <row r="1266" spans="1:3" x14ac:dyDescent="0.3">
      <c r="A1266" s="23">
        <v>71197</v>
      </c>
      <c r="B1266" t="s">
        <v>1433</v>
      </c>
      <c r="C1266" t="s">
        <v>662</v>
      </c>
    </row>
    <row r="1267" spans="1:3" x14ac:dyDescent="0.3">
      <c r="A1267" s="24">
        <v>421721</v>
      </c>
      <c r="B1267" t="s">
        <v>1433</v>
      </c>
      <c r="C1267" t="s">
        <v>662</v>
      </c>
    </row>
    <row r="1268" spans="1:3" x14ac:dyDescent="0.3">
      <c r="A1268" s="23">
        <v>144481</v>
      </c>
      <c r="B1268" t="s">
        <v>1433</v>
      </c>
      <c r="C1268" t="s">
        <v>662</v>
      </c>
    </row>
    <row r="1269" spans="1:3" x14ac:dyDescent="0.3">
      <c r="A1269" s="24">
        <v>406313</v>
      </c>
      <c r="B1269" t="s">
        <v>1433</v>
      </c>
      <c r="C1269" t="s">
        <v>662</v>
      </c>
    </row>
    <row r="1270" spans="1:3" x14ac:dyDescent="0.3">
      <c r="A1270" s="23">
        <v>240528</v>
      </c>
      <c r="B1270" t="s">
        <v>1433</v>
      </c>
      <c r="C1270" t="s">
        <v>662</v>
      </c>
    </row>
    <row r="1271" spans="1:3" x14ac:dyDescent="0.3">
      <c r="A1271" s="24">
        <v>423525</v>
      </c>
      <c r="B1271" t="s">
        <v>1433</v>
      </c>
      <c r="C1271" t="s">
        <v>662</v>
      </c>
    </row>
    <row r="1272" spans="1:3" x14ac:dyDescent="0.3">
      <c r="A1272" s="23">
        <v>410217</v>
      </c>
      <c r="B1272" t="s">
        <v>1433</v>
      </c>
      <c r="C1272" t="s">
        <v>662</v>
      </c>
    </row>
    <row r="1273" spans="1:3" x14ac:dyDescent="0.3">
      <c r="A1273" s="24">
        <v>68307</v>
      </c>
      <c r="B1273" t="s">
        <v>1433</v>
      </c>
      <c r="C1273" t="s">
        <v>662</v>
      </c>
    </row>
    <row r="1274" spans="1:3" x14ac:dyDescent="0.3">
      <c r="A1274" s="23">
        <v>425488</v>
      </c>
      <c r="B1274" t="s">
        <v>661</v>
      </c>
      <c r="C1274" t="s">
        <v>664</v>
      </c>
    </row>
    <row r="1275" spans="1:3" x14ac:dyDescent="0.3">
      <c r="A1275" s="24">
        <v>424434</v>
      </c>
      <c r="B1275" t="s">
        <v>1371</v>
      </c>
      <c r="C1275" t="s">
        <v>664</v>
      </c>
    </row>
    <row r="1276" spans="1:3" x14ac:dyDescent="0.3">
      <c r="A1276" s="23">
        <v>401157</v>
      </c>
      <c r="B1276" t="s">
        <v>659</v>
      </c>
      <c r="C1276" t="s">
        <v>664</v>
      </c>
    </row>
    <row r="1277" spans="1:3" x14ac:dyDescent="0.3">
      <c r="A1277" s="24">
        <v>425478</v>
      </c>
      <c r="B1277" t="s">
        <v>699</v>
      </c>
      <c r="C1277" t="s">
        <v>664</v>
      </c>
    </row>
    <row r="1278" spans="1:3" x14ac:dyDescent="0.3">
      <c r="A1278" s="23">
        <v>425571</v>
      </c>
      <c r="B1278" t="s">
        <v>658</v>
      </c>
      <c r="C1278" t="s">
        <v>664</v>
      </c>
    </row>
    <row r="1279" spans="1:3" x14ac:dyDescent="0.3">
      <c r="A1279" s="24">
        <v>425370</v>
      </c>
      <c r="B1279" t="s">
        <v>1371</v>
      </c>
      <c r="C1279" t="s">
        <v>664</v>
      </c>
    </row>
    <row r="1280" spans="1:3" x14ac:dyDescent="0.3">
      <c r="A1280" s="23">
        <v>425601</v>
      </c>
      <c r="B1280" t="s">
        <v>1371</v>
      </c>
      <c r="C1280" t="s">
        <v>664</v>
      </c>
    </row>
    <row r="1281" spans="1:3" x14ac:dyDescent="0.3">
      <c r="A1281" s="24">
        <v>425605</v>
      </c>
      <c r="B1281" t="s">
        <v>742</v>
      </c>
      <c r="C1281" t="s">
        <v>664</v>
      </c>
    </row>
    <row r="1282" spans="1:3" x14ac:dyDescent="0.3">
      <c r="A1282" s="24">
        <v>425559</v>
      </c>
      <c r="B1282" t="s">
        <v>1371</v>
      </c>
      <c r="C1282" t="s">
        <v>664</v>
      </c>
    </row>
  </sheetData>
  <autoFilter ref="A1:C1282" xr:uid="{645B816F-CF8C-4B00-8638-150A89D595F8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7157AD-9E00-44F1-85BD-544D3AAEFB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 2026 08</vt:lpstr>
      <vt:lpstr>Responsavel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 Rabelo</dc:creator>
  <cp:lastModifiedBy>Henrique Rabelo</cp:lastModifiedBy>
  <dcterms:created xsi:type="dcterms:W3CDTF">2025-09-29T15:25:49Z</dcterms:created>
  <dcterms:modified xsi:type="dcterms:W3CDTF">2026-08-21T19:24:39Z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2025-09-29T16:51:18Z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c51cf4ab-105e-42f8-9ff6-991bd7da625d</vt:lpwstr>
  </property>
  <property fmtid="{D5CDD505-2E9C-101B-9397-08002B2CF9AE}" pid="7" name="MSIP_Label_defa4170-0d19-0005-0004-bc88714345d2_ActionId">
    <vt:lpwstr>7bd7fb07-8632-4126-8f5e-108e70d73fb7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