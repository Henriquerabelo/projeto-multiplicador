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aebc8d3a6a762/Documentos/Projeto-Multiplicador/"/>
    </mc:Choice>
  </mc:AlternateContent>
  <xr:revisionPtr revIDLastSave="107" documentId="13_ncr:1_{E07B3757-4505-42D2-842B-18D359030F55}" xr6:coauthVersionLast="47" xr6:coauthVersionMax="47" xr10:uidLastSave="{6F50958C-87E5-452D-8651-68549069384C}"/>
  <bookViews>
    <workbookView xWindow="-108" yWindow="-108" windowWidth="23256" windowHeight="12456" tabRatio="781" activeTab="1" xr2:uid="{A270AA43-A8DD-4734-8B56-C3E92C08B0BE}"/>
  </bookViews>
  <sheets>
    <sheet name="AG 937 PICOS" sheetId="25" r:id="rId1"/>
    <sheet name="Rel 2026" sheetId="11" r:id="rId2"/>
  </sheets>
  <definedNames>
    <definedName name="DadosExternos_1" localSheetId="0" hidden="1">'AG 937 PICOS'!$D$1:$AK$19</definedName>
    <definedName name="DadosExternos_1" localSheetId="1" hidden="1">'Rel 2026'!$C$1:$AK$117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8" i="11" l="1"/>
  <c r="Q118" i="11"/>
  <c r="R118" i="11"/>
  <c r="S118" i="11"/>
  <c r="Z118" i="11"/>
  <c r="AA118" i="11"/>
  <c r="AB118" i="11"/>
  <c r="AC118" i="11"/>
  <c r="AD118" i="11"/>
  <c r="AE118" i="11"/>
  <c r="AF118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AL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L65" i="11"/>
  <c r="AL66" i="11"/>
  <c r="AL67" i="11"/>
  <c r="AL68" i="11"/>
  <c r="AL69" i="11"/>
  <c r="AL70" i="11"/>
  <c r="AL71" i="11"/>
  <c r="AL72" i="11"/>
  <c r="AL73" i="11"/>
  <c r="AL74" i="11"/>
  <c r="AL75" i="11"/>
  <c r="AL76" i="11"/>
  <c r="AL77" i="11"/>
  <c r="AL78" i="11"/>
  <c r="AL79" i="11"/>
  <c r="AL80" i="11"/>
  <c r="AL81" i="11"/>
  <c r="AL82" i="11"/>
  <c r="AL83" i="11"/>
  <c r="AL84" i="11"/>
  <c r="AL85" i="11"/>
  <c r="AL86" i="11"/>
  <c r="AL87" i="11"/>
  <c r="AL88" i="11"/>
  <c r="AL89" i="11"/>
  <c r="AL90" i="11"/>
  <c r="AL91" i="11"/>
  <c r="AL92" i="11"/>
  <c r="AL93" i="11"/>
  <c r="AL94" i="11"/>
  <c r="AL95" i="11"/>
  <c r="AL96" i="11"/>
  <c r="AL97" i="11"/>
  <c r="AL98" i="11"/>
  <c r="AL99" i="11"/>
  <c r="AL100" i="11"/>
  <c r="AL101" i="11"/>
  <c r="AL102" i="11"/>
  <c r="AL103" i="11"/>
  <c r="AL104" i="11"/>
  <c r="AL105" i="11"/>
  <c r="AL106" i="11"/>
  <c r="AL107" i="11"/>
  <c r="AL108" i="11"/>
  <c r="AL109" i="11"/>
  <c r="AL110" i="11"/>
  <c r="AL111" i="11"/>
  <c r="AL112" i="11"/>
  <c r="AL113" i="11"/>
  <c r="AL114" i="11"/>
  <c r="AL115" i="11"/>
  <c r="AL116" i="11"/>
  <c r="AL117" i="11"/>
  <c r="AM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M110" i="11"/>
  <c r="AM111" i="11"/>
  <c r="AM112" i="11"/>
  <c r="AM113" i="11"/>
  <c r="AM114" i="11"/>
  <c r="AM115" i="11"/>
  <c r="AM116" i="11"/>
  <c r="AM117" i="11"/>
  <c r="AN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O20" i="25"/>
  <c r="P20" i="25"/>
  <c r="Q20" i="25"/>
  <c r="R20" i="25"/>
  <c r="Y20" i="25"/>
  <c r="Z20" i="25"/>
  <c r="AA20" i="25"/>
  <c r="AB20" i="25"/>
  <c r="AC20" i="25"/>
  <c r="AD20" i="25"/>
  <c r="AE20" i="25"/>
  <c r="C2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AL2" i="25"/>
  <c r="A2" i="25" s="1"/>
  <c r="AL3" i="25"/>
  <c r="A3" i="25" s="1"/>
  <c r="AL4" i="25"/>
  <c r="A4" i="25" s="1"/>
  <c r="AL5" i="25"/>
  <c r="A5" i="25" s="1"/>
  <c r="AL6" i="25"/>
  <c r="A6" i="25" s="1"/>
  <c r="AL7" i="25"/>
  <c r="A7" i="25" s="1"/>
  <c r="AL8" i="25"/>
  <c r="A8" i="25" s="1"/>
  <c r="AL9" i="25"/>
  <c r="A9" i="25" s="1"/>
  <c r="AL10" i="25"/>
  <c r="A10" i="25" s="1"/>
  <c r="AL11" i="25"/>
  <c r="A11" i="25" s="1"/>
  <c r="AL12" i="25"/>
  <c r="A12" i="25" s="1"/>
  <c r="AL13" i="25"/>
  <c r="A13" i="25" s="1"/>
  <c r="AL14" i="25"/>
  <c r="A14" i="25" s="1"/>
  <c r="AL15" i="25"/>
  <c r="A15" i="25" s="1"/>
  <c r="AL16" i="25"/>
  <c r="A16" i="25" s="1"/>
  <c r="AL17" i="25"/>
  <c r="A17" i="25" s="1"/>
  <c r="AL18" i="25"/>
  <c r="A18" i="25" s="1"/>
  <c r="AL19" i="25"/>
  <c r="A19" i="25" s="1"/>
  <c r="B2" i="11" l="1"/>
  <c r="A2" i="11"/>
  <c r="A3" i="11"/>
  <c r="B3" i="11"/>
  <c r="A4" i="11"/>
  <c r="B4" i="11"/>
  <c r="B5" i="11"/>
  <c r="A5" i="11"/>
  <c r="B6" i="11"/>
  <c r="A6" i="11"/>
  <c r="A7" i="11"/>
  <c r="B7" i="11"/>
  <c r="B8" i="11"/>
  <c r="A8" i="11"/>
  <c r="B9" i="11"/>
  <c r="A9" i="11"/>
  <c r="A10" i="11"/>
  <c r="B10" i="11"/>
  <c r="A11" i="11"/>
  <c r="B11" i="11"/>
  <c r="B12" i="11"/>
  <c r="A12" i="11"/>
  <c r="B13" i="11"/>
  <c r="A13" i="11"/>
  <c r="B14" i="11"/>
  <c r="A14" i="11"/>
  <c r="B15" i="11"/>
  <c r="A15" i="11"/>
  <c r="B16" i="11"/>
  <c r="A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B24" i="11"/>
  <c r="A24" i="11"/>
  <c r="A25" i="11"/>
  <c r="B25" i="11"/>
  <c r="B26" i="11"/>
  <c r="A26" i="11"/>
  <c r="B27" i="11"/>
  <c r="A27" i="11"/>
  <c r="A28" i="11"/>
  <c r="B28" i="11"/>
  <c r="A29" i="11"/>
  <c r="B29" i="11"/>
  <c r="B30" i="11"/>
  <c r="A30" i="11"/>
  <c r="B31" i="11"/>
  <c r="A31" i="11"/>
  <c r="A32" i="11"/>
  <c r="B32" i="11"/>
  <c r="A33" i="11"/>
  <c r="B33" i="11"/>
  <c r="B34" i="11"/>
  <c r="A34" i="11"/>
  <c r="B35" i="11"/>
  <c r="A35" i="11"/>
  <c r="B36" i="11"/>
  <c r="A36" i="11"/>
  <c r="A37" i="11"/>
  <c r="B37" i="11"/>
  <c r="B38" i="11"/>
  <c r="A38" i="11"/>
  <c r="A39" i="11"/>
  <c r="B39" i="11"/>
  <c r="A40" i="11"/>
  <c r="B40" i="11"/>
  <c r="B41" i="11"/>
  <c r="A41" i="11"/>
  <c r="B42" i="11"/>
  <c r="A42" i="11"/>
  <c r="B43" i="11"/>
  <c r="A43" i="11"/>
  <c r="B44" i="11"/>
  <c r="A44" i="11"/>
  <c r="B45" i="11"/>
  <c r="A45" i="11"/>
  <c r="B46" i="11"/>
  <c r="A46" i="11"/>
  <c r="B47" i="11"/>
  <c r="A47" i="11"/>
  <c r="B48" i="11"/>
  <c r="A48" i="11"/>
  <c r="A49" i="11"/>
  <c r="B49" i="11"/>
  <c r="A50" i="11"/>
  <c r="B50" i="11"/>
  <c r="A51" i="11"/>
  <c r="B51" i="11"/>
  <c r="A52" i="11"/>
  <c r="B52" i="11"/>
  <c r="B53" i="11"/>
  <c r="A53" i="11"/>
  <c r="B54" i="11"/>
  <c r="A54" i="11"/>
  <c r="A55" i="11"/>
  <c r="B55" i="11"/>
  <c r="B56" i="11"/>
  <c r="A56" i="11"/>
  <c r="A57" i="11"/>
  <c r="B57" i="11"/>
  <c r="A58" i="11"/>
  <c r="B58" i="11"/>
  <c r="B59" i="11"/>
  <c r="A59" i="11"/>
  <c r="B60" i="11"/>
  <c r="A60" i="11"/>
  <c r="A61" i="11"/>
  <c r="B61" i="11"/>
  <c r="A62" i="11"/>
  <c r="B62" i="11"/>
  <c r="A63" i="11"/>
  <c r="B63" i="11"/>
  <c r="B64" i="11"/>
  <c r="A64" i="11"/>
  <c r="B65" i="11"/>
  <c r="A65" i="11"/>
  <c r="A66" i="11"/>
  <c r="B66" i="11"/>
  <c r="A67" i="11"/>
  <c r="B67" i="11"/>
  <c r="B68" i="11"/>
  <c r="A68" i="11"/>
  <c r="A69" i="11"/>
  <c r="B69" i="11"/>
  <c r="B70" i="11"/>
  <c r="A70" i="11"/>
  <c r="B71" i="11"/>
  <c r="A71" i="11"/>
  <c r="A72" i="11"/>
  <c r="B72" i="11"/>
  <c r="B73" i="11"/>
  <c r="A73" i="11"/>
  <c r="B74" i="11"/>
  <c r="A74" i="11"/>
  <c r="B75" i="11"/>
  <c r="A75" i="11"/>
  <c r="B76" i="11"/>
  <c r="A76" i="11"/>
  <c r="A77" i="11"/>
  <c r="B77" i="11"/>
  <c r="B78" i="11"/>
  <c r="A78" i="11"/>
  <c r="B79" i="11"/>
  <c r="A79" i="11"/>
  <c r="A80" i="11"/>
  <c r="B80" i="11"/>
  <c r="A81" i="11"/>
  <c r="B81" i="11"/>
  <c r="B82" i="11"/>
  <c r="A82" i="11"/>
  <c r="A83" i="11"/>
  <c r="B83" i="11"/>
  <c r="B84" i="11"/>
  <c r="A84" i="11"/>
  <c r="B85" i="11"/>
  <c r="A85" i="11"/>
  <c r="A86" i="11"/>
  <c r="B86" i="11"/>
  <c r="B87" i="11"/>
  <c r="A87" i="11"/>
  <c r="B88" i="11"/>
  <c r="A88" i="11"/>
  <c r="B89" i="11"/>
  <c r="A89" i="11"/>
  <c r="B90" i="11"/>
  <c r="A90" i="11"/>
  <c r="A91" i="11"/>
  <c r="B91" i="11"/>
  <c r="A92" i="11"/>
  <c r="B92" i="11"/>
  <c r="B93" i="11"/>
  <c r="A93" i="11"/>
  <c r="B94" i="11"/>
  <c r="A94" i="11"/>
  <c r="B95" i="11"/>
  <c r="A95" i="11"/>
  <c r="A96" i="11"/>
  <c r="B96" i="11"/>
  <c r="A97" i="11"/>
  <c r="B97" i="11"/>
  <c r="B98" i="11"/>
  <c r="A98" i="11"/>
  <c r="B99" i="11"/>
  <c r="A99" i="11"/>
  <c r="B100" i="11"/>
  <c r="A100" i="11"/>
  <c r="B101" i="11"/>
  <c r="A101" i="11"/>
  <c r="B102" i="11"/>
  <c r="A102" i="11"/>
  <c r="A103" i="11"/>
  <c r="B103" i="11"/>
  <c r="B104" i="11"/>
  <c r="A104" i="11"/>
  <c r="B105" i="11"/>
  <c r="A105" i="11"/>
  <c r="B106" i="11"/>
  <c r="A106" i="11"/>
  <c r="A107" i="11"/>
  <c r="B107" i="11"/>
  <c r="B108" i="11"/>
  <c r="A108" i="11"/>
  <c r="B109" i="11"/>
  <c r="A109" i="11"/>
  <c r="B110" i="11"/>
  <c r="A110" i="11"/>
  <c r="B111" i="11"/>
  <c r="A111" i="11"/>
  <c r="A112" i="11"/>
  <c r="B112" i="11"/>
  <c r="A113" i="11"/>
  <c r="B113" i="11"/>
  <c r="A114" i="11"/>
  <c r="B114" i="11"/>
  <c r="B115" i="11"/>
  <c r="A115" i="11"/>
  <c r="A116" i="11"/>
  <c r="B116" i="11"/>
  <c r="A117" i="11"/>
  <c r="B117" i="11"/>
  <c r="B128" i="11" l="1"/>
  <c r="B129" i="11"/>
  <c r="B130" i="11"/>
  <c r="B131" i="11"/>
  <c r="B135" i="11"/>
  <c r="B136" i="11"/>
  <c r="B137" i="11"/>
  <c r="B138" i="11"/>
  <c r="B142" i="11"/>
  <c r="B143" i="11"/>
  <c r="B144" i="11"/>
  <c r="B145" i="11"/>
  <c r="D120" i="11"/>
  <c r="D121" i="11"/>
  <c r="D122" i="11"/>
  <c r="D123" i="11"/>
  <c r="C128" i="11"/>
  <c r="C129" i="11"/>
  <c r="C130" i="11"/>
  <c r="C131" i="11"/>
  <c r="C135" i="11"/>
  <c r="C136" i="11"/>
  <c r="C137" i="11"/>
  <c r="C138" i="11"/>
  <c r="C142" i="11"/>
  <c r="C143" i="11"/>
  <c r="C144" i="11"/>
  <c r="C145" i="11"/>
  <c r="B122" i="11"/>
  <c r="B121" i="11"/>
  <c r="B123" i="11"/>
  <c r="B120" i="11"/>
  <c r="C139" i="11" l="1"/>
  <c r="E135" i="11" s="1"/>
  <c r="B139" i="11"/>
  <c r="D124" i="11"/>
  <c r="C146" i="11"/>
  <c r="E142" i="11" s="1"/>
  <c r="B146" i="11"/>
  <c r="B132" i="11"/>
  <c r="C132" i="11"/>
  <c r="E128" i="11" s="1"/>
  <c r="B124" i="11"/>
  <c r="E120" i="11" s="1"/>
  <c r="E137" i="11" l="1"/>
  <c r="E136" i="11"/>
  <c r="D136" i="11"/>
  <c r="D137" i="11"/>
  <c r="D135" i="11"/>
  <c r="D143" i="11"/>
  <c r="E144" i="11"/>
  <c r="D144" i="11"/>
  <c r="E143" i="11"/>
  <c r="D142" i="11"/>
  <c r="D130" i="11"/>
  <c r="D129" i="11"/>
  <c r="D128" i="11"/>
  <c r="E130" i="11"/>
  <c r="E129" i="11"/>
  <c r="C120" i="11"/>
  <c r="E121" i="11"/>
  <c r="E122" i="11"/>
  <c r="C121" i="11"/>
  <c r="C122" i="11"/>
  <c r="H130" i="11" l="1"/>
  <c r="H129" i="11"/>
  <c r="H128" i="11"/>
  <c r="H135" i="11"/>
  <c r="H137" i="11"/>
  <c r="H136" i="11"/>
  <c r="H143" i="11"/>
  <c r="H144" i="11"/>
  <c r="H14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C63E22-9227-4F79-A3A6-45295D60C462}" keepAlive="1" name="Consulta - Rel 2026" description="Conexão com a consulta 'Rel 2026' na pasta de trabalho." type="5" refreshedVersion="8" background="1" saveData="1">
    <dbPr connection="Provider=Microsoft.Mashup.OleDb.1;Data Source=$Workbook$;Location=&quot;Rel 2026&quot;;Extended Properties=&quot;&quot;" command="SELECT * FROM [Rel 2026]"/>
  </connection>
  <connection id="2" xr16:uid="{40824B62-3ADA-4EEE-A431-39E8B1AEE515}" keepAlive="1" name="Consulta - Rel 2026 - Ag 937" description="Conexão com a consulta 'Rel 2026 - Ag 937' na pasta de trabalho." type="5" refreshedVersion="8" background="1" saveData="1">
    <dbPr connection="Provider=Microsoft.Mashup.OleDb.1;Data Source=$Workbook$;Location=&quot;Rel 2026 - Ag 937&quot;;Extended Properties=&quot;&quot;" command="SELECT * FROM [Rel 2026 - Ag 937]"/>
  </connection>
  <connection id="3" xr16:uid="{F10C5DC1-AEE1-4B6D-A1B1-48B1E2B6E50A}" keepAlive="1" name="Consulta - Rel 2026 Geral" description="Conexão com a consulta 'Rel 2026 Geral' na pasta de trabalho." type="5" refreshedVersion="8" background="1" saveData="1">
    <dbPr connection="Provider=Microsoft.Mashup.OleDb.1;Data Source=$Workbook$;Location=&quot;Rel 2026 Geral&quot;;Extended Properties=&quot;&quot;" command="SELECT * FROM [Rel 2026 Geral]"/>
  </connection>
</connections>
</file>

<file path=xl/sharedStrings.xml><?xml version="1.0" encoding="utf-8"?>
<sst xmlns="http://schemas.openxmlformats.org/spreadsheetml/2006/main" count="1377" uniqueCount="349">
  <si>
    <t>nome_loja</t>
  </si>
  <si>
    <t>ag_pacb</t>
  </si>
  <si>
    <t>dt_inst_tablet</t>
  </si>
  <si>
    <t>uf</t>
  </si>
  <si>
    <t>municipio</t>
  </si>
  <si>
    <t>dt_clube</t>
  </si>
  <si>
    <t>dt_certificacao</t>
  </si>
  <si>
    <t>ger_regional</t>
  </si>
  <si>
    <t>data_ult_transacao</t>
  </si>
  <si>
    <t>qtd_TrxContabil</t>
  </si>
  <si>
    <t>qtd_contas</t>
  </si>
  <si>
    <t>qtd_contas_com_deposito</t>
  </si>
  <si>
    <t>qtd_cesta_serv</t>
  </si>
  <si>
    <t>QTD_CARTAO_EMITIDO</t>
  </si>
  <si>
    <t>vlr_lime</t>
  </si>
  <si>
    <t>QTD_CONTAS_PJ</t>
  </si>
  <si>
    <t>qtd_microsseguro</t>
  </si>
  <si>
    <t>QTD_SUPER_PROTEGIDO</t>
  </si>
  <si>
    <t>QTD_MICRO_VIVAVIDA</t>
  </si>
  <si>
    <t>QTD_PLANO_ODONTO</t>
  </si>
  <si>
    <t>QTD_SEG_RESIDENCIAL</t>
  </si>
  <si>
    <t>QTD_SEG_CARTAO_DEB</t>
  </si>
  <si>
    <t>Nao</t>
  </si>
  <si>
    <t>Desbloqueado</t>
  </si>
  <si>
    <t>TREINADO</t>
  </si>
  <si>
    <t>Sim</t>
  </si>
  <si>
    <t>Pontuação</t>
  </si>
  <si>
    <t>Elegível</t>
  </si>
  <si>
    <t>Resumo</t>
  </si>
  <si>
    <t>Próximo</t>
  </si>
  <si>
    <t>Não</t>
  </si>
  <si>
    <t>Responsável</t>
  </si>
  <si>
    <t>RESIDENCIAL</t>
  </si>
  <si>
    <t>DENTAL</t>
  </si>
  <si>
    <t>MICRO</t>
  </si>
  <si>
    <t>Agência</t>
  </si>
  <si>
    <t>VLR_EXP_SORTE</t>
  </si>
  <si>
    <t>Status</t>
  </si>
  <si>
    <t>0</t>
  </si>
  <si>
    <t>REFERENCIA</t>
  </si>
  <si>
    <t>BLOQUEADO</t>
  </si>
  <si>
    <t>DT_BLOQUEADO</t>
  </si>
  <si>
    <t>JACK</t>
  </si>
  <si>
    <t>PI</t>
  </si>
  <si>
    <t>TERESINA</t>
  </si>
  <si>
    <t>RR INFORMATICA</t>
  </si>
  <si>
    <t>0937/331</t>
  </si>
  <si>
    <t>IPIRANGA DO PIAUI</t>
  </si>
  <si>
    <t>SAO JOAO DA VARJOTA</t>
  </si>
  <si>
    <t>ISAIAS COELHO</t>
  </si>
  <si>
    <t>FARMACIA SANTO ANTONIO</t>
  </si>
  <si>
    <t>0937/515</t>
  </si>
  <si>
    <t>SANTO ANTONIO DE LISBOA</t>
  </si>
  <si>
    <t>MERCADINHO TEIXEIRA</t>
  </si>
  <si>
    <t>0937/365</t>
  </si>
  <si>
    <t>CARIDADE DO PIAUI</t>
  </si>
  <si>
    <t>FARMACENTER</t>
  </si>
  <si>
    <t>0937/533</t>
  </si>
  <si>
    <t>COMECIAL PROGRESSO</t>
  </si>
  <si>
    <t>0937/334</t>
  </si>
  <si>
    <t>MONSENHOR HIPOLITO</t>
  </si>
  <si>
    <t>ALEGRETE DO PIAUI</t>
  </si>
  <si>
    <t>MERCADINHO BOM PRECO</t>
  </si>
  <si>
    <t>MERCADINHO SAO VICENTE</t>
  </si>
  <si>
    <t>0937/247</t>
  </si>
  <si>
    <t>ALAGOINHA DO PIAUI</t>
  </si>
  <si>
    <t>MERCADINHO RAIANA</t>
  </si>
  <si>
    <t>0937/524</t>
  </si>
  <si>
    <t>SAO JULIAO</t>
  </si>
  <si>
    <t>FARMACIA SAO JOSE</t>
  </si>
  <si>
    <t>0937/742</t>
  </si>
  <si>
    <t>0937/513</t>
  </si>
  <si>
    <t>SAO JOSE DO PIAUI</t>
  </si>
  <si>
    <t>COMERCIAL SOUSA</t>
  </si>
  <si>
    <t>0937/322</t>
  </si>
  <si>
    <t>TOP MOVEIS PICOS</t>
  </si>
  <si>
    <t>0937/522</t>
  </si>
  <si>
    <t>PICOS</t>
  </si>
  <si>
    <t>MEGA INFORMATICA</t>
  </si>
  <si>
    <t>0937/547</t>
  </si>
  <si>
    <t>ITAINOPOLIS</t>
  </si>
  <si>
    <t>MERCADINHO LIMA BRITO</t>
  </si>
  <si>
    <t>0937/119</t>
  </si>
  <si>
    <t>HELI DA SILVA VARIEDADES</t>
  </si>
  <si>
    <t>0937/431</t>
  </si>
  <si>
    <t>GEMINIANO</t>
  </si>
  <si>
    <t>Ag</t>
  </si>
  <si>
    <t>0937</t>
  </si>
  <si>
    <t>Roberto Pharma</t>
  </si>
  <si>
    <t>0405/792</t>
  </si>
  <si>
    <t>LAGOA DO PIAUI</t>
  </si>
  <si>
    <t>COMERCIAL ARAUJO</t>
  </si>
  <si>
    <t>5792/142</t>
  </si>
  <si>
    <t>BATALHA</t>
  </si>
  <si>
    <t>MERCADINHO O ROBERTO</t>
  </si>
  <si>
    <t>0405/481</t>
  </si>
  <si>
    <t>DEMERVAL LOBAO</t>
  </si>
  <si>
    <t>Cm Farma</t>
  </si>
  <si>
    <t>5792/198</t>
  </si>
  <si>
    <t>BARRAS</t>
  </si>
  <si>
    <t>COMERCIAL KENNEDY</t>
  </si>
  <si>
    <t>5792/097</t>
  </si>
  <si>
    <t>NOSSA SENHORA DOS REMEDIOS</t>
  </si>
  <si>
    <t>Drogaria Maanaim</t>
  </si>
  <si>
    <t>5792/193</t>
  </si>
  <si>
    <t>BE MERCADINHO JAMES RESENDE</t>
  </si>
  <si>
    <t>5792/130</t>
  </si>
  <si>
    <t>BOA HORA</t>
  </si>
  <si>
    <t>BEM ESTAR DROGARIA</t>
  </si>
  <si>
    <t>5792/141</t>
  </si>
  <si>
    <t>MATIAS OLIMPIO</t>
  </si>
  <si>
    <t>COMERCIAL SAO RAIMUNDO</t>
  </si>
  <si>
    <t>5792/060</t>
  </si>
  <si>
    <t>DROGARIA J M</t>
  </si>
  <si>
    <t>0405/124</t>
  </si>
  <si>
    <t>MONSENHOR GIL</t>
  </si>
  <si>
    <t>SAO PEDRO DO PIAUI</t>
  </si>
  <si>
    <t>SUPER IDEAL</t>
  </si>
  <si>
    <t>5792/156</t>
  </si>
  <si>
    <t>CAMPO LARGO DO PIAUI</t>
  </si>
  <si>
    <t>Comercial Vaguim LJ 0002</t>
  </si>
  <si>
    <t>0405/790</t>
  </si>
  <si>
    <t>LOJAS DRAGAO</t>
  </si>
  <si>
    <t>0405/101</t>
  </si>
  <si>
    <t>J F VARIEDADES E PERSONALIZACAO</t>
  </si>
  <si>
    <t>5792/136</t>
  </si>
  <si>
    <t>COMERCIAL A DEUSELINA</t>
  </si>
  <si>
    <t>5792/110</t>
  </si>
  <si>
    <t>PORTO</t>
  </si>
  <si>
    <t>DROGARIA SANTO EXPEDITO</t>
  </si>
  <si>
    <t>5792/161</t>
  </si>
  <si>
    <t>TECLENET.COM</t>
  </si>
  <si>
    <t>0405/334</t>
  </si>
  <si>
    <t>AGUA BRANCA</t>
  </si>
  <si>
    <t>Comercial Ecomonico</t>
  </si>
  <si>
    <t>5792/204</t>
  </si>
  <si>
    <t>COMERCIAL O ZUZINHA</t>
  </si>
  <si>
    <t>5792/140</t>
  </si>
  <si>
    <t>COMERCIAL GARCIA</t>
  </si>
  <si>
    <t>5792/126</t>
  </si>
  <si>
    <t>COMERCIAL SENHOR DO BOMFIM</t>
  </si>
  <si>
    <t>5792/094</t>
  </si>
  <si>
    <t>DROGARIA PAGUE BEM</t>
  </si>
  <si>
    <t>5792/120</t>
  </si>
  <si>
    <t>CABECEIRAS DO PIAUI</t>
  </si>
  <si>
    <t>DROGARIA SANTA LUZIA</t>
  </si>
  <si>
    <t>5792/081</t>
  </si>
  <si>
    <t>MERCADINHO SAO JUDAS TADEU</t>
  </si>
  <si>
    <t>5792/070</t>
  </si>
  <si>
    <t>PRIMUS MOTOS</t>
  </si>
  <si>
    <t>0405/076</t>
  </si>
  <si>
    <t>BARRO DURO</t>
  </si>
  <si>
    <t>5792/088</t>
  </si>
  <si>
    <t>DROGARIA VITORIA</t>
  </si>
  <si>
    <t>5792/122</t>
  </si>
  <si>
    <t>STUDIO CHAGUINHA</t>
  </si>
  <si>
    <t>5806/135</t>
  </si>
  <si>
    <t>LAGOA DE SAO FRANCISCO</t>
  </si>
  <si>
    <t>SUPERMERCADO CARDOSO 0002</t>
  </si>
  <si>
    <t>ALTO LONGA</t>
  </si>
  <si>
    <t>COMERCIAL REGINO</t>
  </si>
  <si>
    <t>0985/395</t>
  </si>
  <si>
    <t>JUAZEIRO DO PIAUI</t>
  </si>
  <si>
    <t>M PEREIRA CONSTRUCOES</t>
  </si>
  <si>
    <t>1522/268</t>
  </si>
  <si>
    <t>LUIS CORREIA</t>
  </si>
  <si>
    <t>Viva Comercio</t>
  </si>
  <si>
    <t>5798/172</t>
  </si>
  <si>
    <t>LUZILANDIA</t>
  </si>
  <si>
    <t>DROGARIA GENERICA</t>
  </si>
  <si>
    <t>5798/102</t>
  </si>
  <si>
    <t>ESPERANTINA</t>
  </si>
  <si>
    <t>Estacao Farma</t>
  </si>
  <si>
    <t>1522/272</t>
  </si>
  <si>
    <t>BOM PRINCIPIO DO PIAUI</t>
  </si>
  <si>
    <t>O BELLA MODAS</t>
  </si>
  <si>
    <t>5806/149</t>
  </si>
  <si>
    <t>PEDRO II</t>
  </si>
  <si>
    <t>SIGEFREDO PACHECO</t>
  </si>
  <si>
    <t>DROGARIA CASTRO</t>
  </si>
  <si>
    <t>5798/092</t>
  </si>
  <si>
    <t>MARCELO MOTOS</t>
  </si>
  <si>
    <t>1522/265</t>
  </si>
  <si>
    <t>MURICI DOS PORTELAS</t>
  </si>
  <si>
    <t>DROGARIA DONA DEDITA</t>
  </si>
  <si>
    <t>5790/151</t>
  </si>
  <si>
    <t>BOM PRECO</t>
  </si>
  <si>
    <t>1522/109</t>
  </si>
  <si>
    <t>CARAUBAS DO PIAUI</t>
  </si>
  <si>
    <t>BURITI DOS LOPES</t>
  </si>
  <si>
    <t>RAMON VARIEDADES</t>
  </si>
  <si>
    <t>1522/162</t>
  </si>
  <si>
    <t>PARNAIBA</t>
  </si>
  <si>
    <t>A F UCHOA TECIDOS</t>
  </si>
  <si>
    <t>5806/092</t>
  </si>
  <si>
    <t>MERCADINHO SAO FRANCISCO</t>
  </si>
  <si>
    <t>5806/122</t>
  </si>
  <si>
    <t>DOMINGOS MOURAO</t>
  </si>
  <si>
    <t>Expresso Variedades Ii</t>
  </si>
  <si>
    <t>5795/143</t>
  </si>
  <si>
    <t>SAO MIGUEL DO TAPUIO</t>
  </si>
  <si>
    <t>COCAL DE TELHA</t>
  </si>
  <si>
    <t>RAISSA ARMARINHOS</t>
  </si>
  <si>
    <t>ASSUNCAO DO PIAUI</t>
  </si>
  <si>
    <t>PIRIPIRI</t>
  </si>
  <si>
    <t>Otica Piripiri</t>
  </si>
  <si>
    <t>5808/206</t>
  </si>
  <si>
    <t>MERCADINHO DA FAMILIA</t>
  </si>
  <si>
    <t>0985/095</t>
  </si>
  <si>
    <t>CAPITAO DE CAMPOS</t>
  </si>
  <si>
    <t>MERCADINHO AREIA</t>
  </si>
  <si>
    <t>5795/105</t>
  </si>
  <si>
    <t>SAO JOAO DA SERRA</t>
  </si>
  <si>
    <t>VAREJAO ALVES</t>
  </si>
  <si>
    <t>5798/090</t>
  </si>
  <si>
    <t>SAO JOAO DO ARRAIAL</t>
  </si>
  <si>
    <t>EXPRESSO VARIEDADES</t>
  </si>
  <si>
    <t>5795/130</t>
  </si>
  <si>
    <t>CASTELO DO PIAUI</t>
  </si>
  <si>
    <t>RIBEIRO ELETROMOVEIS</t>
  </si>
  <si>
    <t>Costa Atacarejo</t>
  </si>
  <si>
    <t>0985/438</t>
  </si>
  <si>
    <t>TOINHA VARIEDADES</t>
  </si>
  <si>
    <t>5798/156</t>
  </si>
  <si>
    <t>MARANATA FOTOS</t>
  </si>
  <si>
    <t>1522/276</t>
  </si>
  <si>
    <t>BARAO CONVENIENCIA</t>
  </si>
  <si>
    <t>1522/280</t>
  </si>
  <si>
    <t>MERCEARIA AMORIM CAVALCANTE</t>
  </si>
  <si>
    <t>5798/152</t>
  </si>
  <si>
    <t>Drogaria Genesis</t>
  </si>
  <si>
    <t>5798/179</t>
  </si>
  <si>
    <t>Drogaria Dois Irmaos</t>
  </si>
  <si>
    <t>5806/139</t>
  </si>
  <si>
    <t>0985/299</t>
  </si>
  <si>
    <t>Comercial Canbistinha</t>
  </si>
  <si>
    <t>0985/345</t>
  </si>
  <si>
    <t>CAMPO MAIOR</t>
  </si>
  <si>
    <t>5798/101</t>
  </si>
  <si>
    <t>ALL OF CELL</t>
  </si>
  <si>
    <t>0985/431</t>
  </si>
  <si>
    <t>BURITI DOS MONTES</t>
  </si>
  <si>
    <t>ALTOS</t>
  </si>
  <si>
    <t>MERCADINHO PAULO SERGIO</t>
  </si>
  <si>
    <t>0985/127</t>
  </si>
  <si>
    <t>COMERCIAL SIGEFREDO</t>
  </si>
  <si>
    <t>0985/135</t>
  </si>
  <si>
    <t>FARMACIA N S DO CARMO</t>
  </si>
  <si>
    <t>5808/089</t>
  </si>
  <si>
    <t>Drogaria Lopes</t>
  </si>
  <si>
    <t>5798/169</t>
  </si>
  <si>
    <t>DROGARIA SÃO FRANCISCO</t>
  </si>
  <si>
    <t>0985/128</t>
  </si>
  <si>
    <t>J C VARIEDADES</t>
  </si>
  <si>
    <t>5808/160</t>
  </si>
  <si>
    <t>COCAL</t>
  </si>
  <si>
    <t>EXCLUSIVA CELULAR E ACESSORIOS</t>
  </si>
  <si>
    <t>5790/107</t>
  </si>
  <si>
    <t>BENEDITINOS</t>
  </si>
  <si>
    <t>SUPERMERCADO CARDOSO</t>
  </si>
  <si>
    <t>PLANTOFARMA</t>
  </si>
  <si>
    <t>5798/106</t>
  </si>
  <si>
    <t>MAGAZINE CARDOSO</t>
  </si>
  <si>
    <t>5798/089</t>
  </si>
  <si>
    <t>JOAQUIM PIRES</t>
  </si>
  <si>
    <t>ARMARINHO ALENCAR</t>
  </si>
  <si>
    <t>TOP MOVEIS PARNAIBA 0023</t>
  </si>
  <si>
    <t>1522/259</t>
  </si>
  <si>
    <t>LEANDRO E LEONCIO MERCADINHO</t>
  </si>
  <si>
    <t>5798/097</t>
  </si>
  <si>
    <t>Mercadao Das Pecas</t>
  </si>
  <si>
    <t>5808/218</t>
  </si>
  <si>
    <t>DROGARIA MAIS SAUDE</t>
  </si>
  <si>
    <t>5798/135</t>
  </si>
  <si>
    <t>DROGAMAR</t>
  </si>
  <si>
    <t>1522/155</t>
  </si>
  <si>
    <t>CAXINGO</t>
  </si>
  <si>
    <t>MERCANTIL FREITAS</t>
  </si>
  <si>
    <t>0854/100</t>
  </si>
  <si>
    <t>MA</t>
  </si>
  <si>
    <t>TIMON</t>
  </si>
  <si>
    <t>BEM BARATO DROGARIAS</t>
  </si>
  <si>
    <t>0854/157</t>
  </si>
  <si>
    <t>MERCANTIL Z OLIVEIRA</t>
  </si>
  <si>
    <t>0854/136</t>
  </si>
  <si>
    <t>Mais Calcados</t>
  </si>
  <si>
    <t>0854/191</t>
  </si>
  <si>
    <t>VLR_CREDITO_PARCEL</t>
  </si>
  <si>
    <t>OTOPECAS</t>
  </si>
  <si>
    <t>0985/211</t>
  </si>
  <si>
    <t>BOQUEIRAO DO PIAUI</t>
  </si>
  <si>
    <t>Zero</t>
  </si>
  <si>
    <t>3848/222</t>
  </si>
  <si>
    <t>3848/225</t>
  </si>
  <si>
    <t>3848/204</t>
  </si>
  <si>
    <t>3848/221</t>
  </si>
  <si>
    <t>3848/143</t>
  </si>
  <si>
    <t>MERCADINHO ADAO</t>
  </si>
  <si>
    <t>0985/427</t>
  </si>
  <si>
    <t>Posto Uniforca</t>
  </si>
  <si>
    <t>5806/150</t>
  </si>
  <si>
    <t>MILTON BRANDAO</t>
  </si>
  <si>
    <t>Do Povo Casa De Construções</t>
  </si>
  <si>
    <t>Comercial O Edienai</t>
  </si>
  <si>
    <t>5792/210</t>
  </si>
  <si>
    <t>5795/149</t>
  </si>
  <si>
    <t>DROGARIA SANTA LUZIA 0003</t>
  </si>
  <si>
    <t>5792/213</t>
  </si>
  <si>
    <t>DROGARIA SANTA LUZIA 0002</t>
  </si>
  <si>
    <t>5792/212</t>
  </si>
  <si>
    <t>chave_loja</t>
  </si>
  <si>
    <t>vlr_consignado_total</t>
  </si>
  <si>
    <t>vlr_consignado_inss</t>
  </si>
  <si>
    <t>vlr_consignado_pub</t>
  </si>
  <si>
    <t>vlr_consignado_priv</t>
  </si>
  <si>
    <t>0854/193</t>
  </si>
  <si>
    <t>MERCADINHO HERCULES</t>
  </si>
  <si>
    <t>0937/236</t>
  </si>
  <si>
    <t>Drogaria Saude Vital</t>
  </si>
  <si>
    <t>0985/454</t>
  </si>
  <si>
    <t>DROGARIA WANDERLLEY</t>
  </si>
  <si>
    <t>3848/157</t>
  </si>
  <si>
    <t>MELHOR FARMA</t>
  </si>
  <si>
    <t>5798/158</t>
  </si>
  <si>
    <t>MERCEARIA CASA DO OVO</t>
  </si>
  <si>
    <t>0985/455</t>
  </si>
  <si>
    <t>Oticas Vitta</t>
  </si>
  <si>
    <t>5806/152</t>
  </si>
  <si>
    <t>FARMACIA LIMA</t>
  </si>
  <si>
    <t>0937/419</t>
  </si>
  <si>
    <t>LOJAO FURTADO</t>
  </si>
  <si>
    <t>5795/104</t>
  </si>
  <si>
    <t>Drogaria Premium + Eugelina Cosmeticos</t>
  </si>
  <si>
    <t>5806/153</t>
  </si>
  <si>
    <t>EUCLIDES</t>
  </si>
  <si>
    <t>Mercado Opa</t>
  </si>
  <si>
    <t>0937/780</t>
  </si>
  <si>
    <t>FARMACIA RAILANE</t>
  </si>
  <si>
    <t>0937/507</t>
  </si>
  <si>
    <t>ROSSY</t>
  </si>
  <si>
    <t>PAULO</t>
  </si>
  <si>
    <t>JACK Geral</t>
  </si>
  <si>
    <t>Pontuação2</t>
  </si>
  <si>
    <t>Elegível2</t>
  </si>
  <si>
    <t>%</t>
  </si>
  <si>
    <t>ESTACAO CONSTRUCOES</t>
  </si>
  <si>
    <t>0985/312</t>
  </si>
  <si>
    <t>COMERCIAL O CHAGAS</t>
  </si>
  <si>
    <t>1522/070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</si>
</sst>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1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0" fontId="0" fillId="0" borderId="6" xfId="1" applyNumberFormat="1" applyFont="1" applyBorder="1"/>
    <xf numFmtId="0" fontId="0" fillId="0" borderId="17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8" xfId="0" applyBorder="1" applyAlignment="1">
      <alignment horizontal="right"/>
    </xf>
  </cellXfs>
  <cellStyles count="2">
    <cellStyle name="Normal" xfId="0" builtinId="0"/>
    <cellStyle name="Porcentagem" xfId="1" builtinId="5"/>
  </cellStyles>
  <dxfs count="10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92FF60C-E56E-44A9-8302-065F2CB9E954}" autoFormatId="16" applyNumberFormats="0" applyBorderFormats="0" applyFontFormats="0" applyPatternFormats="0" applyAlignmentFormats="0" applyWidthHeightFormats="0">
  <queryTableRefresh nextId="109" unboundColumnsLeft="3" unboundColumnsRight="1">
    <queryTableFields count="38">
      <queryTableField id="42" dataBound="0" tableColumnId="42"/>
      <queryTableField id="41" dataBound="0" tableColumnId="41"/>
      <queryTableField id="48" dataBound="0" tableColumnId="48"/>
      <queryTableField id="77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23" name="vlr_lime" tableColumnId="23"/>
      <queryTableField id="78" name="vlr_consignado_total" tableColumnId="5"/>
      <queryTableField id="79" name="vlr_consignado_inss" tableColumnId="16"/>
      <queryTableField id="80" name="vlr_consignado_pub" tableColumnId="17"/>
      <queryTableField id="81" name="vlr_consignado_priv" tableColumnId="19"/>
      <queryTableField id="75" name="VLR_CREDITO_PARCEL" tableColumnId="44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74" name="Ag" tableColumnId="46"/>
      <queryTableField id="40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1B5C2E-A508-456A-8C20-6A75FBF43E13}" autoFormatId="16" applyNumberFormats="0" applyBorderFormats="0" applyFontFormats="0" applyPatternFormats="0" applyAlignmentFormats="0" applyWidthHeightFormats="0">
  <queryTableRefresh nextId="114" unboundColumnsLeft="2" unboundColumnsRight="3">
    <queryTableFields count="40">
      <queryTableField id="42" dataBound="0" tableColumnId="42"/>
      <queryTableField id="113" dataBound="0" tableColumnId="21"/>
      <queryTableField id="75" name="Responsável" tableColumnId="47"/>
      <queryTableField id="48" dataBound="0" tableColumnId="48"/>
      <queryTableField id="85" name="chave_loja" tableColumnId="1"/>
      <queryTableField id="2" name="nome_loja" tableColumnId="2"/>
      <queryTableField id="3" name="ag_pacb" tableColumnId="3"/>
      <queryTableField id="4" name="dt_inst_tablet" tableColumnId="4"/>
      <queryTableField id="6" name="uf" tableColumnId="6"/>
      <queryTableField id="7" name="municipio" tableColumnId="7"/>
      <queryTableField id="8" name="dt_clube" tableColumnId="8"/>
      <queryTableField id="9" name="dt_certificacao" tableColumnId="9"/>
      <queryTableField id="10" name="ger_regional" tableColumnId="10"/>
      <queryTableField id="11" name="data_ult_transacao" tableColumnId="11"/>
      <queryTableField id="12" name="qtd_TrxContabil" tableColumnId="12"/>
      <queryTableField id="13" name="qtd_contas" tableColumnId="13"/>
      <queryTableField id="14" name="qtd_contas_com_deposito" tableColumnId="14"/>
      <queryTableField id="15" name="qtd_cesta_serv" tableColumnId="15"/>
      <queryTableField id="18" name="QTD_CARTAO_EMITIDO" tableColumnId="18"/>
      <queryTableField id="86" name="vlr_consignado_total" tableColumnId="5"/>
      <queryTableField id="87" name="vlr_consignado_inss" tableColumnId="16"/>
      <queryTableField id="88" name="vlr_consignado_pub" tableColumnId="17"/>
      <queryTableField id="89" name="vlr_consignado_priv" tableColumnId="19"/>
      <queryTableField id="79" name="VLR_CREDITO_PARCEL" tableColumnId="41"/>
      <queryTableField id="23" name="vlr_lime" tableColumnId="23"/>
      <queryTableField id="28" name="QTD_CONTAS_PJ" tableColumnId="28"/>
      <queryTableField id="30" name="qtd_microsseguro" tableColumnId="30"/>
      <queryTableField id="31" name="QTD_SUPER_PROTEGIDO" tableColumnId="31"/>
      <queryTableField id="32" name="QTD_MICRO_VIVAVIDA" tableColumnId="32"/>
      <queryTableField id="33" name="QTD_PLANO_ODONTO" tableColumnId="33"/>
      <queryTableField id="34" name="QTD_SEG_RESIDENCIAL" tableColumnId="34"/>
      <queryTableField id="35" name="QTD_SEG_CARTAO_DEB" tableColumnId="35"/>
      <queryTableField id="50" name="VLR_EXP_SORTE" tableColumnId="50"/>
      <queryTableField id="36" name="REFERENCIA" tableColumnId="36"/>
      <queryTableField id="37" name="BLOQUEADO" tableColumnId="37"/>
      <queryTableField id="68" name="DT_BLOQUEADO" tableColumnId="38"/>
      <queryTableField id="60" name="Status" tableColumnId="45"/>
      <queryTableField id="40" dataBound="0" tableColumnId="40"/>
      <queryTableField id="84" dataBound="0" tableColumnId="44"/>
      <queryTableField id="112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2477D9-4ED6-472A-8A44-CC1E02959BC4}" name="Rel_2026___Ag_937" displayName="Rel_2026___Ag_937" ref="A1:AL20" tableType="queryTable" totalsRowCount="1">
  <autoFilter ref="A1:AL19" xr:uid="{0B719F67-ACAE-495D-9050-807515292386}"/>
  <tableColumns count="38">
    <tableColumn id="42" xr3:uid="{2FA196A5-BF7B-4FC5-8ED6-BE2F23337F88}" uniqueName="42" name="Elegível" queryTableFieldId="42" dataDxfId="57">
      <calculatedColumnFormula>IF(Rel_2026___Ag_937[[#This Row],[Pontuação]]&gt;=10,"Sim",IF(Rel_2026___Ag_937[[#This Row],[Pontuação]]&gt;=5,"Próximo","Não"))</calculatedColumnFormula>
    </tableColumn>
    <tableColumn id="41" xr3:uid="{DD02B1CF-FBD6-4790-A896-8A9460DA5A7E}" uniqueName="41" name="Responsável" queryTableFieldId="41" dataDxfId="56"/>
    <tableColumn id="48" xr3:uid="{6CC67D4C-7350-4EF5-976B-19261679E02F}" uniqueName="48" name="Agência" queryTableFieldId="48" dataDxfId="55">
      <calculatedColumnFormula>LEFT(Rel_2026___Ag_937[[#This Row],[ag_pacb]],4)</calculatedColumnFormula>
    </tableColumn>
    <tableColumn id="1" xr3:uid="{949D26F7-10F5-4BB9-9BBF-E758FC5AA103}" uniqueName="1" name="chave_loja" queryTableFieldId="77"/>
    <tableColumn id="2" xr3:uid="{DF0310C6-03C5-41FA-BBD0-3978EB8B2DFA}" uniqueName="2" name="nome_loja" queryTableFieldId="2" dataDxfId="54"/>
    <tableColumn id="3" xr3:uid="{F82C9FFF-DA63-4BDB-A3B8-906F7406D67C}" uniqueName="3" name="ag_pacb" queryTableFieldId="3" dataDxfId="53"/>
    <tableColumn id="4" xr3:uid="{AAFA8324-B77E-4ECD-A648-5D7F94111430}" uniqueName="4" name="dt_inst_tablet" queryTableFieldId="4" dataDxfId="52" totalsRowDxfId="51"/>
    <tableColumn id="6" xr3:uid="{B05D9A87-0124-45F8-B607-2493F1908A1D}" uniqueName="6" name="uf" queryTableFieldId="6" dataDxfId="50"/>
    <tableColumn id="7" xr3:uid="{81AEDA5B-3BCE-45C4-A110-75F5425F6FEF}" uniqueName="7" name="municipio" queryTableFieldId="7" dataDxfId="49"/>
    <tableColumn id="8" xr3:uid="{4865A473-40F4-4C02-BCEE-99089AB211FF}" uniqueName="8" name="dt_clube" queryTableFieldId="8" dataDxfId="48" totalsRowDxfId="47"/>
    <tableColumn id="9" xr3:uid="{C42EEBF5-53EF-4AF8-967C-7451685319CA}" uniqueName="9" name="dt_certificacao" queryTableFieldId="9" dataDxfId="46" totalsRowDxfId="45"/>
    <tableColumn id="10" xr3:uid="{08DB7646-6538-4982-BE42-77A9ED5B021E}" uniqueName="10" name="ger_regional" queryTableFieldId="10" dataDxfId="44"/>
    <tableColumn id="11" xr3:uid="{C8B1DEA0-97B7-405C-80BE-D965F0579924}" uniqueName="11" name="data_ult_transacao" queryTableFieldId="11" dataDxfId="43" totalsRowDxfId="42"/>
    <tableColumn id="12" xr3:uid="{4B5A317C-DD0E-4877-A80E-2EB0EC515FC2}" uniqueName="12" name="qtd_TrxContabil" queryTableFieldId="12" dataDxfId="41"/>
    <tableColumn id="13" xr3:uid="{7BF90A23-E535-45ED-8CEF-7B0B85A4702B}" uniqueName="13" name="qtd_contas" totalsRowFunction="custom" queryTableFieldId="13" dataDxfId="40">
      <totalsRowFormula>SUBTOTAL(9,Rel_2026___Ag_937[qtd_contas])</totalsRowFormula>
    </tableColumn>
    <tableColumn id="14" xr3:uid="{39ED9940-EE1C-4B65-9102-C309EAEADE8E}" uniqueName="14" name="qtd_contas_com_deposito" totalsRowFunction="custom" queryTableFieldId="14" dataDxfId="39">
      <totalsRowFormula>SUBTOTAL(9,Rel_2026___Ag_937[qtd_contas_com_deposito])</totalsRowFormula>
    </tableColumn>
    <tableColumn id="15" xr3:uid="{0D10F830-D485-455B-AD6B-9C61AD4B9D94}" uniqueName="15" name="qtd_cesta_serv" totalsRowFunction="custom" queryTableFieldId="15" dataDxfId="38">
      <totalsRowFormula>SUBTOTAL(9,Rel_2026___Ag_937[qtd_cesta_serv])</totalsRowFormula>
    </tableColumn>
    <tableColumn id="18" xr3:uid="{771B0CC7-8978-4B55-966A-5AA9A994CA70}" uniqueName="18" name="QTD_CARTAO_EMITIDO" totalsRowFunction="custom" queryTableFieldId="18" dataDxfId="37">
      <totalsRowFormula>SUBTOTAL(9,Rel_2026___Ag_937[QTD_CARTAO_EMITIDO])</totalsRowFormula>
    </tableColumn>
    <tableColumn id="23" xr3:uid="{B8F7BA48-7A0C-4A69-B220-2F0C965699D5}" uniqueName="23" name="vlr_lime" queryTableFieldId="23" dataDxfId="36"/>
    <tableColumn id="5" xr3:uid="{023EA7E6-EFB2-4989-A1F6-29B0E24C01F4}" uniqueName="5" name="vlr_consignado_total" queryTableFieldId="78" dataDxfId="35"/>
    <tableColumn id="16" xr3:uid="{563C350B-6D34-4ABF-9A7F-63D3E010E7BB}" uniqueName="16" name="vlr_consignado_inss" queryTableFieldId="79" dataDxfId="34"/>
    <tableColumn id="17" xr3:uid="{A7027D23-F59A-4DB1-B5F7-9EFE2CF5B24D}" uniqueName="17" name="vlr_consignado_pub" queryTableFieldId="80" dataDxfId="33"/>
    <tableColumn id="19" xr3:uid="{FC722F66-958E-4C2B-B049-E890A7ADEC7B}" uniqueName="19" name="vlr_consignado_priv" queryTableFieldId="81" dataDxfId="32"/>
    <tableColumn id="44" xr3:uid="{DE5AD0A1-E442-4856-86B3-3D0AC45D5D96}" uniqueName="44" name="VLR_CREDITO_PARCEL" queryTableFieldId="75" dataDxfId="31"/>
    <tableColumn id="28" xr3:uid="{D57EAF38-A2ED-4FD1-AFB7-B11FE4FAD2BA}" uniqueName="28" name="QTD_CONTAS_PJ" totalsRowFunction="custom" queryTableFieldId="28" dataDxfId="30">
      <totalsRowFormula>SUBTOTAL(9,Rel_2026___Ag_937[QTD_CONTAS_PJ])</totalsRowFormula>
    </tableColumn>
    <tableColumn id="30" xr3:uid="{278D8F6C-4203-4090-BB3A-4EA7037E73ED}" uniqueName="30" name="qtd_microsseguro" totalsRowFunction="custom" queryTableFieldId="30" dataDxfId="29">
      <totalsRowFormula>SUBTOTAL(9,Rel_2026___Ag_937[qtd_microsseguro])</totalsRowFormula>
    </tableColumn>
    <tableColumn id="31" xr3:uid="{6FA0C125-7611-45C4-8F6A-21737C8C1A37}" uniqueName="31" name="QTD_SUPER_PROTEGIDO" totalsRowFunction="custom" queryTableFieldId="31" dataDxfId="28">
      <totalsRowFormula>SUBTOTAL(9,Rel_2026___Ag_937[QTD_SUPER_PROTEGIDO])</totalsRowFormula>
    </tableColumn>
    <tableColumn id="32" xr3:uid="{3FDFE1FE-DE18-4221-B10B-ABA5726BB138}" uniqueName="32" name="QTD_MICRO_VIVAVIDA" totalsRowFunction="custom" queryTableFieldId="32" dataDxfId="27">
      <totalsRowFormula>SUBTOTAL(9,Rel_2026___Ag_937[QTD_MICRO_VIVAVIDA])</totalsRowFormula>
    </tableColumn>
    <tableColumn id="33" xr3:uid="{53479F93-655E-4C00-ACCA-BAE12E3AD154}" uniqueName="33" name="QTD_PLANO_ODONTO" totalsRowFunction="custom" queryTableFieldId="33" dataDxfId="26">
      <totalsRowFormula>SUBTOTAL(9,Rel_2026___Ag_937[QTD_PLANO_ODONTO])</totalsRowFormula>
    </tableColumn>
    <tableColumn id="34" xr3:uid="{8CD3BC3F-621B-427F-80DD-4EA936F7CB59}" uniqueName="34" name="QTD_SEG_RESIDENCIAL" totalsRowFunction="custom" queryTableFieldId="34" dataDxfId="25">
      <totalsRowFormula>SUBTOTAL(9,Rel_2026___Ag_937[QTD_SEG_RESIDENCIAL])</totalsRowFormula>
    </tableColumn>
    <tableColumn id="35" xr3:uid="{F8E9679E-E56D-421E-A236-F0CBB13B2BF7}" uniqueName="35" name="QTD_SEG_CARTAO_DEB" totalsRowFunction="custom" queryTableFieldId="35" dataDxfId="24">
      <totalsRowFormula>SUBTOTAL(9,Rel_2026___Ag_937[QTD_SEG_CARTAO_DEB])</totalsRowFormula>
    </tableColumn>
    <tableColumn id="50" xr3:uid="{50C713AF-2540-4355-884A-CE6F9194BA65}" uniqueName="50" name="VLR_EXP_SORTE" queryTableFieldId="50" dataDxfId="23"/>
    <tableColumn id="36" xr3:uid="{C1865001-C5BC-486E-BD11-E5FB5C650308}" uniqueName="36" name="REFERENCIA" queryTableFieldId="36" dataDxfId="22"/>
    <tableColumn id="37" xr3:uid="{80836542-E219-4218-9B25-99CE91CD592A}" uniqueName="37" name="BLOQUEADO" queryTableFieldId="37" dataDxfId="21"/>
    <tableColumn id="38" xr3:uid="{1633658B-0FC8-4930-9C39-11CB13C26936}" uniqueName="38" name="DT_BLOQUEADO" queryTableFieldId="68" dataDxfId="20"/>
    <tableColumn id="45" xr3:uid="{146E9C21-CC0E-4A95-993E-0135CAB51FF5}" uniqueName="45" name="Status" queryTableFieldId="60" dataDxfId="19"/>
    <tableColumn id="46" xr3:uid="{7746B2EB-B99A-4FE1-B57F-281A0CCBB336}" uniqueName="46" name="Ag" queryTableFieldId="74" dataDxfId="18"/>
    <tableColumn id="40" xr3:uid="{267D281E-1E5B-4801-9B59-2F52C7A0F601}" uniqueName="40" name="Pontuação" queryTableFieldId="40" dataDxfId="17">
      <calculatedColumnFormula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19F67-ACAE-495D-9050-807515292386}" name="Rel_2026" displayName="Rel_2026" ref="A1:AN118" tableType="queryTable" totalsRowCount="1">
  <autoFilter ref="A1:AN117" xr:uid="{0B719F67-ACAE-495D-9050-807515292386}"/>
  <tableColumns count="40">
    <tableColumn id="42" xr3:uid="{F213EA82-5E15-4D45-8B93-BEEBE0EF9515}" uniqueName="42" name="Elegível" queryTableFieldId="42" dataDxfId="100">
      <calculatedColumnFormula>IF(Rel_2026[[#This Row],[Zero]]=0,"Zero",IF(Rel_2026[[#This Row],[Pontuação]]&gt;=10,"Sim",IF(Rel_2026[[#This Row],[Pontuação]]&gt;=5,"Próximo","Não")))</calculatedColumnFormula>
    </tableColumn>
    <tableColumn id="21" xr3:uid="{5BB6045B-BAD1-449B-8F15-37A919EF870B}" uniqueName="21" name="Elegível2" queryTableFieldId="113" dataDxfId="99">
      <calculatedColumnFormula>IF(Rel_2026[[#This Row],[Zero]]=0,"Zero",IF(Rel_2026[[#This Row],[Pontuação2]]&gt;=10,"Sim",IF(Rel_2026[[#This Row],[Pontuação2]]&gt;=5,"Próximo","Não")))</calculatedColumnFormula>
    </tableColumn>
    <tableColumn id="47" xr3:uid="{AF594DAD-31F0-4B95-B840-C33717A7C325}" uniqueName="47" name="Responsável" queryTableFieldId="75" dataDxfId="98"/>
    <tableColumn id="48" xr3:uid="{8518D775-916C-4F4F-AF5A-6AE1C8C0EC9C}" uniqueName="48" name="Agência" queryTableFieldId="48" dataDxfId="97">
      <calculatedColumnFormula>LEFT(Rel_2026[[#This Row],[ag_pacb]],4)</calculatedColumnFormula>
    </tableColumn>
    <tableColumn id="1" xr3:uid="{6AE107A1-1064-4AEF-9209-F5CDBB69AE2B}" uniqueName="1" name="chave_loja" queryTableFieldId="85"/>
    <tableColumn id="2" xr3:uid="{4333F821-10E6-4B9A-A4F6-B88CB2A4D147}" uniqueName="2" name="nome_loja" queryTableFieldId="2" dataDxfId="96"/>
    <tableColumn id="3" xr3:uid="{2380DCC2-F693-4A44-A4F0-F0E73DD0C3C2}" uniqueName="3" name="ag_pacb" queryTableFieldId="3" dataDxfId="95"/>
    <tableColumn id="4" xr3:uid="{C7FB53EB-B78A-44EC-856D-6872DB55B826}" uniqueName="4" name="dt_inst_tablet" queryTableFieldId="4" dataDxfId="94" totalsRowDxfId="93"/>
    <tableColumn id="6" xr3:uid="{351B8D73-7C04-4E6D-B852-65982FB49CEA}" uniqueName="6" name="uf" queryTableFieldId="6" dataDxfId="92"/>
    <tableColumn id="7" xr3:uid="{168B68D1-F18A-4629-9A93-F998BF1123EB}" uniqueName="7" name="municipio" queryTableFieldId="7" dataDxfId="91"/>
    <tableColumn id="8" xr3:uid="{01E9D10E-4E54-474F-B8A8-00EBB86F2D87}" uniqueName="8" name="dt_clube" queryTableFieldId="8" dataDxfId="90" totalsRowDxfId="89"/>
    <tableColumn id="9" xr3:uid="{92B0D46D-2407-434D-BB39-8486C47FC3AC}" uniqueName="9" name="dt_certificacao" queryTableFieldId="9" dataDxfId="88" totalsRowDxfId="87"/>
    <tableColumn id="10" xr3:uid="{72170234-B156-48EC-B8D8-FEE657C1D2A6}" uniqueName="10" name="ger_regional" queryTableFieldId="10" dataDxfId="86"/>
    <tableColumn id="11" xr3:uid="{C1FA43C4-018C-4601-8285-75F3C8037A91}" uniqueName="11" name="data_ult_transacao" queryTableFieldId="11" dataDxfId="85" totalsRowDxfId="84"/>
    <tableColumn id="12" xr3:uid="{80142388-B33B-4439-9AD3-45D163647649}" uniqueName="12" name="qtd_TrxContabil" queryTableFieldId="12" dataDxfId="83"/>
    <tableColumn id="13" xr3:uid="{45E76A5D-E99B-4116-8260-CA99B77B61BC}" uniqueName="13" name="qtd_contas" totalsRowFunction="custom" queryTableFieldId="13" dataDxfId="82">
      <totalsRowFormula>SUBTOTAL(9,Rel_2026[qtd_contas])</totalsRowFormula>
    </tableColumn>
    <tableColumn id="14" xr3:uid="{90D31989-BEDE-47D4-A601-B18FC45E35F0}" uniqueName="14" name="qtd_contas_com_deposito" totalsRowFunction="custom" queryTableFieldId="14" dataDxfId="81">
      <totalsRowFormula>SUBTOTAL(9,Rel_2026[qtd_contas_com_deposito])</totalsRowFormula>
    </tableColumn>
    <tableColumn id="15" xr3:uid="{203B1ACA-754B-4521-9390-99BD5C4E5182}" uniqueName="15" name="qtd_cesta_serv" totalsRowFunction="custom" queryTableFieldId="15" dataDxfId="80">
      <totalsRowFormula>SUBTOTAL(9,Rel_2026[qtd_cesta_serv])</totalsRowFormula>
    </tableColumn>
    <tableColumn id="18" xr3:uid="{52D869F3-A191-468A-A6EF-1B55DC783CD4}" uniqueName="18" name="QTD_CARTAO_EMITIDO" totalsRowFunction="custom" queryTableFieldId="18" dataDxfId="79">
      <totalsRowFormula>SUBTOTAL(9,Rel_2026[QTD_CARTAO_EMITIDO])</totalsRowFormula>
    </tableColumn>
    <tableColumn id="5" xr3:uid="{7E5D302F-2B9E-4577-9C7D-4523A2DB39F2}" uniqueName="5" name="vlr_consignado_total" queryTableFieldId="86" dataDxfId="78"/>
    <tableColumn id="16" xr3:uid="{DA9F0C54-0663-4BAF-A37E-5378B64D60DF}" uniqueName="16" name="vlr_consignado_inss" queryTableFieldId="87" dataDxfId="77"/>
    <tableColumn id="17" xr3:uid="{E1CF4280-0017-4270-9E8C-A3DDE2F9EFF1}" uniqueName="17" name="vlr_consignado_pub" queryTableFieldId="88" dataDxfId="76"/>
    <tableColumn id="19" xr3:uid="{823ECBD4-3232-4D28-B577-9CCFE8A53CF1}" uniqueName="19" name="vlr_consignado_priv" queryTableFieldId="89" dataDxfId="75"/>
    <tableColumn id="41" xr3:uid="{754F660D-E595-4A7D-937A-5735298927DB}" uniqueName="41" name="VLR_CREDITO_PARCEL" queryTableFieldId="79" dataDxfId="74"/>
    <tableColumn id="23" xr3:uid="{4BC1396A-D09F-401E-8C9A-13BE54F3EF34}" uniqueName="23" name="vlr_lime" queryTableFieldId="23" dataDxfId="73"/>
    <tableColumn id="28" xr3:uid="{77CC64CD-A8DE-4640-9423-52C9EE8065FB}" uniqueName="28" name="QTD_CONTAS_PJ" totalsRowFunction="custom" queryTableFieldId="28" dataDxfId="72">
      <totalsRowFormula>SUBTOTAL(9,Rel_2026[QTD_CONTAS_PJ])</totalsRowFormula>
    </tableColumn>
    <tableColumn id="30" xr3:uid="{D6F679B5-D006-453B-A135-9153EA381DB8}" uniqueName="30" name="qtd_microsseguro" totalsRowFunction="custom" queryTableFieldId="30" dataDxfId="71">
      <totalsRowFormula>SUBTOTAL(9,Rel_2026[qtd_microsseguro])</totalsRowFormula>
    </tableColumn>
    <tableColumn id="31" xr3:uid="{C43256DB-1020-43C3-AC6E-4D2B9ED56D2C}" uniqueName="31" name="QTD_SUPER_PROTEGIDO" totalsRowFunction="custom" queryTableFieldId="31" dataDxfId="70">
      <totalsRowFormula>SUBTOTAL(9,Rel_2026[QTD_SUPER_PROTEGIDO])</totalsRowFormula>
    </tableColumn>
    <tableColumn id="32" xr3:uid="{1E31FC76-92BC-4FE7-AC38-95E4094C8181}" uniqueName="32" name="QTD_MICRO_VIVAVIDA" totalsRowFunction="custom" queryTableFieldId="32" dataDxfId="69">
      <totalsRowFormula>SUBTOTAL(9,Rel_2026[QTD_MICRO_VIVAVIDA])</totalsRowFormula>
    </tableColumn>
    <tableColumn id="33" xr3:uid="{B686DD7E-2A3C-4D73-9859-9C182EC79FFF}" uniqueName="33" name="QTD_PLANO_ODONTO" totalsRowFunction="custom" queryTableFieldId="33" dataDxfId="68">
      <totalsRowFormula>SUBTOTAL(9,Rel_2026[QTD_PLANO_ODONTO])</totalsRowFormula>
    </tableColumn>
    <tableColumn id="34" xr3:uid="{3AC1A9AC-361C-4A01-94B9-FC972CD7D5AF}" uniqueName="34" name="QTD_SEG_RESIDENCIAL" totalsRowFunction="custom" queryTableFieldId="34" dataDxfId="67">
      <totalsRowFormula>SUBTOTAL(9,Rel_2026[QTD_SEG_RESIDENCIAL])</totalsRowFormula>
    </tableColumn>
    <tableColumn id="35" xr3:uid="{0F54B178-1E94-4EC0-BC2B-93F993DD5D37}" uniqueName="35" name="QTD_SEG_CARTAO_DEB" totalsRowFunction="custom" queryTableFieldId="35" dataDxfId="66">
      <totalsRowFormula>SUBTOTAL(9,Rel_2026[QTD_SEG_CARTAO_DEB])</totalsRowFormula>
    </tableColumn>
    <tableColumn id="50" xr3:uid="{080E0007-D422-410E-B638-DBECD21D78E6}" uniqueName="50" name="VLR_EXP_SORTE" queryTableFieldId="50" dataDxfId="65"/>
    <tableColumn id="36" xr3:uid="{54AEAC9D-6F30-4BFD-8A27-645045663925}" uniqueName="36" name="REFERENCIA" queryTableFieldId="36" dataDxfId="64"/>
    <tableColumn id="37" xr3:uid="{32F61529-7F38-4986-AC7B-CB4A572E4DD5}" uniqueName="37" name="BLOQUEADO" queryTableFieldId="37" dataDxfId="63"/>
    <tableColumn id="38" xr3:uid="{63454402-BE17-431E-B1A6-D0918D74FE83}" uniqueName="38" name="DT_BLOQUEADO" queryTableFieldId="68" dataDxfId="62"/>
    <tableColumn id="45" xr3:uid="{44CE5991-D127-4B6B-A77A-BEEFB225BF4F}" uniqueName="45" name="Status" queryTableFieldId="60" dataDxfId="61"/>
    <tableColumn id="40" xr3:uid="{6295212B-0E3B-4C3E-97CD-1F6D523D6E97}" uniqueName="40" name="Pontuação" queryTableFieldId="40" dataDxfId="60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  <tableColumn id="44" xr3:uid="{A6A335FB-6C40-40F0-8C9B-0481310A5B48}" uniqueName="44" name="Zero" queryTableFieldId="84" dataDxfId="59">
      <calculatedColumnFormula>SUM(Rel_2026[[#This Row],[qtd_TrxContabil]:[VLR_EXP_SORTE]])</calculatedColumnFormula>
    </tableColumn>
    <tableColumn id="20" xr3:uid="{4BA59D4C-B49B-4818-8F68-6641575B5A4E}" uniqueName="20" name="Pontuação2" queryTableFieldId="112" dataDxfId="58">
      <calculatedColumnFormula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1408-115F-4471-8A99-01F695A25E27}">
  <dimension ref="A1:AL20"/>
  <sheetViews>
    <sheetView workbookViewId="0"/>
  </sheetViews>
  <sheetFormatPr defaultRowHeight="14.4" x14ac:dyDescent="0.3"/>
  <cols>
    <col min="1" max="1" width="9.6640625" bestFit="1" customWidth="1"/>
    <col min="2" max="2" width="13.6640625" bestFit="1" customWidth="1"/>
    <col min="3" max="3" width="9.77734375" bestFit="1" customWidth="1"/>
    <col min="4" max="4" width="12" bestFit="1" customWidth="1"/>
    <col min="5" max="5" width="24" bestFit="1" customWidth="1"/>
    <col min="6" max="6" width="10.109375" bestFit="1" customWidth="1"/>
    <col min="7" max="7" width="14.6640625" bestFit="1" customWidth="1"/>
    <col min="8" max="8" width="4.77734375" bestFit="1" customWidth="1"/>
    <col min="9" max="9" width="23.88671875" bestFit="1" customWidth="1"/>
    <col min="10" max="10" width="10.44140625" bestFit="1" customWidth="1"/>
    <col min="11" max="11" width="15.88671875" bestFit="1" customWidth="1"/>
    <col min="12" max="12" width="13.21875" bestFit="1" customWidth="1"/>
    <col min="13" max="13" width="19.109375" bestFit="1" customWidth="1"/>
    <col min="14" max="14" width="16.5546875" bestFit="1" customWidth="1"/>
    <col min="15" max="15" width="12.44140625" bestFit="1" customWidth="1"/>
    <col min="16" max="16" width="25.33203125" bestFit="1" customWidth="1"/>
    <col min="17" max="17" width="15.77734375" bestFit="1" customWidth="1"/>
    <col min="18" max="18" width="22.21875" bestFit="1" customWidth="1"/>
    <col min="19" max="19" width="9.8867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17.109375" bestFit="1" customWidth="1"/>
    <col min="26" max="26" width="18.21875" bestFit="1" customWidth="1"/>
    <col min="27" max="27" width="24" bestFit="1" customWidth="1"/>
    <col min="28" max="28" width="22" bestFit="1" customWidth="1"/>
    <col min="29" max="29" width="21.6640625" bestFit="1" customWidth="1"/>
    <col min="30" max="30" width="23" bestFit="1" customWidth="1"/>
    <col min="31" max="31" width="22.77734375" bestFit="1" customWidth="1"/>
    <col min="32" max="32" width="16.6640625" bestFit="1" customWidth="1"/>
    <col min="33" max="33" width="13.6640625" bestFit="1" customWidth="1"/>
    <col min="34" max="34" width="13.77734375" bestFit="1" customWidth="1"/>
    <col min="35" max="35" width="16.77734375" bestFit="1" customWidth="1"/>
    <col min="36" max="36" width="9.44140625" bestFit="1" customWidth="1"/>
    <col min="37" max="37" width="5.21875" bestFit="1" customWidth="1"/>
    <col min="38" max="38" width="12" bestFit="1" customWidth="1"/>
    <col min="39" max="47" width="6" bestFit="1" customWidth="1"/>
    <col min="48" max="48" width="5.33203125" bestFit="1" customWidth="1"/>
    <col min="49" max="49" width="12" bestFit="1" customWidth="1"/>
    <col min="50" max="50" width="23" bestFit="1" customWidth="1"/>
    <col min="51" max="51" width="22.6640625" bestFit="1" customWidth="1"/>
    <col min="52" max="52" width="17" bestFit="1" customWidth="1"/>
    <col min="53" max="53" width="16.6640625" bestFit="1" customWidth="1"/>
    <col min="54" max="54" width="21.88671875" bestFit="1" customWidth="1"/>
    <col min="55" max="56" width="13.6640625" bestFit="1" customWidth="1"/>
    <col min="57" max="57" width="16.6640625" bestFit="1" customWidth="1"/>
    <col min="58" max="58" width="9.44140625" bestFit="1" customWidth="1"/>
    <col min="59" max="59" width="5" bestFit="1" customWidth="1"/>
    <col min="60" max="60" width="6" bestFit="1" customWidth="1"/>
    <col min="61" max="61" width="5.33203125" bestFit="1" customWidth="1"/>
    <col min="62" max="63" width="12" bestFit="1" customWidth="1"/>
    <col min="64" max="64" width="12.5546875" bestFit="1" customWidth="1"/>
    <col min="65" max="65" width="14.6640625" bestFit="1" customWidth="1"/>
    <col min="66" max="66" width="16.5546875" bestFit="1" customWidth="1"/>
    <col min="67" max="67" width="9.44140625" bestFit="1" customWidth="1"/>
    <col min="68" max="68" width="12" bestFit="1" customWidth="1"/>
    <col min="69" max="70" width="13.6640625" bestFit="1" customWidth="1"/>
    <col min="71" max="71" width="16.6640625" bestFit="1" customWidth="1"/>
    <col min="72" max="72" width="17.5546875" customWidth="1"/>
    <col min="73" max="73" width="12" bestFit="1" customWidth="1"/>
  </cols>
  <sheetData>
    <row r="1" spans="1:38" x14ac:dyDescent="0.3">
      <c r="A1" t="s">
        <v>27</v>
      </c>
      <c r="B1" t="s">
        <v>31</v>
      </c>
      <c r="C1" t="s">
        <v>35</v>
      </c>
      <c r="D1" t="s">
        <v>310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311</v>
      </c>
      <c r="U1" t="s">
        <v>312</v>
      </c>
      <c r="V1" t="s">
        <v>313</v>
      </c>
      <c r="W1" t="s">
        <v>314</v>
      </c>
      <c r="X1" t="s">
        <v>287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36</v>
      </c>
      <c r="AG1" t="s">
        <v>39</v>
      </c>
      <c r="AH1" t="s">
        <v>40</v>
      </c>
      <c r="AI1" t="s">
        <v>41</v>
      </c>
      <c r="AJ1" t="s">
        <v>37</v>
      </c>
      <c r="AK1" t="s">
        <v>86</v>
      </c>
      <c r="AL1" t="s">
        <v>26</v>
      </c>
    </row>
    <row r="2" spans="1:38" x14ac:dyDescent="0.3">
      <c r="A2" t="str">
        <f>IF(Rel_2026___Ag_937[[#This Row],[Pontuação]]&gt;=10,"Sim",IF(Rel_2026___Ag_937[[#This Row],[Pontuação]]&gt;=5,"Próximo","Não"))</f>
        <v>Não</v>
      </c>
      <c r="B2" t="s">
        <v>334</v>
      </c>
      <c r="C2" t="str">
        <f>LEFT(Rel_2026___Ag_937[[#This Row],[ag_pacb]],4)</f>
        <v>0937</v>
      </c>
      <c r="D2">
        <v>68307</v>
      </c>
      <c r="E2" t="s">
        <v>73</v>
      </c>
      <c r="F2" t="s">
        <v>74</v>
      </c>
      <c r="G2">
        <v>45061</v>
      </c>
      <c r="H2" t="s">
        <v>43</v>
      </c>
      <c r="I2" t="s">
        <v>49</v>
      </c>
      <c r="J2">
        <v>42237</v>
      </c>
      <c r="K2">
        <v>45680</v>
      </c>
      <c r="L2" t="s">
        <v>44</v>
      </c>
      <c r="M2">
        <v>46254</v>
      </c>
      <c r="N2">
        <v>558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38</v>
      </c>
      <c r="X2" t="s">
        <v>38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25</v>
      </c>
      <c r="AH2" t="s">
        <v>23</v>
      </c>
      <c r="AJ2" t="s">
        <v>24</v>
      </c>
      <c r="AK2" t="s">
        <v>87</v>
      </c>
      <c r="AL2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0</v>
      </c>
    </row>
    <row r="3" spans="1:38" x14ac:dyDescent="0.3">
      <c r="A3" t="str">
        <f>IF(Rel_2026___Ag_937[[#This Row],[Pontuação]]&gt;=10,"Sim",IF(Rel_2026___Ag_937[[#This Row],[Pontuação]]&gt;=5,"Próximo","Não"))</f>
        <v>Sim</v>
      </c>
      <c r="B3" t="s">
        <v>334</v>
      </c>
      <c r="C3" t="str">
        <f>LEFT(Rel_2026___Ag_937[[#This Row],[ag_pacb]],4)</f>
        <v>0937</v>
      </c>
      <c r="D3">
        <v>69957</v>
      </c>
      <c r="E3" t="s">
        <v>45</v>
      </c>
      <c r="F3" t="s">
        <v>46</v>
      </c>
      <c r="G3">
        <v>44978</v>
      </c>
      <c r="H3" t="s">
        <v>43</v>
      </c>
      <c r="I3" t="s">
        <v>47</v>
      </c>
      <c r="J3">
        <v>43915</v>
      </c>
      <c r="K3">
        <v>45524</v>
      </c>
      <c r="L3" t="s">
        <v>44</v>
      </c>
      <c r="M3">
        <v>46254</v>
      </c>
      <c r="N3">
        <v>2705</v>
      </c>
      <c r="O3">
        <v>3</v>
      </c>
      <c r="P3">
        <v>1</v>
      </c>
      <c r="Q3">
        <v>3</v>
      </c>
      <c r="R3">
        <v>0</v>
      </c>
      <c r="S3">
        <v>0</v>
      </c>
      <c r="T3">
        <v>4873</v>
      </c>
      <c r="U3">
        <v>4873</v>
      </c>
      <c r="V3">
        <v>0</v>
      </c>
      <c r="W3" t="s">
        <v>38</v>
      </c>
      <c r="X3" t="s">
        <v>38</v>
      </c>
      <c r="Y3">
        <v>0</v>
      </c>
      <c r="Z3">
        <v>0</v>
      </c>
      <c r="AA3">
        <v>0</v>
      </c>
      <c r="AB3">
        <v>2</v>
      </c>
      <c r="AC3">
        <v>0</v>
      </c>
      <c r="AD3">
        <v>3</v>
      </c>
      <c r="AE3">
        <v>0</v>
      </c>
      <c r="AF3">
        <v>0</v>
      </c>
      <c r="AG3" t="s">
        <v>22</v>
      </c>
      <c r="AH3" t="s">
        <v>23</v>
      </c>
      <c r="AJ3" t="s">
        <v>24</v>
      </c>
      <c r="AK3" t="s">
        <v>87</v>
      </c>
      <c r="AL3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32</v>
      </c>
    </row>
    <row r="4" spans="1:38" x14ac:dyDescent="0.3">
      <c r="A4" t="str">
        <f>IF(Rel_2026___Ag_937[[#This Row],[Pontuação]]&gt;=10,"Sim",IF(Rel_2026___Ag_937[[#This Row],[Pontuação]]&gt;=5,"Próximo","Não"))</f>
        <v>Sim</v>
      </c>
      <c r="B4" t="s">
        <v>334</v>
      </c>
      <c r="C4" t="str">
        <f>LEFT(Rel_2026___Ag_937[[#This Row],[ag_pacb]],4)</f>
        <v>0937</v>
      </c>
      <c r="D4">
        <v>116228</v>
      </c>
      <c r="E4" t="s">
        <v>328</v>
      </c>
      <c r="F4" t="s">
        <v>329</v>
      </c>
      <c r="G4">
        <v>45076</v>
      </c>
      <c r="H4" t="s">
        <v>43</v>
      </c>
      <c r="I4" t="s">
        <v>61</v>
      </c>
      <c r="J4">
        <v>42467</v>
      </c>
      <c r="K4">
        <v>45624</v>
      </c>
      <c r="L4" t="s">
        <v>44</v>
      </c>
      <c r="M4">
        <v>46254</v>
      </c>
      <c r="N4">
        <v>1796</v>
      </c>
      <c r="O4">
        <v>0</v>
      </c>
      <c r="P4">
        <v>0</v>
      </c>
      <c r="Q4">
        <v>0</v>
      </c>
      <c r="R4">
        <v>0</v>
      </c>
      <c r="S4">
        <v>0</v>
      </c>
      <c r="T4">
        <v>24130</v>
      </c>
      <c r="U4">
        <v>24130</v>
      </c>
      <c r="V4">
        <v>0</v>
      </c>
      <c r="W4" t="s">
        <v>38</v>
      </c>
      <c r="X4" t="s">
        <v>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22</v>
      </c>
      <c r="AH4" t="s">
        <v>23</v>
      </c>
      <c r="AJ4" t="s">
        <v>24</v>
      </c>
      <c r="AK4" t="s">
        <v>87</v>
      </c>
      <c r="AL4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24</v>
      </c>
    </row>
    <row r="5" spans="1:38" x14ac:dyDescent="0.3">
      <c r="A5" t="str">
        <f>IF(Rel_2026___Ag_937[[#This Row],[Pontuação]]&gt;=10,"Sim",IF(Rel_2026___Ag_937[[#This Row],[Pontuação]]&gt;=5,"Próximo","Não"))</f>
        <v>Sim</v>
      </c>
      <c r="B5" t="s">
        <v>334</v>
      </c>
      <c r="C5" t="str">
        <f>LEFT(Rel_2026___Ag_937[[#This Row],[ag_pacb]],4)</f>
        <v>0937</v>
      </c>
      <c r="D5">
        <v>57445</v>
      </c>
      <c r="E5" t="s">
        <v>316</v>
      </c>
      <c r="F5" t="s">
        <v>317</v>
      </c>
      <c r="G5">
        <v>44511</v>
      </c>
      <c r="H5" t="s">
        <v>43</v>
      </c>
      <c r="I5" t="s">
        <v>48</v>
      </c>
      <c r="J5">
        <v>42240</v>
      </c>
      <c r="K5">
        <v>45672</v>
      </c>
      <c r="L5" t="s">
        <v>44</v>
      </c>
      <c r="M5">
        <v>46254</v>
      </c>
      <c r="N5">
        <v>123</v>
      </c>
      <c r="O5">
        <v>2</v>
      </c>
      <c r="P5">
        <v>2</v>
      </c>
      <c r="Q5">
        <v>2</v>
      </c>
      <c r="R5">
        <v>0</v>
      </c>
      <c r="S5">
        <v>2500</v>
      </c>
      <c r="T5">
        <v>0</v>
      </c>
      <c r="U5">
        <v>0</v>
      </c>
      <c r="V5">
        <v>0</v>
      </c>
      <c r="W5" t="s">
        <v>38</v>
      </c>
      <c r="X5" t="s">
        <v>38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22</v>
      </c>
      <c r="AH5" t="s">
        <v>23</v>
      </c>
      <c r="AJ5" t="s">
        <v>24</v>
      </c>
      <c r="AK5" t="s">
        <v>87</v>
      </c>
      <c r="AL5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45</v>
      </c>
    </row>
    <row r="6" spans="1:38" x14ac:dyDescent="0.3">
      <c r="A6" t="str">
        <f>IF(Rel_2026___Ag_937[[#This Row],[Pontuação]]&gt;=10,"Sim",IF(Rel_2026___Ag_937[[#This Row],[Pontuação]]&gt;=5,"Próximo","Não"))</f>
        <v>Não</v>
      </c>
      <c r="B6" t="s">
        <v>334</v>
      </c>
      <c r="C6" t="str">
        <f>LEFT(Rel_2026___Ag_937[[#This Row],[ag_pacb]],4)</f>
        <v>0937</v>
      </c>
      <c r="D6">
        <v>59775</v>
      </c>
      <c r="E6" t="s">
        <v>63</v>
      </c>
      <c r="F6" t="s">
        <v>64</v>
      </c>
      <c r="G6">
        <v>44229</v>
      </c>
      <c r="H6" t="s">
        <v>43</v>
      </c>
      <c r="I6" t="s">
        <v>65</v>
      </c>
      <c r="J6">
        <v>42466</v>
      </c>
      <c r="K6">
        <v>45548</v>
      </c>
      <c r="L6" t="s">
        <v>44</v>
      </c>
      <c r="M6">
        <v>46254</v>
      </c>
      <c r="N6">
        <v>1524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38</v>
      </c>
      <c r="X6" t="s">
        <v>38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25</v>
      </c>
      <c r="AH6" t="s">
        <v>23</v>
      </c>
      <c r="AJ6" t="s">
        <v>24</v>
      </c>
      <c r="AK6" t="s">
        <v>87</v>
      </c>
      <c r="AL6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0</v>
      </c>
    </row>
    <row r="7" spans="1:38" x14ac:dyDescent="0.3">
      <c r="A7" t="str">
        <f>IF(Rel_2026___Ag_937[[#This Row],[Pontuação]]&gt;=10,"Sim",IF(Rel_2026___Ag_937[[#This Row],[Pontuação]]&gt;=5,"Próximo","Não"))</f>
        <v>Sim</v>
      </c>
      <c r="B7" t="s">
        <v>334</v>
      </c>
      <c r="C7" t="str">
        <f>LEFT(Rel_2026___Ag_937[[#This Row],[ag_pacb]],4)</f>
        <v>0937</v>
      </c>
      <c r="D7">
        <v>187482</v>
      </c>
      <c r="E7" t="s">
        <v>66</v>
      </c>
      <c r="F7" t="s">
        <v>67</v>
      </c>
      <c r="G7">
        <v>44691</v>
      </c>
      <c r="H7" t="s">
        <v>43</v>
      </c>
      <c r="I7" t="s">
        <v>68</v>
      </c>
      <c r="J7">
        <v>45306</v>
      </c>
      <c r="K7">
        <v>45791</v>
      </c>
      <c r="L7" t="s">
        <v>44</v>
      </c>
      <c r="M7">
        <v>46254</v>
      </c>
      <c r="N7">
        <v>619</v>
      </c>
      <c r="O7">
        <v>2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 t="s">
        <v>38</v>
      </c>
      <c r="X7" t="s">
        <v>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25</v>
      </c>
      <c r="AH7" t="s">
        <v>23</v>
      </c>
      <c r="AJ7" t="s">
        <v>24</v>
      </c>
      <c r="AK7" t="s">
        <v>87</v>
      </c>
      <c r="AL7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16</v>
      </c>
    </row>
    <row r="8" spans="1:38" x14ac:dyDescent="0.3">
      <c r="A8" t="str">
        <f>IF(Rel_2026___Ag_937[[#This Row],[Pontuação]]&gt;=10,"Sim",IF(Rel_2026___Ag_937[[#This Row],[Pontuação]]&gt;=5,"Próximo","Não"))</f>
        <v>Sim</v>
      </c>
      <c r="B8" t="s">
        <v>334</v>
      </c>
      <c r="C8" t="str">
        <f>LEFT(Rel_2026___Ag_937[[#This Row],[ag_pacb]],4)</f>
        <v>0937</v>
      </c>
      <c r="D8">
        <v>217474</v>
      </c>
      <c r="E8" t="s">
        <v>56</v>
      </c>
      <c r="F8" t="s">
        <v>57</v>
      </c>
      <c r="G8">
        <v>44599</v>
      </c>
      <c r="H8" t="s">
        <v>43</v>
      </c>
      <c r="I8" t="s">
        <v>52</v>
      </c>
      <c r="J8">
        <v>44837</v>
      </c>
      <c r="K8">
        <v>44803</v>
      </c>
      <c r="L8" t="s">
        <v>44</v>
      </c>
      <c r="M8">
        <v>46254</v>
      </c>
      <c r="N8">
        <v>1378</v>
      </c>
      <c r="O8">
        <v>3</v>
      </c>
      <c r="P8">
        <v>3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 t="s">
        <v>38</v>
      </c>
      <c r="X8" t="s">
        <v>38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 t="s">
        <v>25</v>
      </c>
      <c r="AH8" t="s">
        <v>23</v>
      </c>
      <c r="AJ8" t="s">
        <v>24</v>
      </c>
      <c r="AK8" t="s">
        <v>87</v>
      </c>
      <c r="AL8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27</v>
      </c>
    </row>
    <row r="9" spans="1:38" x14ac:dyDescent="0.3">
      <c r="A9" t="str">
        <f>IF(Rel_2026___Ag_937[[#This Row],[Pontuação]]&gt;=10,"Sim",IF(Rel_2026___Ag_937[[#This Row],[Pontuação]]&gt;=5,"Próximo","Não"))</f>
        <v>Sim</v>
      </c>
      <c r="B9" t="s">
        <v>334</v>
      </c>
      <c r="C9" t="str">
        <f>LEFT(Rel_2026___Ag_937[[#This Row],[ag_pacb]],4)</f>
        <v>0937</v>
      </c>
      <c r="D9">
        <v>251695</v>
      </c>
      <c r="E9" t="s">
        <v>69</v>
      </c>
      <c r="F9" t="s">
        <v>70</v>
      </c>
      <c r="G9">
        <v>45210</v>
      </c>
      <c r="H9" t="s">
        <v>43</v>
      </c>
      <c r="I9" t="s">
        <v>60</v>
      </c>
      <c r="J9">
        <v>45306</v>
      </c>
      <c r="K9">
        <v>46177</v>
      </c>
      <c r="L9" t="s">
        <v>44</v>
      </c>
      <c r="M9">
        <v>46254</v>
      </c>
      <c r="N9">
        <v>511</v>
      </c>
      <c r="O9">
        <v>1</v>
      </c>
      <c r="P9">
        <v>1</v>
      </c>
      <c r="Q9">
        <v>1</v>
      </c>
      <c r="R9">
        <v>0</v>
      </c>
      <c r="S9">
        <v>0</v>
      </c>
      <c r="T9">
        <v>11264</v>
      </c>
      <c r="U9">
        <v>11264</v>
      </c>
      <c r="V9">
        <v>0</v>
      </c>
      <c r="W9" t="s">
        <v>38</v>
      </c>
      <c r="X9" t="s">
        <v>38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 t="s">
        <v>22</v>
      </c>
      <c r="AH9" t="s">
        <v>23</v>
      </c>
      <c r="AJ9" t="s">
        <v>24</v>
      </c>
      <c r="AK9" t="s">
        <v>87</v>
      </c>
      <c r="AL9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23</v>
      </c>
    </row>
    <row r="10" spans="1:38" x14ac:dyDescent="0.3">
      <c r="A10" t="str">
        <f>IF(Rel_2026___Ag_937[[#This Row],[Pontuação]]&gt;=10,"Sim",IF(Rel_2026___Ag_937[[#This Row],[Pontuação]]&gt;=5,"Próximo","Não"))</f>
        <v>Não</v>
      </c>
      <c r="B10" t="s">
        <v>334</v>
      </c>
      <c r="C10" t="str">
        <f>LEFT(Rel_2026___Ag_937[[#This Row],[ag_pacb]],4)</f>
        <v>0937</v>
      </c>
      <c r="D10">
        <v>421721</v>
      </c>
      <c r="E10" t="s">
        <v>335</v>
      </c>
      <c r="F10" t="s">
        <v>336</v>
      </c>
      <c r="G10">
        <v>46098</v>
      </c>
      <c r="H10" t="s">
        <v>43</v>
      </c>
      <c r="I10" t="s">
        <v>85</v>
      </c>
      <c r="J10">
        <v>46030</v>
      </c>
      <c r="K10">
        <v>46118</v>
      </c>
      <c r="L10" t="s">
        <v>44</v>
      </c>
      <c r="M10">
        <v>46254</v>
      </c>
      <c r="N10">
        <v>25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38</v>
      </c>
      <c r="X10" t="s">
        <v>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25</v>
      </c>
      <c r="AH10" t="s">
        <v>23</v>
      </c>
      <c r="AJ10" t="s">
        <v>24</v>
      </c>
      <c r="AK10" t="s">
        <v>87</v>
      </c>
      <c r="AL10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0</v>
      </c>
    </row>
    <row r="11" spans="1:38" x14ac:dyDescent="0.3">
      <c r="A11" t="str">
        <f>IF(Rel_2026___Ag_937[[#This Row],[Pontuação]]&gt;=10,"Sim",IF(Rel_2026___Ag_937[[#This Row],[Pontuação]]&gt;=5,"Próximo","Não"))</f>
        <v>Sim</v>
      </c>
      <c r="B11" t="s">
        <v>334</v>
      </c>
      <c r="C11" t="str">
        <f>LEFT(Rel_2026___Ag_937[[#This Row],[ag_pacb]],4)</f>
        <v>0937</v>
      </c>
      <c r="D11">
        <v>173912</v>
      </c>
      <c r="E11" t="s">
        <v>50</v>
      </c>
      <c r="F11" t="s">
        <v>51</v>
      </c>
      <c r="G11">
        <v>44415</v>
      </c>
      <c r="H11" t="s">
        <v>43</v>
      </c>
      <c r="I11" t="s">
        <v>52</v>
      </c>
      <c r="J11">
        <v>45306</v>
      </c>
      <c r="K11">
        <v>45434</v>
      </c>
      <c r="L11" t="s">
        <v>44</v>
      </c>
      <c r="M11">
        <v>46254</v>
      </c>
      <c r="N11">
        <v>873</v>
      </c>
      <c r="O11">
        <v>2</v>
      </c>
      <c r="P11">
        <v>2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38</v>
      </c>
      <c r="X11" t="s">
        <v>38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 t="s">
        <v>25</v>
      </c>
      <c r="AH11" t="s">
        <v>23</v>
      </c>
      <c r="AJ11" t="s">
        <v>24</v>
      </c>
      <c r="AK11" t="s">
        <v>87</v>
      </c>
      <c r="AL11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20</v>
      </c>
    </row>
    <row r="12" spans="1:38" x14ac:dyDescent="0.3">
      <c r="A12" t="str">
        <f>IF(Rel_2026___Ag_937[[#This Row],[Pontuação]]&gt;=10,"Sim",IF(Rel_2026___Ag_937[[#This Row],[Pontuação]]&gt;=5,"Próximo","Não"))</f>
        <v>Sim</v>
      </c>
      <c r="B12" t="s">
        <v>334</v>
      </c>
      <c r="C12" t="str">
        <f>LEFT(Rel_2026___Ag_937[[#This Row],[ag_pacb]],4)</f>
        <v>0937</v>
      </c>
      <c r="D12">
        <v>84655</v>
      </c>
      <c r="E12" t="s">
        <v>58</v>
      </c>
      <c r="F12" t="s">
        <v>59</v>
      </c>
      <c r="G12">
        <v>44128</v>
      </c>
      <c r="H12" t="s">
        <v>43</v>
      </c>
      <c r="I12" t="s">
        <v>60</v>
      </c>
      <c r="J12">
        <v>42236</v>
      </c>
      <c r="K12">
        <v>44820</v>
      </c>
      <c r="L12" t="s">
        <v>44</v>
      </c>
      <c r="M12">
        <v>46254</v>
      </c>
      <c r="N12">
        <v>1013</v>
      </c>
      <c r="O12">
        <v>2</v>
      </c>
      <c r="P12">
        <v>2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38</v>
      </c>
      <c r="X12" t="s">
        <v>38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</v>
      </c>
      <c r="AG12" t="s">
        <v>25</v>
      </c>
      <c r="AH12" t="s">
        <v>23</v>
      </c>
      <c r="AJ12" t="s">
        <v>24</v>
      </c>
      <c r="AK12" t="s">
        <v>87</v>
      </c>
      <c r="AL12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17</v>
      </c>
    </row>
    <row r="13" spans="1:38" x14ac:dyDescent="0.3">
      <c r="A13" t="str">
        <f>IF(Rel_2026___Ag_937[[#This Row],[Pontuação]]&gt;=10,"Sim",IF(Rel_2026___Ag_937[[#This Row],[Pontuação]]&gt;=5,"Próximo","Não"))</f>
        <v>Sim</v>
      </c>
      <c r="B13" t="s">
        <v>334</v>
      </c>
      <c r="C13" t="str">
        <f>LEFT(Rel_2026___Ag_937[[#This Row],[ag_pacb]],4)</f>
        <v>0937</v>
      </c>
      <c r="D13">
        <v>121045</v>
      </c>
      <c r="E13" t="s">
        <v>83</v>
      </c>
      <c r="F13" t="s">
        <v>84</v>
      </c>
      <c r="G13">
        <v>44415</v>
      </c>
      <c r="H13" t="s">
        <v>43</v>
      </c>
      <c r="I13" t="s">
        <v>49</v>
      </c>
      <c r="J13">
        <v>42235</v>
      </c>
      <c r="K13">
        <v>45583</v>
      </c>
      <c r="L13" t="s">
        <v>44</v>
      </c>
      <c r="M13">
        <v>46254</v>
      </c>
      <c r="N13">
        <v>1591</v>
      </c>
      <c r="O13">
        <v>2</v>
      </c>
      <c r="P13">
        <v>2</v>
      </c>
      <c r="Q13">
        <v>2</v>
      </c>
      <c r="R13">
        <v>0</v>
      </c>
      <c r="S13">
        <v>2800</v>
      </c>
      <c r="T13">
        <v>36280</v>
      </c>
      <c r="U13">
        <v>36280</v>
      </c>
      <c r="V13">
        <v>0</v>
      </c>
      <c r="W13" t="s">
        <v>38</v>
      </c>
      <c r="X13" t="s">
        <v>38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25</v>
      </c>
      <c r="AH13" t="s">
        <v>23</v>
      </c>
      <c r="AJ13" t="s">
        <v>24</v>
      </c>
      <c r="AK13" t="s">
        <v>87</v>
      </c>
      <c r="AL13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84</v>
      </c>
    </row>
    <row r="14" spans="1:38" x14ac:dyDescent="0.3">
      <c r="A14" t="str">
        <f>IF(Rel_2026___Ag_937[[#This Row],[Pontuação]]&gt;=10,"Sim",IF(Rel_2026___Ag_937[[#This Row],[Pontuação]]&gt;=5,"Próximo","Não"))</f>
        <v>Sim</v>
      </c>
      <c r="B14" t="s">
        <v>334</v>
      </c>
      <c r="C14" t="str">
        <f>LEFT(Rel_2026___Ag_937[[#This Row],[ag_pacb]],4)</f>
        <v>0937</v>
      </c>
      <c r="D14">
        <v>171937</v>
      </c>
      <c r="E14" t="s">
        <v>337</v>
      </c>
      <c r="F14" t="s">
        <v>338</v>
      </c>
      <c r="G14">
        <v>45127</v>
      </c>
      <c r="H14" t="s">
        <v>43</v>
      </c>
      <c r="I14" t="s">
        <v>49</v>
      </c>
      <c r="J14">
        <v>43502</v>
      </c>
      <c r="K14">
        <v>45225</v>
      </c>
      <c r="L14" t="s">
        <v>44</v>
      </c>
      <c r="M14">
        <v>46254</v>
      </c>
      <c r="N14">
        <v>1125</v>
      </c>
      <c r="O14">
        <v>5</v>
      </c>
      <c r="P14">
        <v>0</v>
      </c>
      <c r="Q14">
        <v>5</v>
      </c>
      <c r="R14">
        <v>0</v>
      </c>
      <c r="S14">
        <v>6980</v>
      </c>
      <c r="T14">
        <v>73372</v>
      </c>
      <c r="U14">
        <v>73372</v>
      </c>
      <c r="V14">
        <v>0</v>
      </c>
      <c r="W14" t="s">
        <v>38</v>
      </c>
      <c r="X14" t="s">
        <v>38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5</v>
      </c>
      <c r="AF14">
        <v>25</v>
      </c>
      <c r="AG14" t="s">
        <v>25</v>
      </c>
      <c r="AH14" t="s">
        <v>23</v>
      </c>
      <c r="AJ14" t="s">
        <v>24</v>
      </c>
      <c r="AK14" t="s">
        <v>87</v>
      </c>
      <c r="AL14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174</v>
      </c>
    </row>
    <row r="15" spans="1:38" x14ac:dyDescent="0.3">
      <c r="A15" t="str">
        <f>IF(Rel_2026___Ag_937[[#This Row],[Pontuação]]&gt;=10,"Sim",IF(Rel_2026___Ag_937[[#This Row],[Pontuação]]&gt;=5,"Próximo","Não"))</f>
        <v>Não</v>
      </c>
      <c r="B15" t="s">
        <v>334</v>
      </c>
      <c r="C15" t="str">
        <f>LEFT(Rel_2026___Ag_937[[#This Row],[ag_pacb]],4)</f>
        <v>0937</v>
      </c>
      <c r="D15">
        <v>161347</v>
      </c>
      <c r="E15" t="s">
        <v>81</v>
      </c>
      <c r="F15" t="s">
        <v>82</v>
      </c>
      <c r="G15">
        <v>44229</v>
      </c>
      <c r="H15" t="s">
        <v>43</v>
      </c>
      <c r="I15" t="s">
        <v>65</v>
      </c>
      <c r="J15">
        <v>44014</v>
      </c>
      <c r="K15">
        <v>44959</v>
      </c>
      <c r="L15" t="s">
        <v>44</v>
      </c>
      <c r="M15">
        <v>46254</v>
      </c>
      <c r="N15">
        <v>819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38</v>
      </c>
      <c r="X15" t="s">
        <v>38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25</v>
      </c>
      <c r="AH15" t="s">
        <v>23</v>
      </c>
      <c r="AJ15" t="s">
        <v>24</v>
      </c>
      <c r="AK15" t="s">
        <v>87</v>
      </c>
      <c r="AL15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0</v>
      </c>
    </row>
    <row r="16" spans="1:38" x14ac:dyDescent="0.3">
      <c r="A16" t="str">
        <f>IF(Rel_2026___Ag_937[[#This Row],[Pontuação]]&gt;=10,"Sim",IF(Rel_2026___Ag_937[[#This Row],[Pontuação]]&gt;=5,"Próximo","Não"))</f>
        <v>Sim</v>
      </c>
      <c r="B16" t="s">
        <v>334</v>
      </c>
      <c r="C16" t="str">
        <f>LEFT(Rel_2026___Ag_937[[#This Row],[ag_pacb]],4)</f>
        <v>0937</v>
      </c>
      <c r="D16">
        <v>231928</v>
      </c>
      <c r="E16" t="s">
        <v>78</v>
      </c>
      <c r="F16" t="s">
        <v>79</v>
      </c>
      <c r="G16">
        <v>44923</v>
      </c>
      <c r="H16" t="s">
        <v>43</v>
      </c>
      <c r="I16" t="s">
        <v>80</v>
      </c>
      <c r="J16">
        <v>44837</v>
      </c>
      <c r="K16">
        <v>44834</v>
      </c>
      <c r="L16" t="s">
        <v>44</v>
      </c>
      <c r="M16">
        <v>46254</v>
      </c>
      <c r="N16">
        <v>1784</v>
      </c>
      <c r="O16">
        <v>5</v>
      </c>
      <c r="P16">
        <v>0</v>
      </c>
      <c r="Q16">
        <v>5</v>
      </c>
      <c r="R16">
        <v>0</v>
      </c>
      <c r="S16">
        <v>600</v>
      </c>
      <c r="T16">
        <v>79456</v>
      </c>
      <c r="U16">
        <v>79456</v>
      </c>
      <c r="V16">
        <v>0</v>
      </c>
      <c r="W16" t="s">
        <v>38</v>
      </c>
      <c r="X16" t="s">
        <v>38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</v>
      </c>
      <c r="AF16">
        <v>0</v>
      </c>
      <c r="AG16" t="s">
        <v>25</v>
      </c>
      <c r="AH16" t="s">
        <v>23</v>
      </c>
      <c r="AJ16" t="s">
        <v>24</v>
      </c>
      <c r="AK16" t="s">
        <v>87</v>
      </c>
      <c r="AL16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115</v>
      </c>
    </row>
    <row r="17" spans="1:38" x14ac:dyDescent="0.3">
      <c r="A17" t="str">
        <f>IF(Rel_2026___Ag_937[[#This Row],[Pontuação]]&gt;=10,"Sim",IF(Rel_2026___Ag_937[[#This Row],[Pontuação]]&gt;=5,"Próximo","Não"))</f>
        <v>Sim</v>
      </c>
      <c r="B17" t="s">
        <v>334</v>
      </c>
      <c r="C17" t="str">
        <f>LEFT(Rel_2026___Ag_937[[#This Row],[ag_pacb]],4)</f>
        <v>0937</v>
      </c>
      <c r="D17">
        <v>185729</v>
      </c>
      <c r="E17" t="s">
        <v>75</v>
      </c>
      <c r="F17" t="s">
        <v>76</v>
      </c>
      <c r="G17">
        <v>45210</v>
      </c>
      <c r="H17" t="s">
        <v>43</v>
      </c>
      <c r="I17" t="s">
        <v>77</v>
      </c>
      <c r="J17">
        <v>45306</v>
      </c>
      <c r="K17">
        <v>46121</v>
      </c>
      <c r="L17" t="s">
        <v>44</v>
      </c>
      <c r="M17">
        <v>46254</v>
      </c>
      <c r="N17">
        <v>407</v>
      </c>
      <c r="O17">
        <v>7</v>
      </c>
      <c r="P17">
        <v>5</v>
      </c>
      <c r="Q17">
        <v>7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38</v>
      </c>
      <c r="X17" t="s">
        <v>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</v>
      </c>
      <c r="AF17">
        <v>0</v>
      </c>
      <c r="AG17" t="s">
        <v>22</v>
      </c>
      <c r="AH17" t="s">
        <v>23</v>
      </c>
      <c r="AJ17" t="s">
        <v>24</v>
      </c>
      <c r="AK17" t="s">
        <v>87</v>
      </c>
      <c r="AL17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62</v>
      </c>
    </row>
    <row r="18" spans="1:38" x14ac:dyDescent="0.3">
      <c r="A18" t="str">
        <f>IF(Rel_2026___Ag_937[[#This Row],[Pontuação]]&gt;=10,"Sim",IF(Rel_2026___Ag_937[[#This Row],[Pontuação]]&gt;=5,"Próximo","Não"))</f>
        <v>Sim</v>
      </c>
      <c r="B18" t="s">
        <v>334</v>
      </c>
      <c r="C18" t="str">
        <f>LEFT(Rel_2026___Ag_937[[#This Row],[ag_pacb]],4)</f>
        <v>0937</v>
      </c>
      <c r="D18">
        <v>74848</v>
      </c>
      <c r="E18" t="s">
        <v>53</v>
      </c>
      <c r="F18" t="s">
        <v>54</v>
      </c>
      <c r="G18">
        <v>44279</v>
      </c>
      <c r="H18" t="s">
        <v>43</v>
      </c>
      <c r="I18" t="s">
        <v>55</v>
      </c>
      <c r="J18">
        <v>42221</v>
      </c>
      <c r="K18">
        <v>45548</v>
      </c>
      <c r="L18" t="s">
        <v>44</v>
      </c>
      <c r="M18">
        <v>46254</v>
      </c>
      <c r="N18">
        <v>554</v>
      </c>
      <c r="O18">
        <v>5</v>
      </c>
      <c r="P18">
        <v>4</v>
      </c>
      <c r="Q18">
        <v>5</v>
      </c>
      <c r="R18">
        <v>2</v>
      </c>
      <c r="S18">
        <v>0</v>
      </c>
      <c r="T18">
        <v>24000</v>
      </c>
      <c r="U18">
        <v>24000</v>
      </c>
      <c r="V18">
        <v>0</v>
      </c>
      <c r="W18" t="s">
        <v>38</v>
      </c>
      <c r="X18" t="s">
        <v>38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5</v>
      </c>
      <c r="AF18">
        <v>0</v>
      </c>
      <c r="AG18" t="s">
        <v>25</v>
      </c>
      <c r="AH18" t="s">
        <v>23</v>
      </c>
      <c r="AJ18" t="s">
        <v>24</v>
      </c>
      <c r="AK18" t="s">
        <v>87</v>
      </c>
      <c r="AL18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70</v>
      </c>
    </row>
    <row r="19" spans="1:38" x14ac:dyDescent="0.3">
      <c r="A19" t="str">
        <f>IF(Rel_2026___Ag_937[[#This Row],[Pontuação]]&gt;=10,"Sim",IF(Rel_2026___Ag_937[[#This Row],[Pontuação]]&gt;=5,"Próximo","Não"))</f>
        <v>Sim</v>
      </c>
      <c r="B19" t="s">
        <v>334</v>
      </c>
      <c r="C19" t="str">
        <f>LEFT(Rel_2026___Ag_937[[#This Row],[ag_pacb]],4)</f>
        <v>0937</v>
      </c>
      <c r="D19">
        <v>174735</v>
      </c>
      <c r="E19" t="s">
        <v>62</v>
      </c>
      <c r="F19" t="s">
        <v>71</v>
      </c>
      <c r="G19">
        <v>45841</v>
      </c>
      <c r="H19" t="s">
        <v>43</v>
      </c>
      <c r="I19" t="s">
        <v>72</v>
      </c>
      <c r="J19">
        <v>43585</v>
      </c>
      <c r="K19">
        <v>45341</v>
      </c>
      <c r="L19" t="s">
        <v>44</v>
      </c>
      <c r="M19">
        <v>46254</v>
      </c>
      <c r="N19">
        <v>727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38</v>
      </c>
      <c r="X19" t="s">
        <v>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 t="s">
        <v>25</v>
      </c>
      <c r="AH19" t="s">
        <v>23</v>
      </c>
      <c r="AJ19" t="s">
        <v>24</v>
      </c>
      <c r="AK19" t="s">
        <v>87</v>
      </c>
      <c r="AL19">
        <f>IF(Rel_2026___Ag_937[[#This Row],[qtd_contas_com_deposito]]&gt;0,7*Rel_2026___Ag_937[[#This Row],[qtd_contas_com_deposito]])+IF((Rel_2026___Ag_937[[#This Row],[qtd_contas]]-Rel_2026___Ag_937[[#This Row],[qtd_contas_com_deposito]])&gt;0,(Rel_2026___Ag_937[[#This Row],[qtd_contas]]-Rel_2026___Ag_937[[#This Row],[qtd_contas_com_deposito]])*3)+IF(Rel_2026___Ag_937[[#This Row],[qtd_cesta_serv]]&gt;0,3*Rel_2026___Ag_937[[#This Row],[qtd_cesta_serv]])+IF(Rel_2026___Ag_937[[#This Row],[QTD_CARTAO_EMITIDO]]&gt;0,0*Rel_2026___Ag_937[[#This Row],[QTD_CARTAO_EMITIDO]])+IF(Rel_2026___Ag_937[[#This Row],[QTD_SUPER_PROTEGIDO]]&gt;0,0*Rel_2026___Ag_937[[#This Row],[QTD_SUPER_PROTEGIDO]])+IF(Rel_2026___Ag_937[[#This Row],[QTD_CONTAS_PJ]]&gt;0,0*Rel_2026___Ag_937[[#This Row],[QTD_CONTAS_PJ]])+IF(Rel_2026___Ag_937[[#This Row],[QTD_MICRO_VIVAVIDA]]&gt;0,1*Rel_2026___Ag_937[[#This Row],[QTD_MICRO_VIVAVIDA]])+IF(Rel_2026___Ag_937[[#This Row],[qtd_microsseguro]]&gt;0,1*Rel_2026___Ag_937[[#This Row],[qtd_microsseguro]])+IF(Rel_2026___Ag_937[[#This Row],[QTD_SEG_RESIDENCIAL]]&gt;0,1*Rel_2026___Ag_937[[#This Row],[QTD_SEG_RESIDENCIAL]])+IF(Rel_2026___Ag_937[[#This Row],[QTD_PLANO_ODONTO]]&gt;0,1*Rel_2026___Ag_937[[#This Row],[QTD_PLANO_ODONTO]])+IF(Rel_2026___Ag_937[[#This Row],[vlr_lime]]&gt;0,1*ROUND(Rel_2026___Ag_937[[#This Row],[vlr_lime]]/100,0))+ROUND(IF(Rel_2026___Ag_937[[#This Row],[VLR_CREDITO_PARCEL]]&gt;500,1*Rel_2026___Ag_937[[#This Row],[VLR_CREDITO_PARCEL]]/500),0)+ROUND(Rel_2026___Ag_937[[#This Row],[vlr_consignado_total]]/1000,0)</f>
        <v>10</v>
      </c>
    </row>
    <row r="20" spans="1:38" x14ac:dyDescent="0.3">
      <c r="G20" s="1"/>
      <c r="J20" s="1"/>
      <c r="K20" s="1"/>
      <c r="M20" s="1"/>
      <c r="O20">
        <f>SUBTOTAL(9,Rel_2026___Ag_937[qtd_contas])</f>
        <v>40</v>
      </c>
      <c r="P20">
        <f>SUBTOTAL(9,Rel_2026___Ag_937[qtd_contas_com_deposito])</f>
        <v>24</v>
      </c>
      <c r="Q20">
        <f>SUBTOTAL(9,Rel_2026___Ag_937[qtd_cesta_serv])</f>
        <v>38</v>
      </c>
      <c r="R20">
        <f>SUBTOTAL(9,Rel_2026___Ag_937[QTD_CARTAO_EMITIDO])</f>
        <v>2</v>
      </c>
      <c r="Y20">
        <f>SUBTOTAL(9,Rel_2026___Ag_937[QTD_CONTAS_PJ])</f>
        <v>0</v>
      </c>
      <c r="Z20">
        <f>SUBTOTAL(9,Rel_2026___Ag_937[qtd_microsseguro])</f>
        <v>2</v>
      </c>
      <c r="AA20">
        <f>SUBTOTAL(9,Rel_2026___Ag_937[QTD_SUPER_PROTEGIDO])</f>
        <v>3</v>
      </c>
      <c r="AB20">
        <f>SUBTOTAL(9,Rel_2026___Ag_937[QTD_MICRO_VIVAVIDA])</f>
        <v>2</v>
      </c>
      <c r="AC20">
        <f>SUBTOTAL(9,Rel_2026___Ag_937[QTD_PLANO_ODONTO])</f>
        <v>1</v>
      </c>
      <c r="AD20">
        <f>SUBTOTAL(9,Rel_2026___Ag_937[QTD_SEG_RESIDENCIAL])</f>
        <v>3</v>
      </c>
      <c r="AE20">
        <f>SUBTOTAL(9,Rel_2026___Ag_937[QTD_SEG_CARTAO_DEB])</f>
        <v>28</v>
      </c>
    </row>
  </sheetData>
  <phoneticPr fontId="2" type="noConversion"/>
  <conditionalFormatting sqref="A2:AK19">
    <cfRule type="expression" dxfId="16" priority="1">
      <formula>$A2="Não"</formula>
    </cfRule>
    <cfRule type="expression" dxfId="15" priority="2">
      <formula>$A2="Próximo"</formula>
    </cfRule>
  </conditionalFormatting>
  <conditionalFormatting sqref="D22:E23">
    <cfRule type="expression" dxfId="14" priority="3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D11-01DC-4F38-A662-1980B00DA89B}">
  <dimension ref="A1:AN146"/>
  <sheetViews>
    <sheetView tabSelected="1" topLeftCell="A101" workbookViewId="0">
      <selection activeCell="B119" sqref="B119"/>
    </sheetView>
  </sheetViews>
  <sheetFormatPr defaultRowHeight="14.4" x14ac:dyDescent="0.3"/>
  <cols>
    <col min="1" max="1" width="9.6640625" bestFit="1" customWidth="1"/>
    <col min="2" max="2" width="10.6640625" bestFit="1" customWidth="1"/>
    <col min="3" max="3" width="13.6640625" bestFit="1" customWidth="1"/>
    <col min="4" max="4" width="9.77734375" bestFit="1" customWidth="1"/>
    <col min="5" max="5" width="12" bestFit="1" customWidth="1"/>
    <col min="6" max="6" width="34.5546875" bestFit="1" customWidth="1"/>
    <col min="7" max="7" width="10.109375" bestFit="1" customWidth="1"/>
    <col min="8" max="8" width="14.6640625" bestFit="1" customWidth="1"/>
    <col min="9" max="9" width="4.77734375" bestFit="1" customWidth="1"/>
    <col min="10" max="10" width="28.5546875" bestFit="1" customWidth="1"/>
    <col min="11" max="11" width="10.44140625" bestFit="1" customWidth="1"/>
    <col min="12" max="12" width="15.88671875" bestFit="1" customWidth="1"/>
    <col min="13" max="13" width="13.21875" bestFit="1" customWidth="1"/>
    <col min="14" max="14" width="19.109375" bestFit="1" customWidth="1"/>
    <col min="15" max="15" width="16.5546875" bestFit="1" customWidth="1"/>
    <col min="16" max="16" width="12.44140625" bestFit="1" customWidth="1"/>
    <col min="17" max="17" width="25.33203125" bestFit="1" customWidth="1"/>
    <col min="18" max="18" width="15.77734375" bestFit="1" customWidth="1"/>
    <col min="19" max="19" width="22.21875" bestFit="1" customWidth="1"/>
    <col min="20" max="20" width="20.44140625" bestFit="1" customWidth="1"/>
    <col min="21" max="21" width="19.88671875" bestFit="1" customWidth="1"/>
    <col min="22" max="23" width="19.77734375" bestFit="1" customWidth="1"/>
    <col min="24" max="24" width="21.88671875" bestFit="1" customWidth="1"/>
    <col min="25" max="25" width="9.88671875" bestFit="1" customWidth="1"/>
    <col min="26" max="26" width="17.109375" bestFit="1" customWidth="1"/>
    <col min="27" max="27" width="18.21875" bestFit="1" customWidth="1"/>
    <col min="28" max="28" width="24" bestFit="1" customWidth="1"/>
    <col min="29" max="29" width="22" bestFit="1" customWidth="1"/>
    <col min="30" max="30" width="21.6640625" bestFit="1" customWidth="1"/>
    <col min="31" max="31" width="23" bestFit="1" customWidth="1"/>
    <col min="32" max="32" width="22.77734375" bestFit="1" customWidth="1"/>
    <col min="33" max="33" width="16.6640625" bestFit="1" customWidth="1"/>
    <col min="34" max="34" width="13.6640625" bestFit="1" customWidth="1"/>
    <col min="35" max="35" width="13.77734375" bestFit="1" customWidth="1"/>
    <col min="36" max="36" width="16.77734375" bestFit="1" customWidth="1"/>
    <col min="37" max="37" width="9.44140625" bestFit="1" customWidth="1"/>
    <col min="38" max="38" width="12" bestFit="1" customWidth="1"/>
    <col min="39" max="39" width="7" bestFit="1" customWidth="1"/>
    <col min="40" max="40" width="13" bestFit="1" customWidth="1"/>
    <col min="41" max="48" width="6" bestFit="1" customWidth="1"/>
    <col min="49" max="49" width="9.44140625" bestFit="1" customWidth="1"/>
    <col min="50" max="50" width="12" bestFit="1" customWidth="1"/>
    <col min="51" max="51" width="7" bestFit="1" customWidth="1"/>
    <col min="52" max="52" width="22.6640625" bestFit="1" customWidth="1"/>
    <col min="53" max="53" width="17" bestFit="1" customWidth="1"/>
    <col min="54" max="54" width="21.88671875" bestFit="1" customWidth="1"/>
    <col min="55" max="55" width="16.6640625" bestFit="1" customWidth="1"/>
    <col min="56" max="57" width="13.6640625" bestFit="1" customWidth="1"/>
    <col min="58" max="58" width="16.6640625" bestFit="1" customWidth="1"/>
    <col min="59" max="60" width="5" bestFit="1" customWidth="1"/>
    <col min="61" max="61" width="6" bestFit="1" customWidth="1"/>
    <col min="62" max="62" width="9.44140625" bestFit="1" customWidth="1"/>
    <col min="63" max="63" width="12" bestFit="1" customWidth="1"/>
    <col min="64" max="64" width="6.88671875" bestFit="1" customWidth="1"/>
    <col min="65" max="65" width="12" bestFit="1" customWidth="1"/>
    <col min="66" max="66" width="12.5546875" bestFit="1" customWidth="1"/>
    <col min="67" max="67" width="14.6640625" bestFit="1" customWidth="1"/>
    <col min="68" max="68" width="16.5546875" bestFit="1" customWidth="1"/>
    <col min="69" max="69" width="9.44140625" bestFit="1" customWidth="1"/>
    <col min="70" max="70" width="12" bestFit="1" customWidth="1"/>
    <col min="71" max="72" width="13.6640625" bestFit="1" customWidth="1"/>
    <col min="73" max="73" width="16.6640625" bestFit="1" customWidth="1"/>
    <col min="74" max="74" width="17.5546875" customWidth="1"/>
    <col min="75" max="75" width="12" bestFit="1" customWidth="1"/>
  </cols>
  <sheetData>
    <row r="1" spans="1:40" x14ac:dyDescent="0.3">
      <c r="A1" t="s">
        <v>27</v>
      </c>
      <c r="B1" t="s">
        <v>343</v>
      </c>
      <c r="C1" t="s">
        <v>31</v>
      </c>
      <c r="D1" t="s">
        <v>35</v>
      </c>
      <c r="E1" t="s">
        <v>310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311</v>
      </c>
      <c r="U1" t="s">
        <v>312</v>
      </c>
      <c r="V1" t="s">
        <v>313</v>
      </c>
      <c r="W1" t="s">
        <v>314</v>
      </c>
      <c r="X1" t="s">
        <v>287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36</v>
      </c>
      <c r="AH1" t="s">
        <v>39</v>
      </c>
      <c r="AI1" t="s">
        <v>40</v>
      </c>
      <c r="AJ1" t="s">
        <v>41</v>
      </c>
      <c r="AK1" t="s">
        <v>37</v>
      </c>
      <c r="AL1" t="s">
        <v>26</v>
      </c>
      <c r="AM1" t="s">
        <v>291</v>
      </c>
      <c r="AN1" t="s">
        <v>342</v>
      </c>
    </row>
    <row r="2" spans="1:40" x14ac:dyDescent="0.3">
      <c r="A2" t="str">
        <f>IF(Rel_2026[[#This Row],[Zero]]=0,"Zero",IF(Rel_2026[[#This Row],[Pontuação]]&gt;=10,"Sim",IF(Rel_2026[[#This Row],[Pontuação]]&gt;=5,"Próximo","Não")))</f>
        <v>Sim</v>
      </c>
      <c r="B2" t="str">
        <f>IF(Rel_2026[[#This Row],[Zero]]=0,"Zero",IF(Rel_2026[[#This Row],[Pontuação2]]&gt;=10,"Sim",IF(Rel_2026[[#This Row],[Pontuação2]]&gt;=5,"Próximo","Não")))</f>
        <v>Sim</v>
      </c>
      <c r="C2" t="s">
        <v>339</v>
      </c>
      <c r="D2" t="str">
        <f>LEFT(Rel_2026[[#This Row],[ag_pacb]],4)</f>
        <v>0405</v>
      </c>
      <c r="E2">
        <v>160152</v>
      </c>
      <c r="F2" t="s">
        <v>149</v>
      </c>
      <c r="G2" t="s">
        <v>150</v>
      </c>
      <c r="H2">
        <v>46064</v>
      </c>
      <c r="I2" t="s">
        <v>43</v>
      </c>
      <c r="J2" t="s">
        <v>151</v>
      </c>
      <c r="K2">
        <v>43922</v>
      </c>
      <c r="L2">
        <v>46245</v>
      </c>
      <c r="M2" t="s">
        <v>44</v>
      </c>
      <c r="N2">
        <v>46254</v>
      </c>
      <c r="O2">
        <v>989</v>
      </c>
      <c r="P2">
        <v>2</v>
      </c>
      <c r="Q2">
        <v>2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 t="s">
        <v>25</v>
      </c>
      <c r="AI2" t="s">
        <v>23</v>
      </c>
      <c r="AK2" t="s">
        <v>24</v>
      </c>
      <c r="AL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2">
        <f>SUM(Rel_2026[[#This Row],[qtd_TrxContabil]:[VLR_EXP_SORTE]])</f>
        <v>996</v>
      </c>
      <c r="AN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3" spans="1:40" x14ac:dyDescent="0.3">
      <c r="A3" t="str">
        <f>IF(Rel_2026[[#This Row],[Zero]]=0,"Zero",IF(Rel_2026[[#This Row],[Pontuação]]&gt;=10,"Sim",IF(Rel_2026[[#This Row],[Pontuação]]&gt;=5,"Próximo","Não")))</f>
        <v>Sim</v>
      </c>
      <c r="B3" t="str">
        <f>IF(Rel_2026[[#This Row],[Zero]]=0,"Zero",IF(Rel_2026[[#This Row],[Pontuação2]]&gt;=10,"Sim",IF(Rel_2026[[#This Row],[Pontuação2]]&gt;=5,"Próximo","Não")))</f>
        <v>Sim</v>
      </c>
      <c r="C3" t="s">
        <v>339</v>
      </c>
      <c r="D3" t="str">
        <f>LEFT(Rel_2026[[#This Row],[ag_pacb]],4)</f>
        <v>0405</v>
      </c>
      <c r="E3">
        <v>40431</v>
      </c>
      <c r="F3" t="s">
        <v>113</v>
      </c>
      <c r="G3" t="s">
        <v>114</v>
      </c>
      <c r="H3">
        <v>44652</v>
      </c>
      <c r="I3" t="s">
        <v>43</v>
      </c>
      <c r="J3" t="s">
        <v>115</v>
      </c>
      <c r="K3">
        <v>45306</v>
      </c>
      <c r="L3">
        <v>46142</v>
      </c>
      <c r="M3" t="s">
        <v>44</v>
      </c>
      <c r="N3">
        <v>46254</v>
      </c>
      <c r="O3">
        <v>576</v>
      </c>
      <c r="P3">
        <v>5</v>
      </c>
      <c r="Q3">
        <v>0</v>
      </c>
      <c r="R3">
        <v>5</v>
      </c>
      <c r="S3">
        <v>0</v>
      </c>
      <c r="T3">
        <v>8000</v>
      </c>
      <c r="U3">
        <v>8000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</v>
      </c>
      <c r="AG3">
        <v>0</v>
      </c>
      <c r="AH3" t="s">
        <v>22</v>
      </c>
      <c r="AI3" t="s">
        <v>23</v>
      </c>
      <c r="AK3" t="s">
        <v>24</v>
      </c>
      <c r="AL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3">
        <f>SUM(Rel_2026[[#This Row],[qtd_TrxContabil]:[VLR_EXP_SORTE]])</f>
        <v>16589</v>
      </c>
      <c r="AN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38</v>
      </c>
    </row>
    <row r="4" spans="1:40" x14ac:dyDescent="0.3">
      <c r="A4" t="str">
        <f>IF(Rel_2026[[#This Row],[Zero]]=0,"Zero",IF(Rel_2026[[#This Row],[Pontuação]]&gt;=10,"Sim",IF(Rel_2026[[#This Row],[Pontuação]]&gt;=5,"Próximo","Não")))</f>
        <v>Não</v>
      </c>
      <c r="B4" t="str">
        <f>IF(Rel_2026[[#This Row],[Zero]]=0,"Zero",IF(Rel_2026[[#This Row],[Pontuação2]]&gt;=10,"Sim",IF(Rel_2026[[#This Row],[Pontuação2]]&gt;=5,"Próximo","Não")))</f>
        <v>Não</v>
      </c>
      <c r="C4" t="s">
        <v>339</v>
      </c>
      <c r="D4" t="str">
        <f>LEFT(Rel_2026[[#This Row],[ag_pacb]],4)</f>
        <v>0405</v>
      </c>
      <c r="E4">
        <v>422522</v>
      </c>
      <c r="F4" t="s">
        <v>120</v>
      </c>
      <c r="G4" t="s">
        <v>121</v>
      </c>
      <c r="H4">
        <v>46077</v>
      </c>
      <c r="I4" t="s">
        <v>43</v>
      </c>
      <c r="J4" t="s">
        <v>116</v>
      </c>
      <c r="K4">
        <v>46071</v>
      </c>
      <c r="M4" t="s">
        <v>44</v>
      </c>
      <c r="N4">
        <v>46254</v>
      </c>
      <c r="O4">
        <v>544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22</v>
      </c>
      <c r="AI4" t="s">
        <v>23</v>
      </c>
      <c r="AK4" t="s">
        <v>24</v>
      </c>
      <c r="AL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">
        <f>SUM(Rel_2026[[#This Row],[qtd_TrxContabil]:[VLR_EXP_SORTE]])</f>
        <v>544</v>
      </c>
      <c r="AN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" spans="1:40" x14ac:dyDescent="0.3">
      <c r="A5" t="str">
        <f>IF(Rel_2026[[#This Row],[Zero]]=0,"Zero",IF(Rel_2026[[#This Row],[Pontuação]]&gt;=10,"Sim",IF(Rel_2026[[#This Row],[Pontuação]]&gt;=5,"Próximo","Não")))</f>
        <v>Sim</v>
      </c>
      <c r="B5" t="str">
        <f>IF(Rel_2026[[#This Row],[Zero]]=0,"Zero",IF(Rel_2026[[#This Row],[Pontuação2]]&gt;=10,"Sim",IF(Rel_2026[[#This Row],[Pontuação2]]&gt;=5,"Próximo","Não")))</f>
        <v>Sim</v>
      </c>
      <c r="C5" t="s">
        <v>339</v>
      </c>
      <c r="D5" t="str">
        <f>LEFT(Rel_2026[[#This Row],[ag_pacb]],4)</f>
        <v>0405</v>
      </c>
      <c r="E5">
        <v>99742</v>
      </c>
      <c r="F5" t="s">
        <v>131</v>
      </c>
      <c r="G5" t="s">
        <v>132</v>
      </c>
      <c r="H5">
        <v>44365</v>
      </c>
      <c r="I5" t="s">
        <v>43</v>
      </c>
      <c r="J5" t="s">
        <v>133</v>
      </c>
      <c r="K5">
        <v>42356</v>
      </c>
      <c r="L5">
        <v>46162</v>
      </c>
      <c r="M5" t="s">
        <v>44</v>
      </c>
      <c r="N5">
        <v>46254</v>
      </c>
      <c r="O5">
        <v>2150</v>
      </c>
      <c r="P5">
        <v>0</v>
      </c>
      <c r="Q5">
        <v>0</v>
      </c>
      <c r="R5">
        <v>0</v>
      </c>
      <c r="S5">
        <v>0</v>
      </c>
      <c r="T5">
        <v>1400</v>
      </c>
      <c r="U5">
        <v>1400</v>
      </c>
      <c r="V5">
        <v>0</v>
      </c>
      <c r="W5">
        <v>0</v>
      </c>
      <c r="X5">
        <v>0</v>
      </c>
      <c r="Y5">
        <v>1270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25</v>
      </c>
      <c r="AI5" t="s">
        <v>23</v>
      </c>
      <c r="AK5" t="s">
        <v>24</v>
      </c>
      <c r="AL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">
        <f>SUM(Rel_2026[[#This Row],[qtd_TrxContabil]:[VLR_EXP_SORTE]])</f>
        <v>6220</v>
      </c>
      <c r="AN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</row>
    <row r="6" spans="1:40" x14ac:dyDescent="0.3">
      <c r="A6" t="str">
        <f>IF(Rel_2026[[#This Row],[Zero]]=0,"Zero",IF(Rel_2026[[#This Row],[Pontuação]]&gt;=10,"Sim",IF(Rel_2026[[#This Row],[Pontuação]]&gt;=5,"Próximo","Não")))</f>
        <v>Não</v>
      </c>
      <c r="B6" t="str">
        <f>IF(Rel_2026[[#This Row],[Zero]]=0,"Zero",IF(Rel_2026[[#This Row],[Pontuação2]]&gt;=10,"Sim",IF(Rel_2026[[#This Row],[Pontuação2]]&gt;=5,"Próximo","Não")))</f>
        <v>Não</v>
      </c>
      <c r="C6" t="s">
        <v>339</v>
      </c>
      <c r="D6" t="str">
        <f>LEFT(Rel_2026[[#This Row],[ag_pacb]],4)</f>
        <v>0405</v>
      </c>
      <c r="E6">
        <v>151216</v>
      </c>
      <c r="F6" t="s">
        <v>94</v>
      </c>
      <c r="G6" t="s">
        <v>95</v>
      </c>
      <c r="H6">
        <v>44573</v>
      </c>
      <c r="I6" t="s">
        <v>43</v>
      </c>
      <c r="J6" t="s">
        <v>96</v>
      </c>
      <c r="K6">
        <v>42626</v>
      </c>
      <c r="L6">
        <v>45548</v>
      </c>
      <c r="M6" t="s">
        <v>44</v>
      </c>
      <c r="N6">
        <v>46254</v>
      </c>
      <c r="O6">
        <v>1598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25</v>
      </c>
      <c r="AI6" t="s">
        <v>23</v>
      </c>
      <c r="AK6" t="s">
        <v>24</v>
      </c>
      <c r="AL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">
        <f>SUM(Rel_2026[[#This Row],[qtd_TrxContabil]:[VLR_EXP_SORTE]])</f>
        <v>1598</v>
      </c>
      <c r="AN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" spans="1:40" x14ac:dyDescent="0.3">
      <c r="A7" t="str">
        <f>IF(Rel_2026[[#This Row],[Zero]]=0,"Zero",IF(Rel_2026[[#This Row],[Pontuação]]&gt;=10,"Sim",IF(Rel_2026[[#This Row],[Pontuação]]&gt;=5,"Próximo","Não")))</f>
        <v>Sim</v>
      </c>
      <c r="B7" t="str">
        <f>IF(Rel_2026[[#This Row],[Zero]]=0,"Zero",IF(Rel_2026[[#This Row],[Pontuação2]]&gt;=10,"Sim",IF(Rel_2026[[#This Row],[Pontuação2]]&gt;=5,"Próximo","Não")))</f>
        <v>Sim</v>
      </c>
      <c r="C7" t="s">
        <v>339</v>
      </c>
      <c r="D7" t="str">
        <f>LEFT(Rel_2026[[#This Row],[ag_pacb]],4)</f>
        <v>0405</v>
      </c>
      <c r="E7">
        <v>13799</v>
      </c>
      <c r="F7" t="s">
        <v>122</v>
      </c>
      <c r="G7" t="s">
        <v>123</v>
      </c>
      <c r="H7">
        <v>44413</v>
      </c>
      <c r="I7" t="s">
        <v>43</v>
      </c>
      <c r="J7" t="s">
        <v>44</v>
      </c>
      <c r="K7">
        <v>42237</v>
      </c>
      <c r="L7">
        <v>45661</v>
      </c>
      <c r="M7" t="s">
        <v>44</v>
      </c>
      <c r="N7">
        <v>46254</v>
      </c>
      <c r="O7">
        <v>1012</v>
      </c>
      <c r="P7">
        <v>8</v>
      </c>
      <c r="Q7">
        <v>3</v>
      </c>
      <c r="R7">
        <v>5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8</v>
      </c>
      <c r="AG7">
        <v>0</v>
      </c>
      <c r="AH7" t="s">
        <v>22</v>
      </c>
      <c r="AI7" t="s">
        <v>23</v>
      </c>
      <c r="AK7" t="s">
        <v>24</v>
      </c>
      <c r="AL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  <c r="AM7">
        <f>SUM(Rel_2026[[#This Row],[qtd_TrxContabil]:[VLR_EXP_SORTE]])</f>
        <v>1039</v>
      </c>
      <c r="AN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</row>
    <row r="8" spans="1:40" x14ac:dyDescent="0.3">
      <c r="A8" t="str">
        <f>IF(Rel_2026[[#This Row],[Zero]]=0,"Zero",IF(Rel_2026[[#This Row],[Pontuação]]&gt;=10,"Sim",IF(Rel_2026[[#This Row],[Pontuação]]&gt;=5,"Próximo","Não")))</f>
        <v>Sim</v>
      </c>
      <c r="B8" t="str">
        <f>IF(Rel_2026[[#This Row],[Zero]]=0,"Zero",IF(Rel_2026[[#This Row],[Pontuação2]]&gt;=10,"Sim",IF(Rel_2026[[#This Row],[Pontuação2]]&gt;=5,"Próximo","Não")))</f>
        <v>Sim</v>
      </c>
      <c r="C8" t="s">
        <v>339</v>
      </c>
      <c r="D8" t="str">
        <f>LEFT(Rel_2026[[#This Row],[ag_pacb]],4)</f>
        <v>5792</v>
      </c>
      <c r="E8">
        <v>86446</v>
      </c>
      <c r="F8" t="s">
        <v>100</v>
      </c>
      <c r="G8" t="s">
        <v>101</v>
      </c>
      <c r="H8">
        <v>44141</v>
      </c>
      <c r="I8" t="s">
        <v>43</v>
      </c>
      <c r="J8" t="s">
        <v>102</v>
      </c>
      <c r="K8">
        <v>43927</v>
      </c>
      <c r="L8">
        <v>45492</v>
      </c>
      <c r="M8" t="s">
        <v>44</v>
      </c>
      <c r="N8">
        <v>46254</v>
      </c>
      <c r="O8">
        <v>904</v>
      </c>
      <c r="P8">
        <v>1</v>
      </c>
      <c r="Q8">
        <v>1</v>
      </c>
      <c r="R8">
        <v>1</v>
      </c>
      <c r="S8">
        <v>0</v>
      </c>
      <c r="T8">
        <v>12663</v>
      </c>
      <c r="U8">
        <v>12663</v>
      </c>
      <c r="V8">
        <v>0</v>
      </c>
      <c r="W8">
        <v>0</v>
      </c>
      <c r="X8">
        <v>0</v>
      </c>
      <c r="Y8">
        <v>1300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 t="s">
        <v>25</v>
      </c>
      <c r="AI8" t="s">
        <v>23</v>
      </c>
      <c r="AK8" t="s">
        <v>24</v>
      </c>
      <c r="AL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  <c r="AM8">
        <f>SUM(Rel_2026[[#This Row],[qtd_TrxContabil]:[VLR_EXP_SORTE]])</f>
        <v>27534</v>
      </c>
      <c r="AN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9" spans="1:40" x14ac:dyDescent="0.3">
      <c r="A9" t="str">
        <f>IF(Rel_2026[[#This Row],[Zero]]=0,"Zero",IF(Rel_2026[[#This Row],[Pontuação]]&gt;=10,"Sim",IF(Rel_2026[[#This Row],[Pontuação]]&gt;=5,"Próximo","Não")))</f>
        <v>Não</v>
      </c>
      <c r="B9" t="str">
        <f>IF(Rel_2026[[#This Row],[Zero]]=0,"Zero",IF(Rel_2026[[#This Row],[Pontuação2]]&gt;=10,"Sim",IF(Rel_2026[[#This Row],[Pontuação2]]&gt;=5,"Próximo","Não")))</f>
        <v>Não</v>
      </c>
      <c r="C9" t="s">
        <v>339</v>
      </c>
      <c r="D9" t="str">
        <f>LEFT(Rel_2026[[#This Row],[ag_pacb]],4)</f>
        <v>5792</v>
      </c>
      <c r="E9">
        <v>188495</v>
      </c>
      <c r="F9" t="s">
        <v>108</v>
      </c>
      <c r="G9" t="s">
        <v>109</v>
      </c>
      <c r="H9">
        <v>45152</v>
      </c>
      <c r="I9" t="s">
        <v>43</v>
      </c>
      <c r="J9" t="s">
        <v>110</v>
      </c>
      <c r="K9">
        <v>43937</v>
      </c>
      <c r="L9">
        <v>46154</v>
      </c>
      <c r="M9" t="s">
        <v>44</v>
      </c>
      <c r="N9">
        <v>46254</v>
      </c>
      <c r="O9">
        <v>1188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25</v>
      </c>
      <c r="AI9" t="s">
        <v>23</v>
      </c>
      <c r="AK9" t="s">
        <v>24</v>
      </c>
      <c r="AL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">
        <f>SUM(Rel_2026[[#This Row],[qtd_TrxContabil]:[VLR_EXP_SORTE]])</f>
        <v>1188</v>
      </c>
      <c r="AN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" spans="1:40" x14ac:dyDescent="0.3">
      <c r="A10" t="str">
        <f>IF(Rel_2026[[#This Row],[Zero]]=0,"Zero",IF(Rel_2026[[#This Row],[Pontuação]]&gt;=10,"Sim",IF(Rel_2026[[#This Row],[Pontuação]]&gt;=5,"Próximo","Não")))</f>
        <v>Sim</v>
      </c>
      <c r="B10" t="str">
        <f>IF(Rel_2026[[#This Row],[Zero]]=0,"Zero",IF(Rel_2026[[#This Row],[Pontuação2]]&gt;=10,"Sim",IF(Rel_2026[[#This Row],[Pontuação2]]&gt;=5,"Próximo","Não")))</f>
        <v>Sim</v>
      </c>
      <c r="C10" t="s">
        <v>339</v>
      </c>
      <c r="D10" t="str">
        <f>LEFT(Rel_2026[[#This Row],[ag_pacb]],4)</f>
        <v>5792</v>
      </c>
      <c r="E10">
        <v>188500</v>
      </c>
      <c r="F10" t="s">
        <v>91</v>
      </c>
      <c r="G10" t="s">
        <v>92</v>
      </c>
      <c r="H10">
        <v>45096</v>
      </c>
      <c r="I10" t="s">
        <v>43</v>
      </c>
      <c r="J10" t="s">
        <v>93</v>
      </c>
      <c r="K10">
        <v>43956</v>
      </c>
      <c r="L10">
        <v>44718</v>
      </c>
      <c r="M10" t="s">
        <v>44</v>
      </c>
      <c r="N10">
        <v>46254</v>
      </c>
      <c r="O10">
        <v>1682</v>
      </c>
      <c r="P10">
        <v>2</v>
      </c>
      <c r="Q10">
        <v>2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25</v>
      </c>
      <c r="AI10" t="s">
        <v>23</v>
      </c>
      <c r="AK10" t="s">
        <v>24</v>
      </c>
      <c r="AL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0">
        <f>SUM(Rel_2026[[#This Row],[qtd_TrxContabil]:[VLR_EXP_SORTE]])</f>
        <v>1688</v>
      </c>
      <c r="AN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1" spans="1:40" x14ac:dyDescent="0.3">
      <c r="A11" t="str">
        <f>IF(Rel_2026[[#This Row],[Zero]]=0,"Zero",IF(Rel_2026[[#This Row],[Pontuação]]&gt;=10,"Sim",IF(Rel_2026[[#This Row],[Pontuação]]&gt;=5,"Próximo","Não")))</f>
        <v>Sim</v>
      </c>
      <c r="B11" t="str">
        <f>IF(Rel_2026[[#This Row],[Zero]]=0,"Zero",IF(Rel_2026[[#This Row],[Pontuação2]]&gt;=10,"Sim",IF(Rel_2026[[#This Row],[Pontuação2]]&gt;=5,"Próximo","Não")))</f>
        <v>Sim</v>
      </c>
      <c r="C11" t="s">
        <v>339</v>
      </c>
      <c r="D11" t="str">
        <f>LEFT(Rel_2026[[#This Row],[ag_pacb]],4)</f>
        <v>5792</v>
      </c>
      <c r="E11">
        <v>82525</v>
      </c>
      <c r="F11" t="s">
        <v>111</v>
      </c>
      <c r="G11" t="s">
        <v>112</v>
      </c>
      <c r="H11">
        <v>44365</v>
      </c>
      <c r="I11" t="s">
        <v>43</v>
      </c>
      <c r="J11" t="s">
        <v>99</v>
      </c>
      <c r="K11">
        <v>42137</v>
      </c>
      <c r="L11">
        <v>45575</v>
      </c>
      <c r="M11" t="s">
        <v>44</v>
      </c>
      <c r="N11">
        <v>46254</v>
      </c>
      <c r="O11">
        <v>949</v>
      </c>
      <c r="P11">
        <v>2</v>
      </c>
      <c r="Q11">
        <v>1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22</v>
      </c>
      <c r="AI11" t="s">
        <v>23</v>
      </c>
      <c r="AK11" t="s">
        <v>24</v>
      </c>
      <c r="AL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1">
        <f>SUM(Rel_2026[[#This Row],[qtd_TrxContabil]:[VLR_EXP_SORTE]])</f>
        <v>954</v>
      </c>
      <c r="AN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12" spans="1:40" x14ac:dyDescent="0.3">
      <c r="A12" t="str">
        <f>IF(Rel_2026[[#This Row],[Zero]]=0,"Zero",IF(Rel_2026[[#This Row],[Pontuação]]&gt;=10,"Sim",IF(Rel_2026[[#This Row],[Pontuação]]&gt;=5,"Próximo","Não")))</f>
        <v>Sim</v>
      </c>
      <c r="B12" t="str">
        <f>IF(Rel_2026[[#This Row],[Zero]]=0,"Zero",IF(Rel_2026[[#This Row],[Pontuação2]]&gt;=10,"Sim",IF(Rel_2026[[#This Row],[Pontuação2]]&gt;=5,"Próximo","Não")))</f>
        <v>Sim</v>
      </c>
      <c r="C12" t="s">
        <v>339</v>
      </c>
      <c r="D12" t="str">
        <f>LEFT(Rel_2026[[#This Row],[ag_pacb]],4)</f>
        <v>5792</v>
      </c>
      <c r="E12">
        <v>87946</v>
      </c>
      <c r="F12" t="s">
        <v>147</v>
      </c>
      <c r="G12" t="s">
        <v>148</v>
      </c>
      <c r="H12">
        <v>44415</v>
      </c>
      <c r="I12" t="s">
        <v>43</v>
      </c>
      <c r="J12" t="s">
        <v>144</v>
      </c>
      <c r="K12">
        <v>42233</v>
      </c>
      <c r="L12">
        <v>46093</v>
      </c>
      <c r="M12" t="s">
        <v>44</v>
      </c>
      <c r="N12">
        <v>46254</v>
      </c>
      <c r="O12">
        <v>500</v>
      </c>
      <c r="P12">
        <v>4</v>
      </c>
      <c r="Q12">
        <v>4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 t="s">
        <v>25</v>
      </c>
      <c r="AI12" t="s">
        <v>23</v>
      </c>
      <c r="AK12" t="s">
        <v>24</v>
      </c>
      <c r="AL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28</v>
      </c>
      <c r="AM12">
        <f>SUM(Rel_2026[[#This Row],[qtd_TrxContabil]:[VLR_EXP_SORTE]])</f>
        <v>515</v>
      </c>
      <c r="AN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40</v>
      </c>
    </row>
    <row r="13" spans="1:40" x14ac:dyDescent="0.3">
      <c r="A13" t="str">
        <f>IF(Rel_2026[[#This Row],[Zero]]=0,"Zero",IF(Rel_2026[[#This Row],[Pontuação]]&gt;=10,"Sim",IF(Rel_2026[[#This Row],[Pontuação]]&gt;=5,"Próximo","Não")))</f>
        <v>Não</v>
      </c>
      <c r="B13" t="str">
        <f>IF(Rel_2026[[#This Row],[Zero]]=0,"Zero",IF(Rel_2026[[#This Row],[Pontuação2]]&gt;=10,"Sim",IF(Rel_2026[[#This Row],[Pontuação2]]&gt;=5,"Próximo","Não")))</f>
        <v>Não</v>
      </c>
      <c r="C13" t="s">
        <v>339</v>
      </c>
      <c r="D13" t="str">
        <f>LEFT(Rel_2026[[#This Row],[ag_pacb]],4)</f>
        <v>5792</v>
      </c>
      <c r="E13">
        <v>415055</v>
      </c>
      <c r="F13" t="s">
        <v>134</v>
      </c>
      <c r="G13" t="s">
        <v>135</v>
      </c>
      <c r="H13">
        <v>45870</v>
      </c>
      <c r="I13" t="s">
        <v>43</v>
      </c>
      <c r="J13" t="s">
        <v>102</v>
      </c>
      <c r="K13">
        <v>45861</v>
      </c>
      <c r="L13">
        <v>45875</v>
      </c>
      <c r="M13" t="s">
        <v>44</v>
      </c>
      <c r="N13">
        <v>46249</v>
      </c>
      <c r="O13">
        <v>45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25</v>
      </c>
      <c r="AI13" t="s">
        <v>23</v>
      </c>
      <c r="AK13" t="s">
        <v>24</v>
      </c>
      <c r="AL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3">
        <f>SUM(Rel_2026[[#This Row],[qtd_TrxContabil]:[VLR_EXP_SORTE]])</f>
        <v>45</v>
      </c>
      <c r="AN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4" spans="1:40" x14ac:dyDescent="0.3">
      <c r="A14" t="str">
        <f>IF(Rel_2026[[#This Row],[Zero]]=0,"Zero",IF(Rel_2026[[#This Row],[Pontuação]]&gt;=10,"Sim",IF(Rel_2026[[#This Row],[Pontuação]]&gt;=5,"Próximo","Não")))</f>
        <v>Sim</v>
      </c>
      <c r="B14" t="str">
        <f>IF(Rel_2026[[#This Row],[Zero]]=0,"Zero",IF(Rel_2026[[#This Row],[Pontuação2]]&gt;=10,"Sim",IF(Rel_2026[[#This Row],[Pontuação2]]&gt;=5,"Próximo","Não")))</f>
        <v>Sim</v>
      </c>
      <c r="C14" t="s">
        <v>339</v>
      </c>
      <c r="D14" t="str">
        <f>LEFT(Rel_2026[[#This Row],[ag_pacb]],4)</f>
        <v>5792</v>
      </c>
      <c r="E14">
        <v>410173</v>
      </c>
      <c r="F14" t="s">
        <v>97</v>
      </c>
      <c r="G14" t="s">
        <v>98</v>
      </c>
      <c r="H14">
        <v>45729</v>
      </c>
      <c r="I14" t="s">
        <v>43</v>
      </c>
      <c r="J14" t="s">
        <v>99</v>
      </c>
      <c r="K14">
        <v>45714</v>
      </c>
      <c r="L14">
        <v>46099</v>
      </c>
      <c r="M14" t="s">
        <v>44</v>
      </c>
      <c r="N14">
        <v>46254</v>
      </c>
      <c r="O14">
        <v>578</v>
      </c>
      <c r="P14">
        <v>4</v>
      </c>
      <c r="Q14">
        <v>0</v>
      </c>
      <c r="R14">
        <v>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22</v>
      </c>
      <c r="AI14" t="s">
        <v>23</v>
      </c>
      <c r="AK14" t="s">
        <v>24</v>
      </c>
      <c r="AL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14">
        <f>SUM(Rel_2026[[#This Row],[qtd_TrxContabil]:[VLR_EXP_SORTE]])</f>
        <v>586</v>
      </c>
      <c r="AN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15" spans="1:40" x14ac:dyDescent="0.3">
      <c r="A15" t="str">
        <f>IF(Rel_2026[[#This Row],[Zero]]=0,"Zero",IF(Rel_2026[[#This Row],[Pontuação]]&gt;=10,"Sim",IF(Rel_2026[[#This Row],[Pontuação]]&gt;=5,"Próximo","Não")))</f>
        <v>Sim</v>
      </c>
      <c r="B15" t="str">
        <f>IF(Rel_2026[[#This Row],[Zero]]=0,"Zero",IF(Rel_2026[[#This Row],[Pontuação2]]&gt;=10,"Sim",IF(Rel_2026[[#This Row],[Pontuação2]]&gt;=5,"Próximo","Não")))</f>
        <v>Sim</v>
      </c>
      <c r="C15" t="s">
        <v>339</v>
      </c>
      <c r="D15" t="str">
        <f>LEFT(Rel_2026[[#This Row],[ag_pacb]],4)</f>
        <v>5792</v>
      </c>
      <c r="E15">
        <v>161094</v>
      </c>
      <c r="F15" t="s">
        <v>138</v>
      </c>
      <c r="G15" t="s">
        <v>139</v>
      </c>
      <c r="H15">
        <v>44154</v>
      </c>
      <c r="I15" t="s">
        <v>43</v>
      </c>
      <c r="J15" t="s">
        <v>110</v>
      </c>
      <c r="K15">
        <v>43042</v>
      </c>
      <c r="L15">
        <v>46253</v>
      </c>
      <c r="M15" t="s">
        <v>44</v>
      </c>
      <c r="N15">
        <v>46254</v>
      </c>
      <c r="O15">
        <v>943</v>
      </c>
      <c r="P15">
        <v>0</v>
      </c>
      <c r="Q15">
        <v>0</v>
      </c>
      <c r="R15">
        <v>0</v>
      </c>
      <c r="S15">
        <v>0</v>
      </c>
      <c r="T15">
        <v>8520</v>
      </c>
      <c r="U15">
        <v>8520</v>
      </c>
      <c r="V15">
        <v>0</v>
      </c>
      <c r="W15">
        <v>0</v>
      </c>
      <c r="X15">
        <v>0</v>
      </c>
      <c r="Y15">
        <v>1070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25</v>
      </c>
      <c r="AI15" t="s">
        <v>23</v>
      </c>
      <c r="AK15" t="s">
        <v>24</v>
      </c>
      <c r="AL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15">
        <f>SUM(Rel_2026[[#This Row],[qtd_TrxContabil]:[VLR_EXP_SORTE]])</f>
        <v>19053</v>
      </c>
      <c r="AN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6" spans="1:40" x14ac:dyDescent="0.3">
      <c r="A16" t="str">
        <f>IF(Rel_2026[[#This Row],[Zero]]=0,"Zero",IF(Rel_2026[[#This Row],[Pontuação]]&gt;=10,"Sim",IF(Rel_2026[[#This Row],[Pontuação]]&gt;=5,"Próximo","Não")))</f>
        <v>Sim</v>
      </c>
      <c r="B16" t="str">
        <f>IF(Rel_2026[[#This Row],[Zero]]=0,"Zero",IF(Rel_2026[[#This Row],[Pontuação2]]&gt;=10,"Sim",IF(Rel_2026[[#This Row],[Pontuação2]]&gt;=5,"Próximo","Não")))</f>
        <v>Sim</v>
      </c>
      <c r="C16" t="s">
        <v>339</v>
      </c>
      <c r="D16" t="str">
        <f>LEFT(Rel_2026[[#This Row],[ag_pacb]],4)</f>
        <v>5792</v>
      </c>
      <c r="E16">
        <v>153607</v>
      </c>
      <c r="F16" t="s">
        <v>142</v>
      </c>
      <c r="G16" t="s">
        <v>143</v>
      </c>
      <c r="H16">
        <v>45127</v>
      </c>
      <c r="I16" t="s">
        <v>43</v>
      </c>
      <c r="J16" t="s">
        <v>144</v>
      </c>
      <c r="K16">
        <v>42636</v>
      </c>
      <c r="L16">
        <v>46156</v>
      </c>
      <c r="M16" t="s">
        <v>44</v>
      </c>
      <c r="N16">
        <v>46254</v>
      </c>
      <c r="O16">
        <v>795</v>
      </c>
      <c r="P16">
        <v>3</v>
      </c>
      <c r="Q16">
        <v>0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 t="s">
        <v>25</v>
      </c>
      <c r="AI16" t="s">
        <v>23</v>
      </c>
      <c r="AK16" t="s">
        <v>24</v>
      </c>
      <c r="AL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6">
        <f>SUM(Rel_2026[[#This Row],[qtd_TrxContabil]:[VLR_EXP_SORTE]])</f>
        <v>804</v>
      </c>
      <c r="AN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19</v>
      </c>
    </row>
    <row r="17" spans="1:40" x14ac:dyDescent="0.3">
      <c r="A17" t="str">
        <f>IF(Rel_2026[[#This Row],[Zero]]=0,"Zero",IF(Rel_2026[[#This Row],[Pontuação]]&gt;=10,"Sim",IF(Rel_2026[[#This Row],[Pontuação]]&gt;=5,"Próximo","Não")))</f>
        <v>Não</v>
      </c>
      <c r="B17" t="str">
        <f>IF(Rel_2026[[#This Row],[Zero]]=0,"Zero",IF(Rel_2026[[#This Row],[Pontuação2]]&gt;=10,"Sim",IF(Rel_2026[[#This Row],[Pontuação2]]&gt;=5,"Próximo","Não")))</f>
        <v>Não</v>
      </c>
      <c r="C17" t="s">
        <v>339</v>
      </c>
      <c r="D17" t="str">
        <f>LEFT(Rel_2026[[#This Row],[ag_pacb]],4)</f>
        <v>5792</v>
      </c>
      <c r="E17">
        <v>164943</v>
      </c>
      <c r="F17" t="s">
        <v>105</v>
      </c>
      <c r="G17" t="s">
        <v>106</v>
      </c>
      <c r="H17">
        <v>45541</v>
      </c>
      <c r="I17" t="s">
        <v>43</v>
      </c>
      <c r="J17" t="s">
        <v>107</v>
      </c>
      <c r="K17">
        <v>43922</v>
      </c>
      <c r="L17">
        <v>44911</v>
      </c>
      <c r="M17" t="s">
        <v>44</v>
      </c>
      <c r="N17">
        <v>46254</v>
      </c>
      <c r="O17">
        <v>283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22</v>
      </c>
      <c r="AI17" t="s">
        <v>23</v>
      </c>
      <c r="AK17" t="s">
        <v>24</v>
      </c>
      <c r="AL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7">
        <f>SUM(Rel_2026[[#This Row],[qtd_TrxContabil]:[VLR_EXP_SORTE]])</f>
        <v>283</v>
      </c>
      <c r="AN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8" spans="1:40" x14ac:dyDescent="0.3">
      <c r="A18" t="str">
        <f>IF(Rel_2026[[#This Row],[Zero]]=0,"Zero",IF(Rel_2026[[#This Row],[Pontuação]]&gt;=10,"Sim",IF(Rel_2026[[#This Row],[Pontuação]]&gt;=5,"Próximo","Não")))</f>
        <v>Não</v>
      </c>
      <c r="B18" t="str">
        <f>IF(Rel_2026[[#This Row],[Zero]]=0,"Zero",IF(Rel_2026[[#This Row],[Pontuação2]]&gt;=10,"Sim",IF(Rel_2026[[#This Row],[Pontuação2]]&gt;=5,"Próximo","Não")))</f>
        <v>Não</v>
      </c>
      <c r="C18" t="s">
        <v>339</v>
      </c>
      <c r="D18" t="str">
        <f>LEFT(Rel_2026[[#This Row],[ag_pacb]],4)</f>
        <v>5792</v>
      </c>
      <c r="E18">
        <v>403204</v>
      </c>
      <c r="F18" t="s">
        <v>103</v>
      </c>
      <c r="G18" t="s">
        <v>104</v>
      </c>
      <c r="H18">
        <v>45450</v>
      </c>
      <c r="I18" t="s">
        <v>43</v>
      </c>
      <c r="J18" t="s">
        <v>99</v>
      </c>
      <c r="K18">
        <v>45429</v>
      </c>
      <c r="L18">
        <v>45454</v>
      </c>
      <c r="M18" t="s">
        <v>44</v>
      </c>
      <c r="N18">
        <v>46254</v>
      </c>
      <c r="O18">
        <v>739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22</v>
      </c>
      <c r="AI18" t="s">
        <v>23</v>
      </c>
      <c r="AK18" t="s">
        <v>24</v>
      </c>
      <c r="AL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8">
        <f>SUM(Rel_2026[[#This Row],[qtd_TrxContabil]:[VLR_EXP_SORTE]])</f>
        <v>739</v>
      </c>
      <c r="AN1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9" spans="1:40" x14ac:dyDescent="0.3">
      <c r="A19" t="str">
        <f>IF(Rel_2026[[#This Row],[Zero]]=0,"Zero",IF(Rel_2026[[#This Row],[Pontuação]]&gt;=10,"Sim",IF(Rel_2026[[#This Row],[Pontuação]]&gt;=5,"Próximo","Não")))</f>
        <v>Sim</v>
      </c>
      <c r="B19" t="str">
        <f>IF(Rel_2026[[#This Row],[Zero]]=0,"Zero",IF(Rel_2026[[#This Row],[Pontuação2]]&gt;=10,"Sim",IF(Rel_2026[[#This Row],[Pontuação2]]&gt;=5,"Próximo","Não")))</f>
        <v>Sim</v>
      </c>
      <c r="C19" t="s">
        <v>339</v>
      </c>
      <c r="D19" t="str">
        <f>LEFT(Rel_2026[[#This Row],[ag_pacb]],4)</f>
        <v>5792</v>
      </c>
      <c r="E19">
        <v>140465</v>
      </c>
      <c r="F19" t="s">
        <v>126</v>
      </c>
      <c r="G19" t="s">
        <v>127</v>
      </c>
      <c r="H19">
        <v>44564</v>
      </c>
      <c r="I19" t="s">
        <v>43</v>
      </c>
      <c r="J19" t="s">
        <v>128</v>
      </c>
      <c r="K19">
        <v>42153</v>
      </c>
      <c r="L19">
        <v>45951</v>
      </c>
      <c r="M19" t="s">
        <v>44</v>
      </c>
      <c r="N19">
        <v>46254</v>
      </c>
      <c r="O19">
        <v>1471</v>
      </c>
      <c r="P19">
        <v>5</v>
      </c>
      <c r="Q19">
        <v>4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0</v>
      </c>
      <c r="AH19" t="s">
        <v>25</v>
      </c>
      <c r="AI19" t="s">
        <v>23</v>
      </c>
      <c r="AK19" t="s">
        <v>24</v>
      </c>
      <c r="AL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61</v>
      </c>
      <c r="AM19">
        <f>SUM(Rel_2026[[#This Row],[qtd_TrxContabil]:[VLR_EXP_SORTE]])</f>
        <v>4488</v>
      </c>
      <c r="AN1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76</v>
      </c>
    </row>
    <row r="20" spans="1:40" x14ac:dyDescent="0.3">
      <c r="A20" t="str">
        <f>IF(Rel_2026[[#This Row],[Zero]]=0,"Zero",IF(Rel_2026[[#This Row],[Pontuação]]&gt;=10,"Sim",IF(Rel_2026[[#This Row],[Pontuação]]&gt;=5,"Próximo","Não")))</f>
        <v>Sim</v>
      </c>
      <c r="B20" t="str">
        <f>IF(Rel_2026[[#This Row],[Zero]]=0,"Zero",IF(Rel_2026[[#This Row],[Pontuação2]]&gt;=10,"Sim",IF(Rel_2026[[#This Row],[Pontuação2]]&gt;=5,"Próximo","Não")))</f>
        <v>Sim</v>
      </c>
      <c r="C20" t="s">
        <v>339</v>
      </c>
      <c r="D20" t="str">
        <f>LEFT(Rel_2026[[#This Row],[ag_pacb]],4)</f>
        <v>5792</v>
      </c>
      <c r="E20">
        <v>45741</v>
      </c>
      <c r="F20" t="s">
        <v>145</v>
      </c>
      <c r="G20" t="s">
        <v>146</v>
      </c>
      <c r="H20">
        <v>44566</v>
      </c>
      <c r="I20" t="s">
        <v>43</v>
      </c>
      <c r="J20" t="s">
        <v>144</v>
      </c>
      <c r="K20">
        <v>43915</v>
      </c>
      <c r="L20">
        <v>46156</v>
      </c>
      <c r="M20" t="s">
        <v>44</v>
      </c>
      <c r="N20">
        <v>46254</v>
      </c>
      <c r="O20">
        <v>558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22</v>
      </c>
      <c r="AI20" t="s">
        <v>23</v>
      </c>
      <c r="AK20" t="s">
        <v>24</v>
      </c>
      <c r="AL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20">
        <f>SUM(Rel_2026[[#This Row],[qtd_TrxContabil]:[VLR_EXP_SORTE]])</f>
        <v>2058</v>
      </c>
      <c r="AN2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</row>
    <row r="21" spans="1:40" x14ac:dyDescent="0.3">
      <c r="A21" t="str">
        <f>IF(Rel_2026[[#This Row],[Zero]]=0,"Zero",IF(Rel_2026[[#This Row],[Pontuação]]&gt;=10,"Sim",IF(Rel_2026[[#This Row],[Pontuação]]&gt;=5,"Próximo","Não")))</f>
        <v>Próximo</v>
      </c>
      <c r="B21" t="str">
        <f>IF(Rel_2026[[#This Row],[Zero]]=0,"Zero",IF(Rel_2026[[#This Row],[Pontuação2]]&gt;=10,"Sim",IF(Rel_2026[[#This Row],[Pontuação2]]&gt;=5,"Próximo","Não")))</f>
        <v>Sim</v>
      </c>
      <c r="C21" t="s">
        <v>339</v>
      </c>
      <c r="D21" t="str">
        <f>LEFT(Rel_2026[[#This Row],[ag_pacb]],4)</f>
        <v>5792</v>
      </c>
      <c r="E21">
        <v>200238</v>
      </c>
      <c r="F21" t="s">
        <v>117</v>
      </c>
      <c r="G21" t="s">
        <v>118</v>
      </c>
      <c r="H21">
        <v>44634</v>
      </c>
      <c r="I21" t="s">
        <v>43</v>
      </c>
      <c r="J21" t="s">
        <v>119</v>
      </c>
      <c r="K21">
        <v>44378</v>
      </c>
      <c r="L21">
        <v>46253</v>
      </c>
      <c r="M21" t="s">
        <v>44</v>
      </c>
      <c r="N21">
        <v>46254</v>
      </c>
      <c r="O21">
        <v>577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 t="s">
        <v>25</v>
      </c>
      <c r="AI21" t="s">
        <v>23</v>
      </c>
      <c r="AK21" t="s">
        <v>24</v>
      </c>
      <c r="AL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1">
        <f>SUM(Rel_2026[[#This Row],[qtd_TrxContabil]:[VLR_EXP_SORTE]])</f>
        <v>581</v>
      </c>
      <c r="AN2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2" spans="1:40" x14ac:dyDescent="0.3">
      <c r="A22" t="str">
        <f>IF(Rel_2026[[#This Row],[Zero]]=0,"Zero",IF(Rel_2026[[#This Row],[Pontuação]]&gt;=10,"Sim",IF(Rel_2026[[#This Row],[Pontuação]]&gt;=5,"Próximo","Não")))</f>
        <v>Sim</v>
      </c>
      <c r="B22" t="str">
        <f>IF(Rel_2026[[#This Row],[Zero]]=0,"Zero",IF(Rel_2026[[#This Row],[Pontuação2]]&gt;=10,"Sim",IF(Rel_2026[[#This Row],[Pontuação2]]&gt;=5,"Próximo","Não")))</f>
        <v>Sim</v>
      </c>
      <c r="C22" t="s">
        <v>339</v>
      </c>
      <c r="D22" t="str">
        <f>LEFT(Rel_2026[[#This Row],[ag_pacb]],4)</f>
        <v>5792</v>
      </c>
      <c r="E22">
        <v>183166</v>
      </c>
      <c r="F22" t="s">
        <v>136</v>
      </c>
      <c r="G22" t="s">
        <v>137</v>
      </c>
      <c r="H22">
        <v>45226</v>
      </c>
      <c r="I22" t="s">
        <v>43</v>
      </c>
      <c r="J22" t="s">
        <v>128</v>
      </c>
      <c r="K22">
        <v>43991</v>
      </c>
      <c r="L22">
        <v>45621</v>
      </c>
      <c r="M22" t="s">
        <v>44</v>
      </c>
      <c r="N22">
        <v>46253</v>
      </c>
      <c r="O22">
        <v>384</v>
      </c>
      <c r="P22">
        <v>2</v>
      </c>
      <c r="Q22">
        <v>2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2500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 t="s">
        <v>25</v>
      </c>
      <c r="AI22" t="s">
        <v>23</v>
      </c>
      <c r="AK22" t="s">
        <v>24</v>
      </c>
      <c r="AL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  <c r="AM22">
        <f>SUM(Rel_2026[[#This Row],[qtd_TrxContabil]:[VLR_EXP_SORTE]])</f>
        <v>2892</v>
      </c>
      <c r="AN2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</row>
    <row r="23" spans="1:40" x14ac:dyDescent="0.3">
      <c r="A23" t="str">
        <f>IF(Rel_2026[[#This Row],[Zero]]=0,"Zero",IF(Rel_2026[[#This Row],[Pontuação]]&gt;=10,"Sim",IF(Rel_2026[[#This Row],[Pontuação]]&gt;=5,"Próximo","Não")))</f>
        <v>Não</v>
      </c>
      <c r="B23" t="str">
        <f>IF(Rel_2026[[#This Row],[Zero]]=0,"Zero",IF(Rel_2026[[#This Row],[Pontuação2]]&gt;=10,"Sim",IF(Rel_2026[[#This Row],[Pontuação2]]&gt;=5,"Próximo","Não")))</f>
        <v>Próximo</v>
      </c>
      <c r="C23" t="s">
        <v>339</v>
      </c>
      <c r="D23" t="str">
        <f>LEFT(Rel_2026[[#This Row],[ag_pacb]],4)</f>
        <v>5792</v>
      </c>
      <c r="E23">
        <v>233333</v>
      </c>
      <c r="F23" t="s">
        <v>129</v>
      </c>
      <c r="G23" t="s">
        <v>130</v>
      </c>
      <c r="H23">
        <v>44705</v>
      </c>
      <c r="I23" t="s">
        <v>43</v>
      </c>
      <c r="J23" t="s">
        <v>128</v>
      </c>
      <c r="K23">
        <v>45306</v>
      </c>
      <c r="L23">
        <v>44734</v>
      </c>
      <c r="M23" t="s">
        <v>44</v>
      </c>
      <c r="N23">
        <v>46254</v>
      </c>
      <c r="O23">
        <v>124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 t="s">
        <v>22</v>
      </c>
      <c r="AI23" t="s">
        <v>23</v>
      </c>
      <c r="AK23" t="s">
        <v>24</v>
      </c>
      <c r="AL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3">
        <f>SUM(Rel_2026[[#This Row],[qtd_TrxContabil]:[VLR_EXP_SORTE]])</f>
        <v>127</v>
      </c>
      <c r="AN2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24" spans="1:40" x14ac:dyDescent="0.3">
      <c r="A24" t="str">
        <f>IF(Rel_2026[[#This Row],[Zero]]=0,"Zero",IF(Rel_2026[[#This Row],[Pontuação]]&gt;=10,"Sim",IF(Rel_2026[[#This Row],[Pontuação]]&gt;=5,"Próximo","Não")))</f>
        <v>Próximo</v>
      </c>
      <c r="B24" t="str">
        <f>IF(Rel_2026[[#This Row],[Zero]]=0,"Zero",IF(Rel_2026[[#This Row],[Pontuação2]]&gt;=10,"Sim",IF(Rel_2026[[#This Row],[Pontuação2]]&gt;=5,"Próximo","Não")))</f>
        <v>Sim</v>
      </c>
      <c r="C24" t="s">
        <v>339</v>
      </c>
      <c r="D24" t="str">
        <f>LEFT(Rel_2026[[#This Row],[ag_pacb]],4)</f>
        <v>5792</v>
      </c>
      <c r="E24">
        <v>83792</v>
      </c>
      <c r="F24" t="s">
        <v>50</v>
      </c>
      <c r="G24" t="s">
        <v>152</v>
      </c>
      <c r="H24">
        <v>45120</v>
      </c>
      <c r="I24" t="s">
        <v>43</v>
      </c>
      <c r="J24" t="s">
        <v>93</v>
      </c>
      <c r="K24">
        <v>42137</v>
      </c>
      <c r="L24">
        <v>46183</v>
      </c>
      <c r="M24" t="s">
        <v>44</v>
      </c>
      <c r="N24">
        <v>46254</v>
      </c>
      <c r="O24">
        <v>1816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 t="s">
        <v>25</v>
      </c>
      <c r="AI24" t="s">
        <v>23</v>
      </c>
      <c r="AK24" t="s">
        <v>24</v>
      </c>
      <c r="AL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24">
        <f>SUM(Rel_2026[[#This Row],[qtd_TrxContabil]:[VLR_EXP_SORTE]])</f>
        <v>1820</v>
      </c>
      <c r="AN2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25" spans="1:40" x14ac:dyDescent="0.3">
      <c r="A25" t="str">
        <f>IF(Rel_2026[[#This Row],[Zero]]=0,"Zero",IF(Rel_2026[[#This Row],[Pontuação]]&gt;=10,"Sim",IF(Rel_2026[[#This Row],[Pontuação]]&gt;=5,"Próximo","Não")))</f>
        <v>Sim</v>
      </c>
      <c r="B25" t="str">
        <f>IF(Rel_2026[[#This Row],[Zero]]=0,"Zero",IF(Rel_2026[[#This Row],[Pontuação2]]&gt;=10,"Sim",IF(Rel_2026[[#This Row],[Pontuação2]]&gt;=5,"Próximo","Não")))</f>
        <v>Sim</v>
      </c>
      <c r="C25" t="s">
        <v>339</v>
      </c>
      <c r="D25" t="str">
        <f>LEFT(Rel_2026[[#This Row],[ag_pacb]],4)</f>
        <v>5792</v>
      </c>
      <c r="E25">
        <v>88695</v>
      </c>
      <c r="F25" t="s">
        <v>140</v>
      </c>
      <c r="G25" t="s">
        <v>141</v>
      </c>
      <c r="H25">
        <v>45161</v>
      </c>
      <c r="I25" t="s">
        <v>43</v>
      </c>
      <c r="J25" t="s">
        <v>128</v>
      </c>
      <c r="K25">
        <v>43927</v>
      </c>
      <c r="L25">
        <v>45531</v>
      </c>
      <c r="M25" t="s">
        <v>44</v>
      </c>
      <c r="N25">
        <v>46254</v>
      </c>
      <c r="O25">
        <v>591</v>
      </c>
      <c r="P25">
        <v>2</v>
      </c>
      <c r="Q25">
        <v>2</v>
      </c>
      <c r="R25">
        <v>0</v>
      </c>
      <c r="S25">
        <v>0</v>
      </c>
      <c r="T25">
        <v>27196</v>
      </c>
      <c r="U25">
        <v>27196</v>
      </c>
      <c r="V25">
        <v>0</v>
      </c>
      <c r="W25">
        <v>0</v>
      </c>
      <c r="X25">
        <v>0</v>
      </c>
      <c r="Y25">
        <v>3250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25</v>
      </c>
      <c r="AI25" t="s">
        <v>23</v>
      </c>
      <c r="AK25" t="s">
        <v>24</v>
      </c>
      <c r="AL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  <c r="AM25">
        <f>SUM(Rel_2026[[#This Row],[qtd_TrxContabil]:[VLR_EXP_SORTE]])</f>
        <v>58237</v>
      </c>
      <c r="AN2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74</v>
      </c>
    </row>
    <row r="26" spans="1:40" x14ac:dyDescent="0.3">
      <c r="A26" t="str">
        <f>IF(Rel_2026[[#This Row],[Zero]]=0,"Zero",IF(Rel_2026[[#This Row],[Pontuação]]&gt;=10,"Sim",IF(Rel_2026[[#This Row],[Pontuação]]&gt;=5,"Próximo","Não")))</f>
        <v>Sim</v>
      </c>
      <c r="B26" t="str">
        <f>IF(Rel_2026[[#This Row],[Zero]]=0,"Zero",IF(Rel_2026[[#This Row],[Pontuação2]]&gt;=10,"Sim",IF(Rel_2026[[#This Row],[Pontuação2]]&gt;=5,"Próximo","Não")))</f>
        <v>Sim</v>
      </c>
      <c r="C26" t="s">
        <v>339</v>
      </c>
      <c r="D26" t="str">
        <f>LEFT(Rel_2026[[#This Row],[ag_pacb]],4)</f>
        <v>5792</v>
      </c>
      <c r="E26">
        <v>157312</v>
      </c>
      <c r="F26" t="s">
        <v>153</v>
      </c>
      <c r="G26" t="s">
        <v>154</v>
      </c>
      <c r="H26">
        <v>46118</v>
      </c>
      <c r="I26" t="s">
        <v>43</v>
      </c>
      <c r="J26" t="s">
        <v>99</v>
      </c>
      <c r="K26">
        <v>42948</v>
      </c>
      <c r="L26">
        <v>46240</v>
      </c>
      <c r="M26" t="s">
        <v>44</v>
      </c>
      <c r="N26">
        <v>46254</v>
      </c>
      <c r="O26">
        <v>579</v>
      </c>
      <c r="P26">
        <v>7</v>
      </c>
      <c r="Q26">
        <v>0</v>
      </c>
      <c r="R26">
        <v>6</v>
      </c>
      <c r="S26">
        <v>5</v>
      </c>
      <c r="T26">
        <v>10263</v>
      </c>
      <c r="U26">
        <v>10263</v>
      </c>
      <c r="V26">
        <v>0</v>
      </c>
      <c r="W26">
        <v>0</v>
      </c>
      <c r="X26">
        <v>0</v>
      </c>
      <c r="Y26">
        <v>200</v>
      </c>
      <c r="Z26">
        <v>0</v>
      </c>
      <c r="AA26">
        <v>0</v>
      </c>
      <c r="AB26">
        <v>4</v>
      </c>
      <c r="AC26">
        <v>0</v>
      </c>
      <c r="AD26">
        <v>0</v>
      </c>
      <c r="AE26">
        <v>0</v>
      </c>
      <c r="AF26">
        <v>7</v>
      </c>
      <c r="AG26">
        <v>0</v>
      </c>
      <c r="AH26" t="s">
        <v>22</v>
      </c>
      <c r="AI26" t="s">
        <v>23</v>
      </c>
      <c r="AK26" t="s">
        <v>24</v>
      </c>
      <c r="AL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33</v>
      </c>
      <c r="AM26">
        <f>SUM(Rel_2026[[#This Row],[qtd_TrxContabil]:[VLR_EXP_SORTE]])</f>
        <v>21334</v>
      </c>
      <c r="AN2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51</v>
      </c>
    </row>
    <row r="27" spans="1:40" x14ac:dyDescent="0.3">
      <c r="A27" t="str">
        <f>IF(Rel_2026[[#This Row],[Zero]]=0,"Zero",IF(Rel_2026[[#This Row],[Pontuação]]&gt;=10,"Sim",IF(Rel_2026[[#This Row],[Pontuação]]&gt;=5,"Próximo","Não")))</f>
        <v>Sim</v>
      </c>
      <c r="B27" t="str">
        <f>IF(Rel_2026[[#This Row],[Zero]]=0,"Zero",IF(Rel_2026[[#This Row],[Pontuação2]]&gt;=10,"Sim",IF(Rel_2026[[#This Row],[Pontuação2]]&gt;=5,"Próximo","Não")))</f>
        <v>Sim</v>
      </c>
      <c r="C27" t="s">
        <v>339</v>
      </c>
      <c r="D27" t="str">
        <f>LEFT(Rel_2026[[#This Row],[ag_pacb]],4)</f>
        <v>5792</v>
      </c>
      <c r="E27">
        <v>176297</v>
      </c>
      <c r="F27" t="s">
        <v>124</v>
      </c>
      <c r="G27" t="s">
        <v>125</v>
      </c>
      <c r="H27">
        <v>45147</v>
      </c>
      <c r="I27" t="s">
        <v>43</v>
      </c>
      <c r="J27" t="s">
        <v>110</v>
      </c>
      <c r="K27">
        <v>43672</v>
      </c>
      <c r="L27">
        <v>46196</v>
      </c>
      <c r="M27" t="s">
        <v>44</v>
      </c>
      <c r="N27">
        <v>46254</v>
      </c>
      <c r="O27">
        <v>2146</v>
      </c>
      <c r="P27">
        <v>2</v>
      </c>
      <c r="Q27">
        <v>1</v>
      </c>
      <c r="R27">
        <v>2</v>
      </c>
      <c r="S27">
        <v>0</v>
      </c>
      <c r="T27">
        <v>53939</v>
      </c>
      <c r="U27">
        <v>53939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 t="s">
        <v>25</v>
      </c>
      <c r="AI27" t="s">
        <v>23</v>
      </c>
      <c r="AK27" t="s">
        <v>24</v>
      </c>
      <c r="AL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64</v>
      </c>
      <c r="AM27">
        <f>SUM(Rel_2026[[#This Row],[qtd_TrxContabil]:[VLR_EXP_SORTE]])</f>
        <v>110031</v>
      </c>
      <c r="AN2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</row>
    <row r="28" spans="1:40" x14ac:dyDescent="0.3">
      <c r="A28" t="str">
        <f>IF(Rel_2026[[#This Row],[Zero]]=0,"Zero",IF(Rel_2026[[#This Row],[Pontuação]]&gt;=10,"Sim",IF(Rel_2026[[#This Row],[Pontuação]]&gt;=5,"Próximo","Não")))</f>
        <v>Sim</v>
      </c>
      <c r="B28" t="str">
        <f>IF(Rel_2026[[#This Row],[Zero]]=0,"Zero",IF(Rel_2026[[#This Row],[Pontuação2]]&gt;=10,"Sim",IF(Rel_2026[[#This Row],[Pontuação2]]&gt;=5,"Próximo","Não")))</f>
        <v>Sim</v>
      </c>
      <c r="C28" t="s">
        <v>42</v>
      </c>
      <c r="D28" t="str">
        <f>LEFT(Rel_2026[[#This Row],[ag_pacb]],4)</f>
        <v>5806</v>
      </c>
      <c r="E28">
        <v>250808</v>
      </c>
      <c r="F28" t="s">
        <v>155</v>
      </c>
      <c r="G28" t="s">
        <v>156</v>
      </c>
      <c r="H28">
        <v>45240</v>
      </c>
      <c r="I28" t="s">
        <v>43</v>
      </c>
      <c r="J28" t="s">
        <v>157</v>
      </c>
      <c r="K28">
        <v>45306</v>
      </c>
      <c r="L28">
        <v>46168</v>
      </c>
      <c r="M28" t="s">
        <v>44</v>
      </c>
      <c r="N28">
        <v>46254</v>
      </c>
      <c r="O28">
        <v>491</v>
      </c>
      <c r="P28">
        <v>6</v>
      </c>
      <c r="Q28">
        <v>2</v>
      </c>
      <c r="R28">
        <v>6</v>
      </c>
      <c r="S28">
        <v>0</v>
      </c>
      <c r="T28">
        <v>17271</v>
      </c>
      <c r="U28">
        <v>17271</v>
      </c>
      <c r="V28">
        <v>0</v>
      </c>
      <c r="W28">
        <v>0</v>
      </c>
      <c r="X28">
        <v>0</v>
      </c>
      <c r="Y28">
        <v>219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22</v>
      </c>
      <c r="AI28" t="s">
        <v>23</v>
      </c>
      <c r="AK28" t="s">
        <v>24</v>
      </c>
      <c r="AL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  <c r="AM28">
        <f>SUM(Rel_2026[[#This Row],[qtd_TrxContabil]:[VLR_EXP_SORTE]])</f>
        <v>35266</v>
      </c>
      <c r="AN2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63</v>
      </c>
    </row>
    <row r="29" spans="1:40" x14ac:dyDescent="0.3">
      <c r="A29" t="str">
        <f>IF(Rel_2026[[#This Row],[Zero]]=0,"Zero",IF(Rel_2026[[#This Row],[Pontuação]]&gt;=10,"Sim",IF(Rel_2026[[#This Row],[Pontuação]]&gt;=5,"Próximo","Não")))</f>
        <v>Não</v>
      </c>
      <c r="B29" t="str">
        <f>IF(Rel_2026[[#This Row],[Zero]]=0,"Zero",IF(Rel_2026[[#This Row],[Pontuação2]]&gt;=10,"Sim",IF(Rel_2026[[#This Row],[Pontuação2]]&gt;=5,"Próximo","Não")))</f>
        <v>Próximo</v>
      </c>
      <c r="C29" t="s">
        <v>42</v>
      </c>
      <c r="D29" t="str">
        <f>LEFT(Rel_2026[[#This Row],[ag_pacb]],4)</f>
        <v>0985</v>
      </c>
      <c r="E29">
        <v>155268</v>
      </c>
      <c r="F29" t="s">
        <v>160</v>
      </c>
      <c r="G29" t="s">
        <v>161</v>
      </c>
      <c r="H29">
        <v>44694</v>
      </c>
      <c r="I29" t="s">
        <v>43</v>
      </c>
      <c r="J29" t="s">
        <v>162</v>
      </c>
      <c r="K29">
        <v>43915</v>
      </c>
      <c r="L29">
        <v>44582</v>
      </c>
      <c r="M29" t="s">
        <v>44</v>
      </c>
      <c r="N29">
        <v>46254</v>
      </c>
      <c r="O29">
        <v>791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25</v>
      </c>
      <c r="AI29" t="s">
        <v>23</v>
      </c>
      <c r="AK29" t="s">
        <v>24</v>
      </c>
      <c r="AL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29">
        <f>SUM(Rel_2026[[#This Row],[qtd_TrxContabil]:[VLR_EXP_SORTE]])</f>
        <v>793</v>
      </c>
      <c r="AN2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30" spans="1:40" x14ac:dyDescent="0.3">
      <c r="A30" t="str">
        <f>IF(Rel_2026[[#This Row],[Zero]]=0,"Zero",IF(Rel_2026[[#This Row],[Pontuação]]&gt;=10,"Sim",IF(Rel_2026[[#This Row],[Pontuação]]&gt;=5,"Próximo","Não")))</f>
        <v>Não</v>
      </c>
      <c r="B30" t="str">
        <f>IF(Rel_2026[[#This Row],[Zero]]=0,"Zero",IF(Rel_2026[[#This Row],[Pontuação2]]&gt;=10,"Sim",IF(Rel_2026[[#This Row],[Pontuação2]]&gt;=5,"Próximo","Não")))</f>
        <v>Não</v>
      </c>
      <c r="C30" t="s">
        <v>42</v>
      </c>
      <c r="D30" t="str">
        <f>LEFT(Rel_2026[[#This Row],[ag_pacb]],4)</f>
        <v>1522</v>
      </c>
      <c r="E30">
        <v>248557</v>
      </c>
      <c r="F30" t="s">
        <v>163</v>
      </c>
      <c r="G30" t="s">
        <v>164</v>
      </c>
      <c r="H30">
        <v>45093</v>
      </c>
      <c r="I30" t="s">
        <v>43</v>
      </c>
      <c r="J30" t="s">
        <v>165</v>
      </c>
      <c r="K30">
        <v>45306</v>
      </c>
      <c r="L30">
        <v>45111</v>
      </c>
      <c r="M30" t="s">
        <v>44</v>
      </c>
      <c r="N30">
        <v>46253</v>
      </c>
      <c r="O30">
        <v>431</v>
      </c>
      <c r="P30">
        <v>0</v>
      </c>
      <c r="Q30">
        <v>0</v>
      </c>
      <c r="R30">
        <v>0</v>
      </c>
      <c r="S30">
        <v>0</v>
      </c>
      <c r="T30">
        <v>4000</v>
      </c>
      <c r="U30">
        <v>4000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25</v>
      </c>
      <c r="AI30" t="s">
        <v>23</v>
      </c>
      <c r="AK30" t="s">
        <v>24</v>
      </c>
      <c r="AL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30">
        <f>SUM(Rel_2026[[#This Row],[qtd_TrxContabil]:[VLR_EXP_SORTE]])</f>
        <v>8431</v>
      </c>
      <c r="AN3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31" spans="1:40" x14ac:dyDescent="0.3">
      <c r="A31" t="str">
        <f>IF(Rel_2026[[#This Row],[Zero]]=0,"Zero",IF(Rel_2026[[#This Row],[Pontuação]]&gt;=10,"Sim",IF(Rel_2026[[#This Row],[Pontuação]]&gt;=5,"Próximo","Não")))</f>
        <v>Sim</v>
      </c>
      <c r="B31" t="str">
        <f>IF(Rel_2026[[#This Row],[Zero]]=0,"Zero",IF(Rel_2026[[#This Row],[Pontuação2]]&gt;=10,"Sim",IF(Rel_2026[[#This Row],[Pontuação2]]&gt;=5,"Próximo","Não")))</f>
        <v>Sim</v>
      </c>
      <c r="C31" t="s">
        <v>42</v>
      </c>
      <c r="D31" t="str">
        <f>LEFT(Rel_2026[[#This Row],[ag_pacb]],4)</f>
        <v>1522</v>
      </c>
      <c r="E31">
        <v>401567</v>
      </c>
      <c r="F31" t="s">
        <v>172</v>
      </c>
      <c r="G31" t="s">
        <v>173</v>
      </c>
      <c r="H31">
        <v>45365</v>
      </c>
      <c r="I31" t="s">
        <v>43</v>
      </c>
      <c r="J31" t="s">
        <v>174</v>
      </c>
      <c r="K31">
        <v>45350</v>
      </c>
      <c r="L31">
        <v>45377</v>
      </c>
      <c r="M31" t="s">
        <v>44</v>
      </c>
      <c r="N31">
        <v>46254</v>
      </c>
      <c r="O31">
        <v>503</v>
      </c>
      <c r="P31">
        <v>2</v>
      </c>
      <c r="Q31">
        <v>2</v>
      </c>
      <c r="R31">
        <v>2</v>
      </c>
      <c r="S31">
        <v>0</v>
      </c>
      <c r="T31">
        <v>9500</v>
      </c>
      <c r="U31">
        <v>9500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 t="s">
        <v>22</v>
      </c>
      <c r="AI31" t="s">
        <v>23</v>
      </c>
      <c r="AK31" t="s">
        <v>24</v>
      </c>
      <c r="AL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31">
        <f>SUM(Rel_2026[[#This Row],[qtd_TrxContabil]:[VLR_EXP_SORTE]])</f>
        <v>19511</v>
      </c>
      <c r="AN3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</row>
    <row r="32" spans="1:40" x14ac:dyDescent="0.3">
      <c r="A32" t="str">
        <f>IF(Rel_2026[[#This Row],[Zero]]=0,"Zero",IF(Rel_2026[[#This Row],[Pontuação]]&gt;=10,"Sim",IF(Rel_2026[[#This Row],[Pontuação]]&gt;=5,"Próximo","Não")))</f>
        <v>Sim</v>
      </c>
      <c r="B32" t="str">
        <f>IF(Rel_2026[[#This Row],[Zero]]=0,"Zero",IF(Rel_2026[[#This Row],[Pontuação2]]&gt;=10,"Sim",IF(Rel_2026[[#This Row],[Pontuação2]]&gt;=5,"Próximo","Não")))</f>
        <v>Sim</v>
      </c>
      <c r="C32" t="s">
        <v>42</v>
      </c>
      <c r="D32" t="str">
        <f>LEFT(Rel_2026[[#This Row],[ag_pacb]],4)</f>
        <v>5806</v>
      </c>
      <c r="E32">
        <v>418009</v>
      </c>
      <c r="F32" t="s">
        <v>175</v>
      </c>
      <c r="G32" t="s">
        <v>176</v>
      </c>
      <c r="H32">
        <v>45938</v>
      </c>
      <c r="I32" t="s">
        <v>43</v>
      </c>
      <c r="J32" t="s">
        <v>177</v>
      </c>
      <c r="K32">
        <v>45923</v>
      </c>
      <c r="L32">
        <v>45953</v>
      </c>
      <c r="M32" t="s">
        <v>44</v>
      </c>
      <c r="N32">
        <v>46254</v>
      </c>
      <c r="O32">
        <v>225</v>
      </c>
      <c r="P32">
        <v>0</v>
      </c>
      <c r="Q32">
        <v>0</v>
      </c>
      <c r="R32">
        <v>0</v>
      </c>
      <c r="S32">
        <v>0</v>
      </c>
      <c r="T32">
        <v>8039</v>
      </c>
      <c r="U32">
        <v>8039</v>
      </c>
      <c r="V32">
        <v>0</v>
      </c>
      <c r="W32">
        <v>0</v>
      </c>
      <c r="X32">
        <v>0</v>
      </c>
      <c r="Y32">
        <v>200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22</v>
      </c>
      <c r="AI32" t="s">
        <v>23</v>
      </c>
      <c r="AK32" t="s">
        <v>24</v>
      </c>
      <c r="AL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  <c r="AM32">
        <f>SUM(Rel_2026[[#This Row],[qtd_TrxContabil]:[VLR_EXP_SORTE]])</f>
        <v>16505</v>
      </c>
      <c r="AN3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</v>
      </c>
    </row>
    <row r="33" spans="1:40" x14ac:dyDescent="0.3">
      <c r="A33" t="str">
        <f>IF(Rel_2026[[#This Row],[Zero]]=0,"Zero",IF(Rel_2026[[#This Row],[Pontuação]]&gt;=10,"Sim",IF(Rel_2026[[#This Row],[Pontuação]]&gt;=5,"Próximo","Não")))</f>
        <v>Sim</v>
      </c>
      <c r="B33" t="str">
        <f>IF(Rel_2026[[#This Row],[Zero]]=0,"Zero",IF(Rel_2026[[#This Row],[Pontuação2]]&gt;=10,"Sim",IF(Rel_2026[[#This Row],[Pontuação2]]&gt;=5,"Próximo","Não")))</f>
        <v>Sim</v>
      </c>
      <c r="C33" t="s">
        <v>42</v>
      </c>
      <c r="D33" t="str">
        <f>LEFT(Rel_2026[[#This Row],[ag_pacb]],4)</f>
        <v>1522</v>
      </c>
      <c r="E33">
        <v>248103</v>
      </c>
      <c r="F33" t="s">
        <v>181</v>
      </c>
      <c r="G33" t="s">
        <v>182</v>
      </c>
      <c r="H33">
        <v>45142</v>
      </c>
      <c r="I33" t="s">
        <v>43</v>
      </c>
      <c r="J33" t="s">
        <v>183</v>
      </c>
      <c r="K33">
        <v>45306</v>
      </c>
      <c r="L33">
        <v>45079</v>
      </c>
      <c r="M33" t="s">
        <v>44</v>
      </c>
      <c r="N33">
        <v>46254</v>
      </c>
      <c r="O33">
        <v>499</v>
      </c>
      <c r="P33">
        <v>5</v>
      </c>
      <c r="Q33">
        <v>5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2700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25</v>
      </c>
      <c r="AI33" t="s">
        <v>23</v>
      </c>
      <c r="AK33" t="s">
        <v>24</v>
      </c>
      <c r="AL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  <c r="AM33">
        <f>SUM(Rel_2026[[#This Row],[qtd_TrxContabil]:[VLR_EXP_SORTE]])</f>
        <v>3214</v>
      </c>
      <c r="AN3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77</v>
      </c>
    </row>
    <row r="34" spans="1:40" x14ac:dyDescent="0.3">
      <c r="A34" t="str">
        <f>IF(Rel_2026[[#This Row],[Zero]]=0,"Zero",IF(Rel_2026[[#This Row],[Pontuação]]&gt;=10,"Sim",IF(Rel_2026[[#This Row],[Pontuação]]&gt;=5,"Próximo","Não")))</f>
        <v>Próximo</v>
      </c>
      <c r="B34" t="str">
        <f>IF(Rel_2026[[#This Row],[Zero]]=0,"Zero",IF(Rel_2026[[#This Row],[Pontuação2]]&gt;=10,"Sim",IF(Rel_2026[[#This Row],[Pontuação2]]&gt;=5,"Próximo","Não")))</f>
        <v>Sim</v>
      </c>
      <c r="C34" t="s">
        <v>42</v>
      </c>
      <c r="D34" t="str">
        <f>LEFT(Rel_2026[[#This Row],[ag_pacb]],4)</f>
        <v>1522</v>
      </c>
      <c r="E34">
        <v>57748</v>
      </c>
      <c r="F34" t="s">
        <v>186</v>
      </c>
      <c r="G34" t="s">
        <v>187</v>
      </c>
      <c r="H34">
        <v>44173</v>
      </c>
      <c r="I34" t="s">
        <v>43</v>
      </c>
      <c r="J34" t="s">
        <v>188</v>
      </c>
      <c r="K34">
        <v>42142</v>
      </c>
      <c r="L34">
        <v>45638</v>
      </c>
      <c r="M34" t="s">
        <v>44</v>
      </c>
      <c r="N34">
        <v>46254</v>
      </c>
      <c r="O34">
        <v>351</v>
      </c>
      <c r="P34">
        <v>3</v>
      </c>
      <c r="Q34">
        <v>0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22</v>
      </c>
      <c r="AI34" t="s">
        <v>23</v>
      </c>
      <c r="AK34" t="s">
        <v>24</v>
      </c>
      <c r="AL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34">
        <f>SUM(Rel_2026[[#This Row],[qtd_TrxContabil]:[VLR_EXP_SORTE]])</f>
        <v>357</v>
      </c>
      <c r="AN3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35" spans="1:40" x14ac:dyDescent="0.3">
      <c r="A35" t="str">
        <f>IF(Rel_2026[[#This Row],[Zero]]=0,"Zero",IF(Rel_2026[[#This Row],[Pontuação]]&gt;=10,"Sim",IF(Rel_2026[[#This Row],[Pontuação]]&gt;=5,"Próximo","Não")))</f>
        <v>Sim</v>
      </c>
      <c r="B35" t="str">
        <f>IF(Rel_2026[[#This Row],[Zero]]=0,"Zero",IF(Rel_2026[[#This Row],[Pontuação2]]&gt;=10,"Sim",IF(Rel_2026[[#This Row],[Pontuação2]]&gt;=5,"Próximo","Não")))</f>
        <v>Sim</v>
      </c>
      <c r="C35" t="s">
        <v>42</v>
      </c>
      <c r="D35" t="str">
        <f>LEFT(Rel_2026[[#This Row],[ag_pacb]],4)</f>
        <v>1522</v>
      </c>
      <c r="E35">
        <v>93495</v>
      </c>
      <c r="F35" t="s">
        <v>190</v>
      </c>
      <c r="G35" t="s">
        <v>191</v>
      </c>
      <c r="H35">
        <v>45153</v>
      </c>
      <c r="I35" t="s">
        <v>43</v>
      </c>
      <c r="J35" t="s">
        <v>192</v>
      </c>
      <c r="K35">
        <v>42143</v>
      </c>
      <c r="L35">
        <v>46190</v>
      </c>
      <c r="M35" t="s">
        <v>44</v>
      </c>
      <c r="N35">
        <v>46254</v>
      </c>
      <c r="O35">
        <v>399</v>
      </c>
      <c r="P35">
        <v>7</v>
      </c>
      <c r="Q35">
        <v>7</v>
      </c>
      <c r="R35">
        <v>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1605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</v>
      </c>
      <c r="AG35">
        <v>0</v>
      </c>
      <c r="AH35" t="s">
        <v>22</v>
      </c>
      <c r="AI35" t="s">
        <v>23</v>
      </c>
      <c r="AK35" t="s">
        <v>24</v>
      </c>
      <c r="AL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65</v>
      </c>
      <c r="AM35">
        <f>SUM(Rel_2026[[#This Row],[qtd_TrxContabil]:[VLR_EXP_SORTE]])</f>
        <v>2031</v>
      </c>
      <c r="AN3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86</v>
      </c>
    </row>
    <row r="36" spans="1:40" x14ac:dyDescent="0.3">
      <c r="A36" t="str">
        <f>IF(Rel_2026[[#This Row],[Zero]]=0,"Zero",IF(Rel_2026[[#This Row],[Pontuação]]&gt;=10,"Sim",IF(Rel_2026[[#This Row],[Pontuação]]&gt;=5,"Próximo","Não")))</f>
        <v>Próximo</v>
      </c>
      <c r="B36" t="str">
        <f>IF(Rel_2026[[#This Row],[Zero]]=0,"Zero",IF(Rel_2026[[#This Row],[Pontuação2]]&gt;=10,"Sim",IF(Rel_2026[[#This Row],[Pontuação2]]&gt;=5,"Próximo","Não")))</f>
        <v>Sim</v>
      </c>
      <c r="C36" t="s">
        <v>42</v>
      </c>
      <c r="D36" t="str">
        <f>LEFT(Rel_2026[[#This Row],[ag_pacb]],4)</f>
        <v>0985</v>
      </c>
      <c r="E36">
        <v>54377</v>
      </c>
      <c r="F36" t="s">
        <v>288</v>
      </c>
      <c r="G36" t="s">
        <v>289</v>
      </c>
      <c r="H36">
        <v>44428</v>
      </c>
      <c r="I36" t="s">
        <v>43</v>
      </c>
      <c r="J36" t="s">
        <v>290</v>
      </c>
      <c r="K36">
        <v>42466</v>
      </c>
      <c r="L36">
        <v>45490</v>
      </c>
      <c r="M36" t="s">
        <v>44</v>
      </c>
      <c r="N36">
        <v>46254</v>
      </c>
      <c r="O36">
        <v>492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 t="s">
        <v>25</v>
      </c>
      <c r="AI36" t="s">
        <v>23</v>
      </c>
      <c r="AK36" t="s">
        <v>24</v>
      </c>
      <c r="AL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6">
        <f>SUM(Rel_2026[[#This Row],[qtd_TrxContabil]:[VLR_EXP_SORTE]])</f>
        <v>496</v>
      </c>
      <c r="AN3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7" spans="1:40" x14ac:dyDescent="0.3">
      <c r="A37" t="str">
        <f>IF(Rel_2026[[#This Row],[Zero]]=0,"Zero",IF(Rel_2026[[#This Row],[Pontuação]]&gt;=10,"Sim",IF(Rel_2026[[#This Row],[Pontuação]]&gt;=5,"Próximo","Não")))</f>
        <v>Sim</v>
      </c>
      <c r="B37" t="str">
        <f>IF(Rel_2026[[#This Row],[Zero]]=0,"Zero",IF(Rel_2026[[#This Row],[Pontuação2]]&gt;=10,"Sim",IF(Rel_2026[[#This Row],[Pontuação2]]&gt;=5,"Próximo","Não")))</f>
        <v>Sim</v>
      </c>
      <c r="C37" t="s">
        <v>42</v>
      </c>
      <c r="D37" t="str">
        <f>LEFT(Rel_2026[[#This Row],[ag_pacb]],4)</f>
        <v>5806</v>
      </c>
      <c r="E37">
        <v>154081</v>
      </c>
      <c r="F37" t="s">
        <v>193</v>
      </c>
      <c r="G37" t="s">
        <v>194</v>
      </c>
      <c r="H37">
        <v>45202</v>
      </c>
      <c r="I37" t="s">
        <v>43</v>
      </c>
      <c r="J37" t="s">
        <v>177</v>
      </c>
      <c r="K37">
        <v>42744</v>
      </c>
      <c r="L37">
        <v>44700</v>
      </c>
      <c r="M37" t="s">
        <v>44</v>
      </c>
      <c r="N37">
        <v>46254</v>
      </c>
      <c r="O37">
        <v>332</v>
      </c>
      <c r="P37">
        <v>2</v>
      </c>
      <c r="Q37">
        <v>0</v>
      </c>
      <c r="R37">
        <v>2</v>
      </c>
      <c r="S37">
        <v>0</v>
      </c>
      <c r="T37">
        <v>21614</v>
      </c>
      <c r="U37">
        <v>21614</v>
      </c>
      <c r="V37">
        <v>0</v>
      </c>
      <c r="W37">
        <v>0</v>
      </c>
      <c r="X37">
        <v>0</v>
      </c>
      <c r="Y37">
        <v>2800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0</v>
      </c>
      <c r="AH37" t="s">
        <v>22</v>
      </c>
      <c r="AI37" t="s">
        <v>23</v>
      </c>
      <c r="AK37" t="s">
        <v>24</v>
      </c>
      <c r="AL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56</v>
      </c>
      <c r="AM37">
        <f>SUM(Rel_2026[[#This Row],[qtd_TrxContabil]:[VLR_EXP_SORTE]])</f>
        <v>46367</v>
      </c>
      <c r="AN3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38" spans="1:40" x14ac:dyDescent="0.3">
      <c r="A38" t="str">
        <f>IF(Rel_2026[[#This Row],[Zero]]=0,"Zero",IF(Rel_2026[[#This Row],[Pontuação]]&gt;=10,"Sim",IF(Rel_2026[[#This Row],[Pontuação]]&gt;=5,"Próximo","Não")))</f>
        <v>Próximo</v>
      </c>
      <c r="B38" t="str">
        <f>IF(Rel_2026[[#This Row],[Zero]]=0,"Zero",IF(Rel_2026[[#This Row],[Pontuação2]]&gt;=10,"Sim",IF(Rel_2026[[#This Row],[Pontuação2]]&gt;=5,"Próximo","Não")))</f>
        <v>Sim</v>
      </c>
      <c r="C38" t="s">
        <v>42</v>
      </c>
      <c r="D38" t="str">
        <f>LEFT(Rel_2026[[#This Row],[ag_pacb]],4)</f>
        <v>5806</v>
      </c>
      <c r="E38">
        <v>219521</v>
      </c>
      <c r="F38" t="s">
        <v>195</v>
      </c>
      <c r="G38" t="s">
        <v>196</v>
      </c>
      <c r="H38">
        <v>45252</v>
      </c>
      <c r="I38" t="s">
        <v>43</v>
      </c>
      <c r="J38" t="s">
        <v>197</v>
      </c>
      <c r="K38">
        <v>45306</v>
      </c>
      <c r="L38">
        <v>46100</v>
      </c>
      <c r="M38" t="s">
        <v>44</v>
      </c>
      <c r="N38">
        <v>46254</v>
      </c>
      <c r="O38">
        <v>360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">
        <v>22</v>
      </c>
      <c r="AI38" t="s">
        <v>23</v>
      </c>
      <c r="AK38" t="s">
        <v>24</v>
      </c>
      <c r="AL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38">
        <f>SUM(Rel_2026[[#This Row],[qtd_TrxContabil]:[VLR_EXP_SORTE]])</f>
        <v>363</v>
      </c>
      <c r="AN3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39" spans="1:40" x14ac:dyDescent="0.3">
      <c r="A39" t="str">
        <f>IF(Rel_2026[[#This Row],[Zero]]=0,"Zero",IF(Rel_2026[[#This Row],[Pontuação]]&gt;=10,"Sim",IF(Rel_2026[[#This Row],[Pontuação]]&gt;=5,"Próximo","Não")))</f>
        <v>Sim</v>
      </c>
      <c r="B39" t="str">
        <f>IF(Rel_2026[[#This Row],[Zero]]=0,"Zero",IF(Rel_2026[[#This Row],[Pontuação2]]&gt;=10,"Sim",IF(Rel_2026[[#This Row],[Pontuação2]]&gt;=5,"Próximo","Não")))</f>
        <v>Sim</v>
      </c>
      <c r="C39" t="s">
        <v>42</v>
      </c>
      <c r="D39" t="str">
        <f>LEFT(Rel_2026[[#This Row],[ag_pacb]],4)</f>
        <v>5795</v>
      </c>
      <c r="E39">
        <v>408109</v>
      </c>
      <c r="F39" t="s">
        <v>198</v>
      </c>
      <c r="G39" t="s">
        <v>199</v>
      </c>
      <c r="H39">
        <v>45632</v>
      </c>
      <c r="I39" t="s">
        <v>43</v>
      </c>
      <c r="J39" t="s">
        <v>200</v>
      </c>
      <c r="K39">
        <v>45622</v>
      </c>
      <c r="L39">
        <v>46135</v>
      </c>
      <c r="M39" t="s">
        <v>44</v>
      </c>
      <c r="N39">
        <v>46254</v>
      </c>
      <c r="O39">
        <v>630</v>
      </c>
      <c r="P39">
        <v>8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710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</v>
      </c>
      <c r="AG39">
        <v>0</v>
      </c>
      <c r="AH39" t="s">
        <v>25</v>
      </c>
      <c r="AI39" t="s">
        <v>23</v>
      </c>
      <c r="AK39" t="s">
        <v>24</v>
      </c>
      <c r="AL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  <c r="AM39">
        <f>SUM(Rel_2026[[#This Row],[qtd_TrxContabil]:[VLR_EXP_SORTE]])</f>
        <v>1359</v>
      </c>
      <c r="AN3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43</v>
      </c>
    </row>
    <row r="40" spans="1:40" x14ac:dyDescent="0.3">
      <c r="A40" t="str">
        <f>IF(Rel_2026[[#This Row],[Zero]]=0,"Zero",IF(Rel_2026[[#This Row],[Pontuação]]&gt;=10,"Sim",IF(Rel_2026[[#This Row],[Pontuação]]&gt;=5,"Próximo","Não")))</f>
        <v>Sim</v>
      </c>
      <c r="B40" t="str">
        <f>IF(Rel_2026[[#This Row],[Zero]]=0,"Zero",IF(Rel_2026[[#This Row],[Pontuação2]]&gt;=10,"Sim",IF(Rel_2026[[#This Row],[Pontuação2]]&gt;=5,"Próximo","Não")))</f>
        <v>Sim</v>
      </c>
      <c r="C40" t="s">
        <v>42</v>
      </c>
      <c r="D40" t="str">
        <f>LEFT(Rel_2026[[#This Row],[ag_pacb]],4)</f>
        <v>5795</v>
      </c>
      <c r="E40">
        <v>419043</v>
      </c>
      <c r="F40" t="s">
        <v>202</v>
      </c>
      <c r="G40" t="s">
        <v>305</v>
      </c>
      <c r="H40">
        <v>45973</v>
      </c>
      <c r="I40" t="s">
        <v>43</v>
      </c>
      <c r="J40" t="s">
        <v>203</v>
      </c>
      <c r="K40">
        <v>45947</v>
      </c>
      <c r="L40">
        <v>46218</v>
      </c>
      <c r="M40" t="s">
        <v>44</v>
      </c>
      <c r="N40">
        <v>46254</v>
      </c>
      <c r="O40">
        <v>692</v>
      </c>
      <c r="P40">
        <v>3</v>
      </c>
      <c r="Q40">
        <v>3</v>
      </c>
      <c r="R40">
        <v>3</v>
      </c>
      <c r="S40">
        <v>0</v>
      </c>
      <c r="T40">
        <v>15000</v>
      </c>
      <c r="U40">
        <v>15000</v>
      </c>
      <c r="V40">
        <v>0</v>
      </c>
      <c r="W40">
        <v>0</v>
      </c>
      <c r="X40">
        <v>0</v>
      </c>
      <c r="Y40">
        <v>1000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</v>
      </c>
      <c r="AG40">
        <v>0</v>
      </c>
      <c r="AH40" t="s">
        <v>22</v>
      </c>
      <c r="AI40" t="s">
        <v>23</v>
      </c>
      <c r="AK40" t="s">
        <v>24</v>
      </c>
      <c r="AL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46</v>
      </c>
      <c r="AM40">
        <f>SUM(Rel_2026[[#This Row],[qtd_TrxContabil]:[VLR_EXP_SORTE]])</f>
        <v>31704</v>
      </c>
      <c r="AN4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</row>
    <row r="41" spans="1:40" x14ac:dyDescent="0.3">
      <c r="A41" t="str">
        <f>IF(Rel_2026[[#This Row],[Zero]]=0,"Zero",IF(Rel_2026[[#This Row],[Pontuação]]&gt;=10,"Sim",IF(Rel_2026[[#This Row],[Pontuação]]&gt;=5,"Próximo","Não")))</f>
        <v>Sim</v>
      </c>
      <c r="B41" t="str">
        <f>IF(Rel_2026[[#This Row],[Zero]]=0,"Zero",IF(Rel_2026[[#This Row],[Pontuação2]]&gt;=10,"Sim",IF(Rel_2026[[#This Row],[Pontuação2]]&gt;=5,"Próximo","Não")))</f>
        <v>Sim</v>
      </c>
      <c r="C41" t="s">
        <v>42</v>
      </c>
      <c r="D41" t="str">
        <f>LEFT(Rel_2026[[#This Row],[ag_pacb]],4)</f>
        <v>5808</v>
      </c>
      <c r="E41">
        <v>412735</v>
      </c>
      <c r="F41" t="s">
        <v>205</v>
      </c>
      <c r="G41" t="s">
        <v>206</v>
      </c>
      <c r="H41">
        <v>45803</v>
      </c>
      <c r="I41" t="s">
        <v>43</v>
      </c>
      <c r="J41" t="s">
        <v>204</v>
      </c>
      <c r="K41">
        <v>45793</v>
      </c>
      <c r="L41">
        <v>46161</v>
      </c>
      <c r="M41" t="s">
        <v>44</v>
      </c>
      <c r="N41">
        <v>46254</v>
      </c>
      <c r="O41">
        <v>104</v>
      </c>
      <c r="P41">
        <v>5</v>
      </c>
      <c r="Q41">
        <v>3</v>
      </c>
      <c r="R41">
        <v>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 t="s">
        <v>22</v>
      </c>
      <c r="AI41" t="s">
        <v>23</v>
      </c>
      <c r="AK41" t="s">
        <v>24</v>
      </c>
      <c r="AL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  <c r="AM41">
        <f>SUM(Rel_2026[[#This Row],[qtd_TrxContabil]:[VLR_EXP_SORTE]])</f>
        <v>118</v>
      </c>
      <c r="AN4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42</v>
      </c>
    </row>
    <row r="42" spans="1:40" x14ac:dyDescent="0.3">
      <c r="A42" t="str">
        <f>IF(Rel_2026[[#This Row],[Zero]]=0,"Zero",IF(Rel_2026[[#This Row],[Pontuação]]&gt;=10,"Sim",IF(Rel_2026[[#This Row],[Pontuação]]&gt;=5,"Próximo","Não")))</f>
        <v>Sim</v>
      </c>
      <c r="B42" t="str">
        <f>IF(Rel_2026[[#This Row],[Zero]]=0,"Zero",IF(Rel_2026[[#This Row],[Pontuação2]]&gt;=10,"Sim",IF(Rel_2026[[#This Row],[Pontuação2]]&gt;=5,"Próximo","Não")))</f>
        <v>Sim</v>
      </c>
      <c r="C42" t="s">
        <v>42</v>
      </c>
      <c r="D42" t="str">
        <f>LEFT(Rel_2026[[#This Row],[ag_pacb]],4)</f>
        <v>0985</v>
      </c>
      <c r="E42">
        <v>47457</v>
      </c>
      <c r="F42" t="s">
        <v>207</v>
      </c>
      <c r="G42" t="s">
        <v>208</v>
      </c>
      <c r="H42">
        <v>44135</v>
      </c>
      <c r="I42" t="s">
        <v>43</v>
      </c>
      <c r="J42" t="s">
        <v>209</v>
      </c>
      <c r="K42">
        <v>42244</v>
      </c>
      <c r="L42">
        <v>45455</v>
      </c>
      <c r="M42" t="s">
        <v>44</v>
      </c>
      <c r="N42">
        <v>46254</v>
      </c>
      <c r="O42">
        <v>1073</v>
      </c>
      <c r="P42">
        <v>3</v>
      </c>
      <c r="Q42">
        <v>0</v>
      </c>
      <c r="R42">
        <v>2</v>
      </c>
      <c r="S42">
        <v>0</v>
      </c>
      <c r="T42">
        <v>2244</v>
      </c>
      <c r="U42">
        <v>2244</v>
      </c>
      <c r="V42">
        <v>0</v>
      </c>
      <c r="W42">
        <v>0</v>
      </c>
      <c r="X42">
        <v>0</v>
      </c>
      <c r="Y42">
        <v>1683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10</v>
      </c>
      <c r="AH42" t="s">
        <v>22</v>
      </c>
      <c r="AI42" t="s">
        <v>23</v>
      </c>
      <c r="AK42" t="s">
        <v>24</v>
      </c>
      <c r="AL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30</v>
      </c>
      <c r="AM42">
        <f>SUM(Rel_2026[[#This Row],[qtd_TrxContabil]:[VLR_EXP_SORTE]])</f>
        <v>7262</v>
      </c>
      <c r="AN4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43" spans="1:40" x14ac:dyDescent="0.3">
      <c r="A43" t="str">
        <f>IF(Rel_2026[[#This Row],[Zero]]=0,"Zero",IF(Rel_2026[[#This Row],[Pontuação]]&gt;=10,"Sim",IF(Rel_2026[[#This Row],[Pontuação]]&gt;=5,"Próximo","Não")))</f>
        <v>Não</v>
      </c>
      <c r="B43" t="str">
        <f>IF(Rel_2026[[#This Row],[Zero]]=0,"Zero",IF(Rel_2026[[#This Row],[Pontuação2]]&gt;=10,"Sim",IF(Rel_2026[[#This Row],[Pontuação2]]&gt;=5,"Próximo","Não")))</f>
        <v>Não</v>
      </c>
      <c r="C43" t="s">
        <v>42</v>
      </c>
      <c r="D43" t="str">
        <f>LEFT(Rel_2026[[#This Row],[ag_pacb]],4)</f>
        <v>0985</v>
      </c>
      <c r="E43">
        <v>164577</v>
      </c>
      <c r="F43" t="s">
        <v>345</v>
      </c>
      <c r="G43" t="s">
        <v>346</v>
      </c>
      <c r="H43">
        <v>45267</v>
      </c>
      <c r="I43" t="s">
        <v>43</v>
      </c>
      <c r="J43" t="s">
        <v>209</v>
      </c>
      <c r="K43">
        <v>43129</v>
      </c>
      <c r="L43">
        <v>46135</v>
      </c>
      <c r="M43" t="s">
        <v>44</v>
      </c>
      <c r="N43">
        <v>46254</v>
      </c>
      <c r="O43">
        <v>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22</v>
      </c>
      <c r="AI43" t="s">
        <v>23</v>
      </c>
      <c r="AK43" t="s">
        <v>24</v>
      </c>
      <c r="AL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43">
        <f>SUM(Rel_2026[[#This Row],[qtd_TrxContabil]:[VLR_EXP_SORTE]])</f>
        <v>6</v>
      </c>
      <c r="AN4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44" spans="1:40" x14ac:dyDescent="0.3">
      <c r="A44" t="str">
        <f>IF(Rel_2026[[#This Row],[Zero]]=0,"Zero",IF(Rel_2026[[#This Row],[Pontuação]]&gt;=10,"Sim",IF(Rel_2026[[#This Row],[Pontuação]]&gt;=5,"Próximo","Não")))</f>
        <v>Sim</v>
      </c>
      <c r="B44" t="str">
        <f>IF(Rel_2026[[#This Row],[Zero]]=0,"Zero",IF(Rel_2026[[#This Row],[Pontuação2]]&gt;=10,"Sim",IF(Rel_2026[[#This Row],[Pontuação2]]&gt;=5,"Próximo","Não")))</f>
        <v>Sim</v>
      </c>
      <c r="C44" t="s">
        <v>42</v>
      </c>
      <c r="D44" t="str">
        <f>LEFT(Rel_2026[[#This Row],[ag_pacb]],4)</f>
        <v>5795</v>
      </c>
      <c r="E44">
        <v>156781</v>
      </c>
      <c r="F44" t="s">
        <v>210</v>
      </c>
      <c r="G44" t="s">
        <v>211</v>
      </c>
      <c r="H44">
        <v>44415</v>
      </c>
      <c r="I44" t="s">
        <v>43</v>
      </c>
      <c r="J44" t="s">
        <v>212</v>
      </c>
      <c r="K44">
        <v>43469</v>
      </c>
      <c r="L44">
        <v>44756</v>
      </c>
      <c r="M44" t="s">
        <v>44</v>
      </c>
      <c r="N44">
        <v>46254</v>
      </c>
      <c r="O44">
        <v>1418</v>
      </c>
      <c r="P44">
        <v>1</v>
      </c>
      <c r="Q44">
        <v>1</v>
      </c>
      <c r="R44">
        <v>1</v>
      </c>
      <c r="S44">
        <v>0</v>
      </c>
      <c r="T44">
        <v>10000</v>
      </c>
      <c r="U44">
        <v>10000</v>
      </c>
      <c r="V44">
        <v>0</v>
      </c>
      <c r="W44">
        <v>0</v>
      </c>
      <c r="X44">
        <v>0</v>
      </c>
      <c r="Y44">
        <v>450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25</v>
      </c>
      <c r="AI44" t="s">
        <v>23</v>
      </c>
      <c r="AK44" t="s">
        <v>24</v>
      </c>
      <c r="AL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44">
        <f>SUM(Rel_2026[[#This Row],[qtd_TrxContabil]:[VLR_EXP_SORTE]])</f>
        <v>21871</v>
      </c>
      <c r="AN4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</row>
    <row r="45" spans="1:40" x14ac:dyDescent="0.3">
      <c r="A45" t="str">
        <f>IF(Rel_2026[[#This Row],[Zero]]=0,"Zero",IF(Rel_2026[[#This Row],[Pontuação]]&gt;=10,"Sim",IF(Rel_2026[[#This Row],[Pontuação]]&gt;=5,"Próximo","Não")))</f>
        <v>Sim</v>
      </c>
      <c r="B45" t="str">
        <f>IF(Rel_2026[[#This Row],[Zero]]=0,"Zero",IF(Rel_2026[[#This Row],[Pontuação2]]&gt;=10,"Sim",IF(Rel_2026[[#This Row],[Pontuação2]]&gt;=5,"Próximo","Não")))</f>
        <v>Sim</v>
      </c>
      <c r="C45" t="s">
        <v>42</v>
      </c>
      <c r="D45" t="str">
        <f>LEFT(Rel_2026[[#This Row],[ag_pacb]],4)</f>
        <v>5795</v>
      </c>
      <c r="E45">
        <v>204297</v>
      </c>
      <c r="F45" t="s">
        <v>216</v>
      </c>
      <c r="G45" t="s">
        <v>217</v>
      </c>
      <c r="H45">
        <v>44154</v>
      </c>
      <c r="I45" t="s">
        <v>43</v>
      </c>
      <c r="J45" t="s">
        <v>218</v>
      </c>
      <c r="K45">
        <v>44099</v>
      </c>
      <c r="L45">
        <v>44767</v>
      </c>
      <c r="M45" t="s">
        <v>44</v>
      </c>
      <c r="N45">
        <v>46254</v>
      </c>
      <c r="O45">
        <v>1704</v>
      </c>
      <c r="P45">
        <v>11</v>
      </c>
      <c r="Q45">
        <v>2</v>
      </c>
      <c r="R45">
        <v>2</v>
      </c>
      <c r="S45">
        <v>0</v>
      </c>
      <c r="T45">
        <v>51155</v>
      </c>
      <c r="U45">
        <v>51155</v>
      </c>
      <c r="V45">
        <v>0</v>
      </c>
      <c r="W45">
        <v>0</v>
      </c>
      <c r="X45">
        <v>0</v>
      </c>
      <c r="Y45">
        <v>551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25</v>
      </c>
      <c r="AI45" t="s">
        <v>23</v>
      </c>
      <c r="AK45" t="s">
        <v>24</v>
      </c>
      <c r="AL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98</v>
      </c>
      <c r="AM45">
        <f>SUM(Rel_2026[[#This Row],[qtd_TrxContabil]:[VLR_EXP_SORTE]])</f>
        <v>104580</v>
      </c>
      <c r="AN4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104</v>
      </c>
    </row>
    <row r="46" spans="1:40" x14ac:dyDescent="0.3">
      <c r="A46" t="str">
        <f>IF(Rel_2026[[#This Row],[Zero]]=0,"Zero",IF(Rel_2026[[#This Row],[Pontuação]]&gt;=10,"Sim",IF(Rel_2026[[#This Row],[Pontuação]]&gt;=5,"Próximo","Não")))</f>
        <v>Sim</v>
      </c>
      <c r="B46" t="str">
        <f>IF(Rel_2026[[#This Row],[Zero]]=0,"Zero",IF(Rel_2026[[#This Row],[Pontuação2]]&gt;=10,"Sim",IF(Rel_2026[[#This Row],[Pontuação2]]&gt;=5,"Próximo","Não")))</f>
        <v>Sim</v>
      </c>
      <c r="C46" t="s">
        <v>42</v>
      </c>
      <c r="D46" t="str">
        <f>LEFT(Rel_2026[[#This Row],[ag_pacb]],4)</f>
        <v>0985</v>
      </c>
      <c r="E46">
        <v>413557</v>
      </c>
      <c r="F46" t="s">
        <v>220</v>
      </c>
      <c r="G46" t="s">
        <v>221</v>
      </c>
      <c r="H46">
        <v>45818</v>
      </c>
      <c r="I46" t="s">
        <v>43</v>
      </c>
      <c r="J46" t="s">
        <v>200</v>
      </c>
      <c r="K46">
        <v>45811</v>
      </c>
      <c r="L46">
        <v>45821</v>
      </c>
      <c r="M46" t="s">
        <v>44</v>
      </c>
      <c r="N46">
        <v>46254</v>
      </c>
      <c r="O46">
        <v>223</v>
      </c>
      <c r="P46">
        <v>2</v>
      </c>
      <c r="Q46">
        <v>2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 t="s">
        <v>25</v>
      </c>
      <c r="AI46" t="s">
        <v>23</v>
      </c>
      <c r="AK46" t="s">
        <v>24</v>
      </c>
      <c r="AL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46">
        <f>SUM(Rel_2026[[#This Row],[qtd_TrxContabil]:[VLR_EXP_SORTE]])</f>
        <v>231</v>
      </c>
      <c r="AN4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47" spans="1:40" x14ac:dyDescent="0.3">
      <c r="A47" t="str">
        <f>IF(Rel_2026[[#This Row],[Zero]]=0,"Zero",IF(Rel_2026[[#This Row],[Pontuação]]&gt;=10,"Sim",IF(Rel_2026[[#This Row],[Pontuação]]&gt;=5,"Próximo","Não")))</f>
        <v>Próximo</v>
      </c>
      <c r="B47" t="str">
        <f>IF(Rel_2026[[#This Row],[Zero]]=0,"Zero",IF(Rel_2026[[#This Row],[Pontuação2]]&gt;=10,"Sim",IF(Rel_2026[[#This Row],[Pontuação2]]&gt;=5,"Próximo","Não")))</f>
        <v>Sim</v>
      </c>
      <c r="C47" t="s">
        <v>42</v>
      </c>
      <c r="D47" t="str">
        <f>LEFT(Rel_2026[[#This Row],[ag_pacb]],4)</f>
        <v>1522</v>
      </c>
      <c r="E47">
        <v>406886</v>
      </c>
      <c r="F47" t="s">
        <v>224</v>
      </c>
      <c r="G47" t="s">
        <v>225</v>
      </c>
      <c r="H47">
        <v>45583</v>
      </c>
      <c r="I47" t="s">
        <v>43</v>
      </c>
      <c r="J47" t="s">
        <v>192</v>
      </c>
      <c r="K47">
        <v>45577</v>
      </c>
      <c r="L47">
        <v>45588</v>
      </c>
      <c r="M47" t="s">
        <v>44</v>
      </c>
      <c r="N47">
        <v>46252</v>
      </c>
      <c r="O47">
        <v>82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22</v>
      </c>
      <c r="AI47" t="s">
        <v>23</v>
      </c>
      <c r="AK47" t="s">
        <v>24</v>
      </c>
      <c r="AL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47">
        <f>SUM(Rel_2026[[#This Row],[qtd_TrxContabil]:[VLR_EXP_SORTE]])</f>
        <v>85</v>
      </c>
      <c r="AN4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48" spans="1:40" x14ac:dyDescent="0.3">
      <c r="A48" t="str">
        <f>IF(Rel_2026[[#This Row],[Zero]]=0,"Zero",IF(Rel_2026[[#This Row],[Pontuação]]&gt;=10,"Sim",IF(Rel_2026[[#This Row],[Pontuação]]&gt;=5,"Próximo","Não")))</f>
        <v>Sim</v>
      </c>
      <c r="B48" t="str">
        <f>IF(Rel_2026[[#This Row],[Zero]]=0,"Zero",IF(Rel_2026[[#This Row],[Pontuação2]]&gt;=10,"Sim",IF(Rel_2026[[#This Row],[Pontuação2]]&gt;=5,"Próximo","Não")))</f>
        <v>Sim</v>
      </c>
      <c r="C48" t="s">
        <v>42</v>
      </c>
      <c r="D48" t="str">
        <f>LEFT(Rel_2026[[#This Row],[ag_pacb]],4)</f>
        <v>1522</v>
      </c>
      <c r="E48">
        <v>414596</v>
      </c>
      <c r="F48" t="s">
        <v>226</v>
      </c>
      <c r="G48" t="s">
        <v>227</v>
      </c>
      <c r="H48">
        <v>45849</v>
      </c>
      <c r="I48" t="s">
        <v>43</v>
      </c>
      <c r="J48" t="s">
        <v>192</v>
      </c>
      <c r="K48">
        <v>45846</v>
      </c>
      <c r="L48">
        <v>45868</v>
      </c>
      <c r="M48" t="s">
        <v>44</v>
      </c>
      <c r="N48">
        <v>46254</v>
      </c>
      <c r="O48">
        <v>156</v>
      </c>
      <c r="P48">
        <v>3</v>
      </c>
      <c r="Q48">
        <v>2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 t="s">
        <v>22</v>
      </c>
      <c r="AI48" t="s">
        <v>23</v>
      </c>
      <c r="AK48" t="s">
        <v>24</v>
      </c>
      <c r="AL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  <c r="AM48">
        <f>SUM(Rel_2026[[#This Row],[qtd_TrxContabil]:[VLR_EXP_SORTE]])</f>
        <v>165</v>
      </c>
      <c r="AN4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49" spans="1:40" x14ac:dyDescent="0.3">
      <c r="A49" t="str">
        <f>IF(Rel_2026[[#This Row],[Zero]]=0,"Zero",IF(Rel_2026[[#This Row],[Pontuação]]&gt;=10,"Sim",IF(Rel_2026[[#This Row],[Pontuação]]&gt;=5,"Próximo","Não")))</f>
        <v>Sim</v>
      </c>
      <c r="B49" t="str">
        <f>IF(Rel_2026[[#This Row],[Zero]]=0,"Zero",IF(Rel_2026[[#This Row],[Pontuação2]]&gt;=10,"Sim",IF(Rel_2026[[#This Row],[Pontuação2]]&gt;=5,"Próximo","Não")))</f>
        <v>Sim</v>
      </c>
      <c r="C49" t="s">
        <v>42</v>
      </c>
      <c r="D49" t="str">
        <f>LEFT(Rel_2026[[#This Row],[ag_pacb]],4)</f>
        <v>5806</v>
      </c>
      <c r="E49">
        <v>407900</v>
      </c>
      <c r="F49" t="s">
        <v>232</v>
      </c>
      <c r="G49" t="s">
        <v>233</v>
      </c>
      <c r="H49">
        <v>45901</v>
      </c>
      <c r="I49" t="s">
        <v>43</v>
      </c>
      <c r="J49" t="s">
        <v>157</v>
      </c>
      <c r="K49">
        <v>45610</v>
      </c>
      <c r="L49">
        <v>45639</v>
      </c>
      <c r="M49" t="s">
        <v>44</v>
      </c>
      <c r="N49">
        <v>46254</v>
      </c>
      <c r="O49">
        <v>307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25</v>
      </c>
      <c r="AI49" t="s">
        <v>23</v>
      </c>
      <c r="AK49" t="s">
        <v>24</v>
      </c>
      <c r="AL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49">
        <f>SUM(Rel_2026[[#This Row],[qtd_TrxContabil]:[VLR_EXP_SORTE]])</f>
        <v>1307</v>
      </c>
      <c r="AN4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50" spans="1:40" x14ac:dyDescent="0.3">
      <c r="A50" t="str">
        <f>IF(Rel_2026[[#This Row],[Zero]]=0,"Zero",IF(Rel_2026[[#This Row],[Pontuação]]&gt;=10,"Sim",IF(Rel_2026[[#This Row],[Pontuação]]&gt;=5,"Próximo","Não")))</f>
        <v>Não</v>
      </c>
      <c r="B50" t="str">
        <f>IF(Rel_2026[[#This Row],[Zero]]=0,"Zero",IF(Rel_2026[[#This Row],[Pontuação2]]&gt;=10,"Sim",IF(Rel_2026[[#This Row],[Pontuação2]]&gt;=5,"Próximo","Não")))</f>
        <v>Próximo</v>
      </c>
      <c r="C50" t="s">
        <v>42</v>
      </c>
      <c r="D50" t="str">
        <f>LEFT(Rel_2026[[#This Row],[ag_pacb]],4)</f>
        <v>0985</v>
      </c>
      <c r="E50">
        <v>120250</v>
      </c>
      <c r="F50" t="s">
        <v>62</v>
      </c>
      <c r="G50" t="s">
        <v>234</v>
      </c>
      <c r="H50">
        <v>45097</v>
      </c>
      <c r="I50" t="s">
        <v>43</v>
      </c>
      <c r="J50" t="s">
        <v>201</v>
      </c>
      <c r="K50">
        <v>42471</v>
      </c>
      <c r="L50">
        <v>45455</v>
      </c>
      <c r="M50" t="s">
        <v>44</v>
      </c>
      <c r="N50">
        <v>46254</v>
      </c>
      <c r="O50">
        <v>408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22</v>
      </c>
      <c r="AI50" t="s">
        <v>23</v>
      </c>
      <c r="AK50" t="s">
        <v>24</v>
      </c>
      <c r="AL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50">
        <f>SUM(Rel_2026[[#This Row],[qtd_TrxContabil]:[VLR_EXP_SORTE]])</f>
        <v>410</v>
      </c>
      <c r="AN5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51" spans="1:40" x14ac:dyDescent="0.3">
      <c r="A51" t="str">
        <f>IF(Rel_2026[[#This Row],[Zero]]=0,"Zero",IF(Rel_2026[[#This Row],[Pontuação]]&gt;=10,"Sim",IF(Rel_2026[[#This Row],[Pontuação]]&gt;=5,"Próximo","Não")))</f>
        <v>Sim</v>
      </c>
      <c r="B51" t="str">
        <f>IF(Rel_2026[[#This Row],[Zero]]=0,"Zero",IF(Rel_2026[[#This Row],[Pontuação2]]&gt;=10,"Sim",IF(Rel_2026[[#This Row],[Pontuação2]]&gt;=5,"Próximo","Não")))</f>
        <v>Sim</v>
      </c>
      <c r="C51" t="s">
        <v>42</v>
      </c>
      <c r="D51" t="str">
        <f>LEFT(Rel_2026[[#This Row],[ag_pacb]],4)</f>
        <v>0985</v>
      </c>
      <c r="E51">
        <v>405979</v>
      </c>
      <c r="F51" t="s">
        <v>235</v>
      </c>
      <c r="G51" t="s">
        <v>236</v>
      </c>
      <c r="H51">
        <v>45560</v>
      </c>
      <c r="I51" t="s">
        <v>43</v>
      </c>
      <c r="J51" t="s">
        <v>237</v>
      </c>
      <c r="K51">
        <v>45538</v>
      </c>
      <c r="L51">
        <v>45562</v>
      </c>
      <c r="M51" t="s">
        <v>44</v>
      </c>
      <c r="N51">
        <v>46253</v>
      </c>
      <c r="O51">
        <v>271</v>
      </c>
      <c r="P51">
        <v>2</v>
      </c>
      <c r="Q51">
        <v>2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 t="s">
        <v>25</v>
      </c>
      <c r="AI51" t="s">
        <v>23</v>
      </c>
      <c r="AK51" t="s">
        <v>24</v>
      </c>
      <c r="AL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51">
        <f>SUM(Rel_2026[[#This Row],[qtd_TrxContabil]:[VLR_EXP_SORTE]])</f>
        <v>278</v>
      </c>
      <c r="AN5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52" spans="1:40" x14ac:dyDescent="0.3">
      <c r="A52" t="str">
        <f>IF(Rel_2026[[#This Row],[Zero]]=0,"Zero",IF(Rel_2026[[#This Row],[Pontuação]]&gt;=10,"Sim",IF(Rel_2026[[#This Row],[Pontuação]]&gt;=5,"Próximo","Não")))</f>
        <v>Não</v>
      </c>
      <c r="B52" t="str">
        <f>IF(Rel_2026[[#This Row],[Zero]]=0,"Zero",IF(Rel_2026[[#This Row],[Pontuação2]]&gt;=10,"Sim",IF(Rel_2026[[#This Row],[Pontuação2]]&gt;=5,"Próximo","Não")))</f>
        <v>Não</v>
      </c>
      <c r="C52" t="s">
        <v>42</v>
      </c>
      <c r="D52" t="str">
        <f>LEFT(Rel_2026[[#This Row],[ag_pacb]],4)</f>
        <v>0985</v>
      </c>
      <c r="E52">
        <v>250178</v>
      </c>
      <c r="F52" t="s">
        <v>239</v>
      </c>
      <c r="G52" t="s">
        <v>240</v>
      </c>
      <c r="H52">
        <v>45210</v>
      </c>
      <c r="I52" t="s">
        <v>43</v>
      </c>
      <c r="J52" t="s">
        <v>241</v>
      </c>
      <c r="K52">
        <v>45306</v>
      </c>
      <c r="L52">
        <v>45196</v>
      </c>
      <c r="M52" t="s">
        <v>44</v>
      </c>
      <c r="N52">
        <v>46254</v>
      </c>
      <c r="O52">
        <v>100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22</v>
      </c>
      <c r="AI52" t="s">
        <v>23</v>
      </c>
      <c r="AK52" t="s">
        <v>24</v>
      </c>
      <c r="AL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2">
        <f>SUM(Rel_2026[[#This Row],[qtd_TrxContabil]:[VLR_EXP_SORTE]])</f>
        <v>100</v>
      </c>
      <c r="AN5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3" spans="1:40" x14ac:dyDescent="0.3">
      <c r="A53" t="str">
        <f>IF(Rel_2026[[#This Row],[Zero]]=0,"Zero",IF(Rel_2026[[#This Row],[Pontuação]]&gt;=10,"Sim",IF(Rel_2026[[#This Row],[Pontuação]]&gt;=5,"Próximo","Não")))</f>
        <v>Sim</v>
      </c>
      <c r="B53" t="str">
        <f>IF(Rel_2026[[#This Row],[Zero]]=0,"Zero",IF(Rel_2026[[#This Row],[Pontuação2]]&gt;=10,"Sim",IF(Rel_2026[[#This Row],[Pontuação2]]&gt;=5,"Próximo","Não")))</f>
        <v>Sim</v>
      </c>
      <c r="C53" t="s">
        <v>42</v>
      </c>
      <c r="D53" t="str">
        <f>LEFT(Rel_2026[[#This Row],[ag_pacb]],4)</f>
        <v>0985</v>
      </c>
      <c r="E53">
        <v>58237</v>
      </c>
      <c r="F53" t="s">
        <v>243</v>
      </c>
      <c r="G53" t="s">
        <v>244</v>
      </c>
      <c r="H53">
        <v>44165</v>
      </c>
      <c r="I53" t="s">
        <v>43</v>
      </c>
      <c r="J53" t="s">
        <v>178</v>
      </c>
      <c r="K53">
        <v>42229</v>
      </c>
      <c r="L53">
        <v>45512</v>
      </c>
      <c r="M53" t="s">
        <v>44</v>
      </c>
      <c r="N53">
        <v>46254</v>
      </c>
      <c r="O53">
        <v>1513</v>
      </c>
      <c r="P53">
        <v>13</v>
      </c>
      <c r="Q53">
        <v>5</v>
      </c>
      <c r="R53">
        <v>13</v>
      </c>
      <c r="S53">
        <v>3</v>
      </c>
      <c r="T53">
        <v>42363</v>
      </c>
      <c r="U53">
        <v>42363</v>
      </c>
      <c r="V53">
        <v>0</v>
      </c>
      <c r="W53">
        <v>0</v>
      </c>
      <c r="X53">
        <v>0</v>
      </c>
      <c r="Y53">
        <v>2295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0</v>
      </c>
      <c r="AF53">
        <v>15</v>
      </c>
      <c r="AG53">
        <v>0</v>
      </c>
      <c r="AH53" t="s">
        <v>22</v>
      </c>
      <c r="AI53" t="s">
        <v>23</v>
      </c>
      <c r="AK53" t="s">
        <v>24</v>
      </c>
      <c r="AL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124</v>
      </c>
      <c r="AM53">
        <f>SUM(Rel_2026[[#This Row],[qtd_TrxContabil]:[VLR_EXP_SORTE]])</f>
        <v>88586</v>
      </c>
      <c r="AN5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163</v>
      </c>
    </row>
    <row r="54" spans="1:40" x14ac:dyDescent="0.3">
      <c r="A54" t="str">
        <f>IF(Rel_2026[[#This Row],[Zero]]=0,"Zero",IF(Rel_2026[[#This Row],[Pontuação]]&gt;=10,"Sim",IF(Rel_2026[[#This Row],[Pontuação]]&gt;=5,"Próximo","Não")))</f>
        <v>Não</v>
      </c>
      <c r="B54" t="str">
        <f>IF(Rel_2026[[#This Row],[Zero]]=0,"Zero",IF(Rel_2026[[#This Row],[Pontuação2]]&gt;=10,"Sim",IF(Rel_2026[[#This Row],[Pontuação2]]&gt;=5,"Próximo","Não")))</f>
        <v>Não</v>
      </c>
      <c r="C54" t="s">
        <v>42</v>
      </c>
      <c r="D54" t="str">
        <f>LEFT(Rel_2026[[#This Row],[ag_pacb]],4)</f>
        <v>0985</v>
      </c>
      <c r="E54">
        <v>60722</v>
      </c>
      <c r="F54" t="s">
        <v>245</v>
      </c>
      <c r="G54" t="s">
        <v>246</v>
      </c>
      <c r="H54">
        <v>45120</v>
      </c>
      <c r="I54" t="s">
        <v>43</v>
      </c>
      <c r="J54" t="s">
        <v>178</v>
      </c>
      <c r="K54">
        <v>42226</v>
      </c>
      <c r="L54">
        <v>45511</v>
      </c>
      <c r="M54" t="s">
        <v>44</v>
      </c>
      <c r="N54">
        <v>46254</v>
      </c>
      <c r="O54">
        <v>1047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25</v>
      </c>
      <c r="AI54" t="s">
        <v>23</v>
      </c>
      <c r="AK54" t="s">
        <v>24</v>
      </c>
      <c r="AL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4">
        <f>SUM(Rel_2026[[#This Row],[qtd_TrxContabil]:[VLR_EXP_SORTE]])</f>
        <v>1047</v>
      </c>
      <c r="AN5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5" spans="1:40" x14ac:dyDescent="0.3">
      <c r="A55" t="str">
        <f>IF(Rel_2026[[#This Row],[Zero]]=0,"Zero",IF(Rel_2026[[#This Row],[Pontuação]]&gt;=10,"Sim",IF(Rel_2026[[#This Row],[Pontuação]]&gt;=5,"Próximo","Não")))</f>
        <v>Não</v>
      </c>
      <c r="B55" t="str">
        <f>IF(Rel_2026[[#This Row],[Zero]]=0,"Zero",IF(Rel_2026[[#This Row],[Pontuação2]]&gt;=10,"Sim",IF(Rel_2026[[#This Row],[Pontuação2]]&gt;=5,"Próximo","Não")))</f>
        <v>Não</v>
      </c>
      <c r="C55" t="s">
        <v>42</v>
      </c>
      <c r="D55" t="str">
        <f>LEFT(Rel_2026[[#This Row],[ag_pacb]],4)</f>
        <v>5808</v>
      </c>
      <c r="E55">
        <v>147670</v>
      </c>
      <c r="F55" t="s">
        <v>247</v>
      </c>
      <c r="G55" t="s">
        <v>248</v>
      </c>
      <c r="H55">
        <v>45204</v>
      </c>
      <c r="I55" t="s">
        <v>43</v>
      </c>
      <c r="J55" t="s">
        <v>204</v>
      </c>
      <c r="K55">
        <v>42636</v>
      </c>
      <c r="L55">
        <v>44572</v>
      </c>
      <c r="M55" t="s">
        <v>44</v>
      </c>
      <c r="N55">
        <v>46254</v>
      </c>
      <c r="O55">
        <v>318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22</v>
      </c>
      <c r="AI55" t="s">
        <v>23</v>
      </c>
      <c r="AK55" t="s">
        <v>24</v>
      </c>
      <c r="AL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55">
        <f>SUM(Rel_2026[[#This Row],[qtd_TrxContabil]:[VLR_EXP_SORTE]])</f>
        <v>318</v>
      </c>
      <c r="AN5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56" spans="1:40" x14ac:dyDescent="0.3">
      <c r="A56" t="str">
        <f>IF(Rel_2026[[#This Row],[Zero]]=0,"Zero",IF(Rel_2026[[#This Row],[Pontuação]]&gt;=10,"Sim",IF(Rel_2026[[#This Row],[Pontuação]]&gt;=5,"Próximo","Não")))</f>
        <v>Sim</v>
      </c>
      <c r="B56" t="str">
        <f>IF(Rel_2026[[#This Row],[Zero]]=0,"Zero",IF(Rel_2026[[#This Row],[Pontuação2]]&gt;=10,"Sim",IF(Rel_2026[[#This Row],[Pontuação2]]&gt;=5,"Próximo","Não")))</f>
        <v>Sim</v>
      </c>
      <c r="C56" t="s">
        <v>42</v>
      </c>
      <c r="D56" t="str">
        <f>LEFT(Rel_2026[[#This Row],[ag_pacb]],4)</f>
        <v>0985</v>
      </c>
      <c r="E56">
        <v>51537</v>
      </c>
      <c r="F56" t="s">
        <v>251</v>
      </c>
      <c r="G56" t="s">
        <v>252</v>
      </c>
      <c r="H56">
        <v>45120</v>
      </c>
      <c r="I56" t="s">
        <v>43</v>
      </c>
      <c r="J56" t="s">
        <v>237</v>
      </c>
      <c r="K56">
        <v>42123</v>
      </c>
      <c r="L56">
        <v>45428</v>
      </c>
      <c r="M56" t="s">
        <v>44</v>
      </c>
      <c r="N56">
        <v>46254</v>
      </c>
      <c r="O56">
        <v>2711</v>
      </c>
      <c r="P56">
        <v>36</v>
      </c>
      <c r="Q56">
        <v>17</v>
      </c>
      <c r="R56">
        <v>26</v>
      </c>
      <c r="S56">
        <v>2</v>
      </c>
      <c r="T56">
        <v>6200</v>
      </c>
      <c r="U56">
        <v>6200</v>
      </c>
      <c r="V56">
        <v>0</v>
      </c>
      <c r="W56">
        <v>0</v>
      </c>
      <c r="X56">
        <v>0</v>
      </c>
      <c r="Y56">
        <v>2834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2</v>
      </c>
      <c r="AF56">
        <v>24</v>
      </c>
      <c r="AG56">
        <v>0</v>
      </c>
      <c r="AH56" t="s">
        <v>22</v>
      </c>
      <c r="AI56" t="s">
        <v>23</v>
      </c>
      <c r="AK56" t="s">
        <v>24</v>
      </c>
      <c r="AL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213</v>
      </c>
      <c r="AM56">
        <f>SUM(Rel_2026[[#This Row],[qtd_TrxContabil]:[VLR_EXP_SORTE]])</f>
        <v>18054</v>
      </c>
      <c r="AN5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291</v>
      </c>
    </row>
    <row r="57" spans="1:40" x14ac:dyDescent="0.3">
      <c r="A57" t="str">
        <f>IF(Rel_2026[[#This Row],[Zero]]=0,"Zero",IF(Rel_2026[[#This Row],[Pontuação]]&gt;=10,"Sim",IF(Rel_2026[[#This Row],[Pontuação]]&gt;=5,"Próximo","Não")))</f>
        <v>Sim</v>
      </c>
      <c r="B57" t="str">
        <f>IF(Rel_2026[[#This Row],[Zero]]=0,"Zero",IF(Rel_2026[[#This Row],[Pontuação2]]&gt;=10,"Sim",IF(Rel_2026[[#This Row],[Pontuação2]]&gt;=5,"Próximo","Não")))</f>
        <v>Sim</v>
      </c>
      <c r="C57" t="s">
        <v>42</v>
      </c>
      <c r="D57" t="str">
        <f>LEFT(Rel_2026[[#This Row],[ag_pacb]],4)</f>
        <v>5808</v>
      </c>
      <c r="E57">
        <v>118558</v>
      </c>
      <c r="F57" t="s">
        <v>253</v>
      </c>
      <c r="G57" t="s">
        <v>254</v>
      </c>
      <c r="H57">
        <v>44141</v>
      </c>
      <c r="I57" t="s">
        <v>43</v>
      </c>
      <c r="J57" t="s">
        <v>255</v>
      </c>
      <c r="K57">
        <v>44085</v>
      </c>
      <c r="L57">
        <v>45587</v>
      </c>
      <c r="M57" t="s">
        <v>44</v>
      </c>
      <c r="N57">
        <v>46254</v>
      </c>
      <c r="O57">
        <v>1808</v>
      </c>
      <c r="P57">
        <v>4</v>
      </c>
      <c r="Q57">
        <v>4</v>
      </c>
      <c r="R57">
        <v>0</v>
      </c>
      <c r="S57">
        <v>0</v>
      </c>
      <c r="T57">
        <v>15233</v>
      </c>
      <c r="U57">
        <v>15233</v>
      </c>
      <c r="V57">
        <v>0</v>
      </c>
      <c r="W57">
        <v>0</v>
      </c>
      <c r="X57">
        <v>0</v>
      </c>
      <c r="Y57">
        <v>1500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3</v>
      </c>
      <c r="AF57">
        <v>5</v>
      </c>
      <c r="AG57">
        <v>0</v>
      </c>
      <c r="AH57" t="s">
        <v>25</v>
      </c>
      <c r="AI57" t="s">
        <v>23</v>
      </c>
      <c r="AK57" t="s">
        <v>24</v>
      </c>
      <c r="AL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  <c r="AM57">
        <f>SUM(Rel_2026[[#This Row],[qtd_TrxContabil]:[VLR_EXP_SORTE]])</f>
        <v>33791</v>
      </c>
      <c r="AN5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58" spans="1:40" x14ac:dyDescent="0.3">
      <c r="A58" t="str">
        <f>IF(Rel_2026[[#This Row],[Zero]]=0,"Zero",IF(Rel_2026[[#This Row],[Pontuação]]&gt;=10,"Sim",IF(Rel_2026[[#This Row],[Pontuação]]&gt;=5,"Próximo","Não")))</f>
        <v>Sim</v>
      </c>
      <c r="B58" t="str">
        <f>IF(Rel_2026[[#This Row],[Zero]]=0,"Zero",IF(Rel_2026[[#This Row],[Pontuação2]]&gt;=10,"Sim",IF(Rel_2026[[#This Row],[Pontuação2]]&gt;=5,"Próximo","Não")))</f>
        <v>Sim</v>
      </c>
      <c r="C58" t="s">
        <v>42</v>
      </c>
      <c r="D58" t="str">
        <f>LEFT(Rel_2026[[#This Row],[ag_pacb]],4)</f>
        <v>5795</v>
      </c>
      <c r="E58">
        <v>154649</v>
      </c>
      <c r="F58" t="s">
        <v>330</v>
      </c>
      <c r="G58" t="s">
        <v>331</v>
      </c>
      <c r="H58">
        <v>44103</v>
      </c>
      <c r="I58" t="s">
        <v>43</v>
      </c>
      <c r="J58" t="s">
        <v>218</v>
      </c>
      <c r="K58">
        <v>43307</v>
      </c>
      <c r="L58">
        <v>46135</v>
      </c>
      <c r="M58" t="s">
        <v>44</v>
      </c>
      <c r="N58">
        <v>46254</v>
      </c>
      <c r="O58">
        <v>509</v>
      </c>
      <c r="P58">
        <v>4</v>
      </c>
      <c r="Q58">
        <v>2</v>
      </c>
      <c r="R58">
        <v>0</v>
      </c>
      <c r="S58">
        <v>0</v>
      </c>
      <c r="T58">
        <v>1600</v>
      </c>
      <c r="U58">
        <v>1600</v>
      </c>
      <c r="V58">
        <v>0</v>
      </c>
      <c r="W58">
        <v>0</v>
      </c>
      <c r="X58">
        <v>0</v>
      </c>
      <c r="Y58">
        <v>800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 t="s">
        <v>22</v>
      </c>
      <c r="AI58" t="s">
        <v>23</v>
      </c>
      <c r="AK58" t="s">
        <v>24</v>
      </c>
      <c r="AL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  <c r="AM58">
        <f>SUM(Rel_2026[[#This Row],[qtd_TrxContabil]:[VLR_EXP_SORTE]])</f>
        <v>4516</v>
      </c>
      <c r="AN5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59" spans="1:40" x14ac:dyDescent="0.3">
      <c r="A59" t="str">
        <f>IF(Rel_2026[[#This Row],[Zero]]=0,"Zero",IF(Rel_2026[[#This Row],[Pontuação]]&gt;=10,"Sim",IF(Rel_2026[[#This Row],[Pontuação]]&gt;=5,"Próximo","Não")))</f>
        <v>Sim</v>
      </c>
      <c r="B59" t="str">
        <f>IF(Rel_2026[[#This Row],[Zero]]=0,"Zero",IF(Rel_2026[[#This Row],[Pontuação2]]&gt;=10,"Sim",IF(Rel_2026[[#This Row],[Pontuação2]]&gt;=5,"Próximo","Não")))</f>
        <v>Sim</v>
      </c>
      <c r="C59" t="s">
        <v>42</v>
      </c>
      <c r="D59" t="str">
        <f>LEFT(Rel_2026[[#This Row],[ag_pacb]],4)</f>
        <v>1522</v>
      </c>
      <c r="E59">
        <v>221915</v>
      </c>
      <c r="F59" t="s">
        <v>266</v>
      </c>
      <c r="G59" t="s">
        <v>267</v>
      </c>
      <c r="H59">
        <v>45894</v>
      </c>
      <c r="I59" t="s">
        <v>43</v>
      </c>
      <c r="J59" t="s">
        <v>192</v>
      </c>
      <c r="K59">
        <v>45306</v>
      </c>
      <c r="L59">
        <v>45071</v>
      </c>
      <c r="M59" t="s">
        <v>44</v>
      </c>
      <c r="N59">
        <v>46254</v>
      </c>
      <c r="O59">
        <v>57</v>
      </c>
      <c r="P59">
        <v>2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22</v>
      </c>
      <c r="AI59" t="s">
        <v>23</v>
      </c>
      <c r="AK59" t="s">
        <v>24</v>
      </c>
      <c r="AL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59">
        <f>SUM(Rel_2026[[#This Row],[qtd_TrxContabil]:[VLR_EXP_SORTE]])</f>
        <v>62</v>
      </c>
      <c r="AN5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60" spans="1:40" x14ac:dyDescent="0.3">
      <c r="A60" t="str">
        <f>IF(Rel_2026[[#This Row],[Zero]]=0,"Zero",IF(Rel_2026[[#This Row],[Pontuação]]&gt;=10,"Sim",IF(Rel_2026[[#This Row],[Pontuação]]&gt;=5,"Próximo","Não")))</f>
        <v>Próximo</v>
      </c>
      <c r="B60" t="str">
        <f>IF(Rel_2026[[#This Row],[Zero]]=0,"Zero",IF(Rel_2026[[#This Row],[Pontuação2]]&gt;=10,"Sim",IF(Rel_2026[[#This Row],[Pontuação2]]&gt;=5,"Próximo","Não")))</f>
        <v>Sim</v>
      </c>
      <c r="C60" t="s">
        <v>42</v>
      </c>
      <c r="D60" t="str">
        <f>LEFT(Rel_2026[[#This Row],[ag_pacb]],4)</f>
        <v>5808</v>
      </c>
      <c r="E60">
        <v>421703</v>
      </c>
      <c r="F60" t="s">
        <v>270</v>
      </c>
      <c r="G60" t="s">
        <v>271</v>
      </c>
      <c r="H60">
        <v>46043</v>
      </c>
      <c r="I60" t="s">
        <v>43</v>
      </c>
      <c r="J60" t="s">
        <v>204</v>
      </c>
      <c r="K60">
        <v>46029</v>
      </c>
      <c r="L60">
        <v>46058</v>
      </c>
      <c r="M60" t="s">
        <v>44</v>
      </c>
      <c r="N60">
        <v>46254</v>
      </c>
      <c r="O60">
        <v>94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22</v>
      </c>
      <c r="AI60" t="s">
        <v>23</v>
      </c>
      <c r="AK60" t="s">
        <v>24</v>
      </c>
      <c r="AL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60">
        <f>SUM(Rel_2026[[#This Row],[qtd_TrxContabil]:[VLR_EXP_SORTE]])</f>
        <v>97</v>
      </c>
      <c r="AN6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1" spans="1:40" x14ac:dyDescent="0.3">
      <c r="A61" t="str">
        <f>IF(Rel_2026[[#This Row],[Zero]]=0,"Zero",IF(Rel_2026[[#This Row],[Pontuação]]&gt;=10,"Sim",IF(Rel_2026[[#This Row],[Pontuação]]&gt;=5,"Próximo","Não")))</f>
        <v>Não</v>
      </c>
      <c r="B61" t="str">
        <f>IF(Rel_2026[[#This Row],[Zero]]=0,"Zero",IF(Rel_2026[[#This Row],[Pontuação2]]&gt;=10,"Sim",IF(Rel_2026[[#This Row],[Pontuação2]]&gt;=5,"Próximo","Não")))</f>
        <v>Não</v>
      </c>
      <c r="C61" t="s">
        <v>42</v>
      </c>
      <c r="D61" t="str">
        <f>LEFT(Rel_2026[[#This Row],[ag_pacb]],4)</f>
        <v>1522</v>
      </c>
      <c r="E61">
        <v>166694</v>
      </c>
      <c r="F61" t="s">
        <v>274</v>
      </c>
      <c r="G61" t="s">
        <v>275</v>
      </c>
      <c r="H61">
        <v>44141</v>
      </c>
      <c r="I61" t="s">
        <v>43</v>
      </c>
      <c r="J61" t="s">
        <v>189</v>
      </c>
      <c r="K61">
        <v>43922</v>
      </c>
      <c r="L61">
        <v>46141</v>
      </c>
      <c r="M61" t="s">
        <v>44</v>
      </c>
      <c r="N61">
        <v>46254</v>
      </c>
      <c r="O61">
        <v>378</v>
      </c>
      <c r="P61">
        <v>0</v>
      </c>
      <c r="Q61">
        <v>0</v>
      </c>
      <c r="R61">
        <v>0</v>
      </c>
      <c r="S61">
        <v>0</v>
      </c>
      <c r="T61">
        <v>1712</v>
      </c>
      <c r="U61">
        <v>1712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25</v>
      </c>
      <c r="AH61" t="s">
        <v>25</v>
      </c>
      <c r="AI61" t="s">
        <v>23</v>
      </c>
      <c r="AK61" t="s">
        <v>24</v>
      </c>
      <c r="AL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  <c r="AM61">
        <f>SUM(Rel_2026[[#This Row],[qtd_TrxContabil]:[VLR_EXP_SORTE]])</f>
        <v>3828</v>
      </c>
      <c r="AN6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</v>
      </c>
    </row>
    <row r="62" spans="1:40" x14ac:dyDescent="0.3">
      <c r="A62" t="str">
        <f>IF(Rel_2026[[#This Row],[Zero]]=0,"Zero",IF(Rel_2026[[#This Row],[Pontuação]]&gt;=10,"Sim",IF(Rel_2026[[#This Row],[Pontuação]]&gt;=5,"Próximo","Não")))</f>
        <v>Sim</v>
      </c>
      <c r="B62" t="str">
        <f>IF(Rel_2026[[#This Row],[Zero]]=0,"Zero",IF(Rel_2026[[#This Row],[Pontuação2]]&gt;=10,"Sim",IF(Rel_2026[[#This Row],[Pontuação2]]&gt;=5,"Próximo","Não")))</f>
        <v>Sim</v>
      </c>
      <c r="C62" t="s">
        <v>42</v>
      </c>
      <c r="D62" t="str">
        <f>LEFT(Rel_2026[[#This Row],[ag_pacb]],4)</f>
        <v>1522</v>
      </c>
      <c r="E62">
        <v>159594</v>
      </c>
      <c r="F62" t="s">
        <v>347</v>
      </c>
      <c r="G62" t="s">
        <v>348</v>
      </c>
      <c r="H62">
        <v>44734</v>
      </c>
      <c r="I62" t="s">
        <v>43</v>
      </c>
      <c r="J62" t="s">
        <v>276</v>
      </c>
      <c r="K62">
        <v>43042</v>
      </c>
      <c r="L62">
        <v>44823</v>
      </c>
      <c r="M62" t="s">
        <v>44</v>
      </c>
      <c r="N62">
        <v>46254</v>
      </c>
      <c r="O62">
        <v>38</v>
      </c>
      <c r="P62">
        <v>0</v>
      </c>
      <c r="Q62">
        <v>0</v>
      </c>
      <c r="R62">
        <v>0</v>
      </c>
      <c r="S62">
        <v>0</v>
      </c>
      <c r="T62">
        <v>24243</v>
      </c>
      <c r="U62">
        <v>24243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 t="s">
        <v>22</v>
      </c>
      <c r="AI62" t="s">
        <v>23</v>
      </c>
      <c r="AK62" t="s">
        <v>24</v>
      </c>
      <c r="AL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  <c r="AM62">
        <f>SUM(Rel_2026[[#This Row],[qtd_TrxContabil]:[VLR_EXP_SORTE]])</f>
        <v>48525</v>
      </c>
      <c r="AN6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25</v>
      </c>
    </row>
    <row r="63" spans="1:40" x14ac:dyDescent="0.3">
      <c r="A63" t="str">
        <f>IF(Rel_2026[[#This Row],[Zero]]=0,"Zero",IF(Rel_2026[[#This Row],[Pontuação]]&gt;=10,"Sim",IF(Rel_2026[[#This Row],[Pontuação]]&gt;=5,"Próximo","Não")))</f>
        <v>Sim</v>
      </c>
      <c r="B63" t="str">
        <f>IF(Rel_2026[[#This Row],[Zero]]=0,"Zero",IF(Rel_2026[[#This Row],[Pontuação2]]&gt;=10,"Sim",IF(Rel_2026[[#This Row],[Pontuação2]]&gt;=5,"Próximo","Não")))</f>
        <v>Sim</v>
      </c>
      <c r="C63" t="s">
        <v>42</v>
      </c>
      <c r="D63" t="str">
        <f>LEFT(Rel_2026[[#This Row],[ag_pacb]],4)</f>
        <v>0985</v>
      </c>
      <c r="E63">
        <v>236028</v>
      </c>
      <c r="F63" t="s">
        <v>297</v>
      </c>
      <c r="G63" t="s">
        <v>298</v>
      </c>
      <c r="H63">
        <v>44756</v>
      </c>
      <c r="I63" t="s">
        <v>43</v>
      </c>
      <c r="J63" t="s">
        <v>203</v>
      </c>
      <c r="K63">
        <v>45306</v>
      </c>
      <c r="L63">
        <v>44784</v>
      </c>
      <c r="M63" t="s">
        <v>44</v>
      </c>
      <c r="N63">
        <v>46254</v>
      </c>
      <c r="O63">
        <v>212</v>
      </c>
      <c r="P63">
        <v>2</v>
      </c>
      <c r="Q63">
        <v>2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22</v>
      </c>
      <c r="AI63" t="s">
        <v>23</v>
      </c>
      <c r="AK63" t="s">
        <v>24</v>
      </c>
      <c r="AL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63">
        <f>SUM(Rel_2026[[#This Row],[qtd_TrxContabil]:[VLR_EXP_SORTE]])</f>
        <v>218</v>
      </c>
      <c r="AN6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64" spans="1:40" x14ac:dyDescent="0.3">
      <c r="A64" t="str">
        <f>IF(Rel_2026[[#This Row],[Zero]]=0,"Zero",IF(Rel_2026[[#This Row],[Pontuação]]&gt;=10,"Sim",IF(Rel_2026[[#This Row],[Pontuação]]&gt;=5,"Próximo","Não")))</f>
        <v>Sim</v>
      </c>
      <c r="B64" t="str">
        <f>IF(Rel_2026[[#This Row],[Zero]]=0,"Zero",IF(Rel_2026[[#This Row],[Pontuação2]]&gt;=10,"Sim",IF(Rel_2026[[#This Row],[Pontuação2]]&gt;=5,"Próximo","Não")))</f>
        <v>Sim</v>
      </c>
      <c r="C64" t="s">
        <v>42</v>
      </c>
      <c r="D64" t="str">
        <f>LEFT(Rel_2026[[#This Row],[ag_pacb]],4)</f>
        <v>5806</v>
      </c>
      <c r="E64">
        <v>422858</v>
      </c>
      <c r="F64" t="s">
        <v>299</v>
      </c>
      <c r="G64" t="s">
        <v>300</v>
      </c>
      <c r="H64">
        <v>46105</v>
      </c>
      <c r="I64" t="s">
        <v>43</v>
      </c>
      <c r="J64" t="s">
        <v>301</v>
      </c>
      <c r="K64">
        <v>46092</v>
      </c>
      <c r="L64">
        <v>46134</v>
      </c>
      <c r="M64" t="s">
        <v>44</v>
      </c>
      <c r="N64">
        <v>46254</v>
      </c>
      <c r="O64">
        <v>32</v>
      </c>
      <c r="P64">
        <v>2</v>
      </c>
      <c r="Q64">
        <v>2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 t="s">
        <v>22</v>
      </c>
      <c r="AI64" t="s">
        <v>23</v>
      </c>
      <c r="AK64" t="s">
        <v>24</v>
      </c>
      <c r="AL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64">
        <f>SUM(Rel_2026[[#This Row],[qtd_TrxContabil]:[VLR_EXP_SORTE]])</f>
        <v>40</v>
      </c>
      <c r="AN6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65" spans="1:40" x14ac:dyDescent="0.3">
      <c r="A65" t="str">
        <f>IF(Rel_2026[[#This Row],[Zero]]=0,"Zero",IF(Rel_2026[[#This Row],[Pontuação]]&gt;=10,"Sim",IF(Rel_2026[[#This Row],[Pontuação]]&gt;=5,"Próximo","Não")))</f>
        <v>Não</v>
      </c>
      <c r="B65" t="str">
        <f>IF(Rel_2026[[#This Row],[Zero]]=0,"Zero",IF(Rel_2026[[#This Row],[Pontuação2]]&gt;=10,"Sim",IF(Rel_2026[[#This Row],[Pontuação2]]&gt;=5,"Próximo","Não")))</f>
        <v>Não</v>
      </c>
      <c r="C65" t="s">
        <v>339</v>
      </c>
      <c r="D65" t="str">
        <f>LEFT(Rel_2026[[#This Row],[ag_pacb]],4)</f>
        <v>0854</v>
      </c>
      <c r="E65">
        <v>179143</v>
      </c>
      <c r="F65" t="s">
        <v>281</v>
      </c>
      <c r="G65" t="s">
        <v>282</v>
      </c>
      <c r="H65">
        <v>45173</v>
      </c>
      <c r="I65" t="s">
        <v>279</v>
      </c>
      <c r="J65" t="s">
        <v>280</v>
      </c>
      <c r="K65">
        <v>43910</v>
      </c>
      <c r="L65">
        <v>45219</v>
      </c>
      <c r="M65" t="s">
        <v>44</v>
      </c>
      <c r="N65">
        <v>46254</v>
      </c>
      <c r="O65">
        <v>62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22</v>
      </c>
      <c r="AI65" t="s">
        <v>23</v>
      </c>
      <c r="AK65" t="s">
        <v>24</v>
      </c>
      <c r="AL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65">
        <f>SUM(Rel_2026[[#This Row],[qtd_TrxContabil]:[VLR_EXP_SORTE]])</f>
        <v>63</v>
      </c>
      <c r="AN6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</row>
    <row r="66" spans="1:40" x14ac:dyDescent="0.3">
      <c r="A66" t="str">
        <f>IF(Rel_2026[[#This Row],[Zero]]=0,"Zero",IF(Rel_2026[[#This Row],[Pontuação]]&gt;=10,"Sim",IF(Rel_2026[[#This Row],[Pontuação]]&gt;=5,"Próximo","Não")))</f>
        <v>Sim</v>
      </c>
      <c r="B66" t="str">
        <f>IF(Rel_2026[[#This Row],[Zero]]=0,"Zero",IF(Rel_2026[[#This Row],[Pontuação2]]&gt;=10,"Sim",IF(Rel_2026[[#This Row],[Pontuação2]]&gt;=5,"Próximo","Não")))</f>
        <v>Sim</v>
      </c>
      <c r="C66" t="s">
        <v>339</v>
      </c>
      <c r="D66" t="str">
        <f>LEFT(Rel_2026[[#This Row],[ag_pacb]],4)</f>
        <v>0854</v>
      </c>
      <c r="E66">
        <v>150795</v>
      </c>
      <c r="F66" t="s">
        <v>283</v>
      </c>
      <c r="G66" t="s">
        <v>284</v>
      </c>
      <c r="H66">
        <v>45154</v>
      </c>
      <c r="I66" t="s">
        <v>279</v>
      </c>
      <c r="J66" t="s">
        <v>280</v>
      </c>
      <c r="K66">
        <v>42551</v>
      </c>
      <c r="L66">
        <v>46112</v>
      </c>
      <c r="M66" t="s">
        <v>44</v>
      </c>
      <c r="N66">
        <v>46254</v>
      </c>
      <c r="O66">
        <v>1524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25</v>
      </c>
      <c r="AI66" t="s">
        <v>23</v>
      </c>
      <c r="AK66" t="s">
        <v>24</v>
      </c>
      <c r="AL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66">
        <f>SUM(Rel_2026[[#This Row],[qtd_TrxContabil]:[VLR_EXP_SORTE]])</f>
        <v>1827</v>
      </c>
      <c r="AN6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67" spans="1:40" x14ac:dyDescent="0.3">
      <c r="A67" t="str">
        <f>IF(Rel_2026[[#This Row],[Zero]]=0,"Zero",IF(Rel_2026[[#This Row],[Pontuação]]&gt;=10,"Sim",IF(Rel_2026[[#This Row],[Pontuação]]&gt;=5,"Próximo","Não")))</f>
        <v>Zero</v>
      </c>
      <c r="B67" t="str">
        <f>IF(Rel_2026[[#This Row],[Zero]]=0,"Zero",IF(Rel_2026[[#This Row],[Pontuação2]]&gt;=10,"Sim",IF(Rel_2026[[#This Row],[Pontuação2]]&gt;=5,"Próximo","Não")))</f>
        <v>Zero</v>
      </c>
      <c r="C67" t="s">
        <v>339</v>
      </c>
      <c r="D67" t="str">
        <f>LEFT(Rel_2026[[#This Row],[ag_pacb]],4)</f>
        <v>0854</v>
      </c>
      <c r="E67">
        <v>417617</v>
      </c>
      <c r="F67" t="s">
        <v>285</v>
      </c>
      <c r="G67" t="s">
        <v>286</v>
      </c>
      <c r="H67">
        <v>45919</v>
      </c>
      <c r="I67" t="s">
        <v>279</v>
      </c>
      <c r="J67" t="s">
        <v>280</v>
      </c>
      <c r="K67">
        <v>45912</v>
      </c>
      <c r="L67">
        <v>45925</v>
      </c>
      <c r="M67" t="s">
        <v>44</v>
      </c>
      <c r="N67">
        <v>46216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">
        <v>22</v>
      </c>
      <c r="AI67" t="s">
        <v>23</v>
      </c>
      <c r="AK67" t="s">
        <v>24</v>
      </c>
      <c r="AL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7">
        <f>SUM(Rel_2026[[#This Row],[qtd_TrxContabil]:[VLR_EXP_SORTE]])</f>
        <v>0</v>
      </c>
      <c r="AN6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68" spans="1:40" x14ac:dyDescent="0.3">
      <c r="A68" t="str">
        <f>IF(Rel_2026[[#This Row],[Zero]]=0,"Zero",IF(Rel_2026[[#This Row],[Pontuação]]&gt;=10,"Sim",IF(Rel_2026[[#This Row],[Pontuação]]&gt;=5,"Próximo","Não")))</f>
        <v>Sim</v>
      </c>
      <c r="B68" t="str">
        <f>IF(Rel_2026[[#This Row],[Zero]]=0,"Zero",IF(Rel_2026[[#This Row],[Pontuação2]]&gt;=10,"Sim",IF(Rel_2026[[#This Row],[Pontuação2]]&gt;=5,"Próximo","Não")))</f>
        <v>Sim</v>
      </c>
      <c r="C68" t="s">
        <v>339</v>
      </c>
      <c r="D68" t="str">
        <f>LEFT(Rel_2026[[#This Row],[ag_pacb]],4)</f>
        <v>0854</v>
      </c>
      <c r="E68">
        <v>98954</v>
      </c>
      <c r="F68" t="s">
        <v>277</v>
      </c>
      <c r="G68" t="s">
        <v>278</v>
      </c>
      <c r="H68">
        <v>45188</v>
      </c>
      <c r="I68" t="s">
        <v>279</v>
      </c>
      <c r="J68" t="s">
        <v>280</v>
      </c>
      <c r="K68">
        <v>43927</v>
      </c>
      <c r="L68">
        <v>46246</v>
      </c>
      <c r="M68" t="s">
        <v>44</v>
      </c>
      <c r="N68">
        <v>46254</v>
      </c>
      <c r="O68">
        <v>1198</v>
      </c>
      <c r="P68">
        <v>2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s">
        <v>22</v>
      </c>
      <c r="AI68" t="s">
        <v>23</v>
      </c>
      <c r="AK68" t="s">
        <v>24</v>
      </c>
      <c r="AL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68">
        <f>SUM(Rel_2026[[#This Row],[qtd_TrxContabil]:[VLR_EXP_SORTE]])</f>
        <v>1201</v>
      </c>
      <c r="AN6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69" spans="1:40" x14ac:dyDescent="0.3">
      <c r="A69" t="str">
        <f>IF(Rel_2026[[#This Row],[Zero]]=0,"Zero",IF(Rel_2026[[#This Row],[Pontuação]]&gt;=10,"Sim",IF(Rel_2026[[#This Row],[Pontuação]]&gt;=5,"Próximo","Não")))</f>
        <v>Não</v>
      </c>
      <c r="B69" t="str">
        <f>IF(Rel_2026[[#This Row],[Zero]]=0,"Zero",IF(Rel_2026[[#This Row],[Pontuação2]]&gt;=10,"Sim",IF(Rel_2026[[#This Row],[Pontuação2]]&gt;=5,"Próximo","Não")))</f>
        <v>Não</v>
      </c>
      <c r="C69" t="s">
        <v>339</v>
      </c>
      <c r="D69" t="str">
        <f>LEFT(Rel_2026[[#This Row],[ag_pacb]],4)</f>
        <v>3848</v>
      </c>
      <c r="E69">
        <v>44993</v>
      </c>
      <c r="F69" t="s">
        <v>265</v>
      </c>
      <c r="G69" t="s">
        <v>296</v>
      </c>
      <c r="H69">
        <v>45119</v>
      </c>
      <c r="I69" t="s">
        <v>43</v>
      </c>
      <c r="J69" t="s">
        <v>258</v>
      </c>
      <c r="K69">
        <v>42464</v>
      </c>
      <c r="L69">
        <v>44792</v>
      </c>
      <c r="M69" t="s">
        <v>44</v>
      </c>
      <c r="N69">
        <v>46254</v>
      </c>
      <c r="O69">
        <v>294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25</v>
      </c>
      <c r="AI69" t="s">
        <v>23</v>
      </c>
      <c r="AK69" t="s">
        <v>24</v>
      </c>
      <c r="AL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69">
        <f>SUM(Rel_2026[[#This Row],[qtd_TrxContabil]:[VLR_EXP_SORTE]])</f>
        <v>294</v>
      </c>
      <c r="AN6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0" spans="1:40" x14ac:dyDescent="0.3">
      <c r="A70" t="str">
        <f>IF(Rel_2026[[#This Row],[Zero]]=0,"Zero",IF(Rel_2026[[#This Row],[Pontuação]]&gt;=10,"Sim",IF(Rel_2026[[#This Row],[Pontuação]]&gt;=5,"Próximo","Não")))</f>
        <v>Não</v>
      </c>
      <c r="B70" t="str">
        <f>IF(Rel_2026[[#This Row],[Zero]]=0,"Zero",IF(Rel_2026[[#This Row],[Pontuação2]]&gt;=10,"Sim",IF(Rel_2026[[#This Row],[Pontuação2]]&gt;=5,"Próximo","Não")))</f>
        <v>Não</v>
      </c>
      <c r="C70" t="s">
        <v>339</v>
      </c>
      <c r="D70" t="str">
        <f>LEFT(Rel_2026[[#This Row],[ag_pacb]],4)</f>
        <v>5790</v>
      </c>
      <c r="E70">
        <v>401192</v>
      </c>
      <c r="F70" t="s">
        <v>184</v>
      </c>
      <c r="G70" t="s">
        <v>185</v>
      </c>
      <c r="H70">
        <v>45433</v>
      </c>
      <c r="I70" t="s">
        <v>43</v>
      </c>
      <c r="J70" t="s">
        <v>159</v>
      </c>
      <c r="K70">
        <v>45330</v>
      </c>
      <c r="L70">
        <v>46079</v>
      </c>
      <c r="M70" t="s">
        <v>44</v>
      </c>
      <c r="N70">
        <v>46254</v>
      </c>
      <c r="O70">
        <v>569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">
        <v>25</v>
      </c>
      <c r="AI70" t="s">
        <v>23</v>
      </c>
      <c r="AK70" t="s">
        <v>24</v>
      </c>
      <c r="AL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0">
        <f>SUM(Rel_2026[[#This Row],[qtd_TrxContabil]:[VLR_EXP_SORTE]])</f>
        <v>569</v>
      </c>
      <c r="AN7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1" spans="1:40" x14ac:dyDescent="0.3">
      <c r="A71" t="str">
        <f>IF(Rel_2026[[#This Row],[Zero]]=0,"Zero",IF(Rel_2026[[#This Row],[Pontuação]]&gt;=10,"Sim",IF(Rel_2026[[#This Row],[Pontuação]]&gt;=5,"Próximo","Não")))</f>
        <v>Não</v>
      </c>
      <c r="B71" t="str">
        <f>IF(Rel_2026[[#This Row],[Zero]]=0,"Zero",IF(Rel_2026[[#This Row],[Pontuação2]]&gt;=10,"Sim",IF(Rel_2026[[#This Row],[Pontuação2]]&gt;=5,"Próximo","Não")))</f>
        <v>Não</v>
      </c>
      <c r="C71" t="s">
        <v>339</v>
      </c>
      <c r="D71" t="str">
        <f>LEFT(Rel_2026[[#This Row],[ag_pacb]],4)</f>
        <v>3848</v>
      </c>
      <c r="E71">
        <v>187294</v>
      </c>
      <c r="F71" t="s">
        <v>219</v>
      </c>
      <c r="G71" t="s">
        <v>294</v>
      </c>
      <c r="H71">
        <v>45204</v>
      </c>
      <c r="I71" t="s">
        <v>43</v>
      </c>
      <c r="J71" t="s">
        <v>242</v>
      </c>
      <c r="K71">
        <v>43915</v>
      </c>
      <c r="L71">
        <v>46231</v>
      </c>
      <c r="M71" t="s">
        <v>44</v>
      </c>
      <c r="N71">
        <v>46254</v>
      </c>
      <c r="O71">
        <v>1013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22</v>
      </c>
      <c r="AI71" t="s">
        <v>23</v>
      </c>
      <c r="AK71" t="s">
        <v>24</v>
      </c>
      <c r="AL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1">
        <f>SUM(Rel_2026[[#This Row],[qtd_TrxContabil]:[VLR_EXP_SORTE]])</f>
        <v>1013</v>
      </c>
      <c r="AN7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2" spans="1:40" x14ac:dyDescent="0.3">
      <c r="A72" t="str">
        <f>IF(Rel_2026[[#This Row],[Zero]]=0,"Zero",IF(Rel_2026[[#This Row],[Pontuação]]&gt;=10,"Sim",IF(Rel_2026[[#This Row],[Pontuação]]&gt;=5,"Próximo","Não")))</f>
        <v>Próximo</v>
      </c>
      <c r="B72" t="str">
        <f>IF(Rel_2026[[#This Row],[Zero]]=0,"Zero",IF(Rel_2026[[#This Row],[Pontuação2]]&gt;=10,"Sim",IF(Rel_2026[[#This Row],[Pontuação2]]&gt;=5,"Próximo","Não")))</f>
        <v>Sim</v>
      </c>
      <c r="C72" t="s">
        <v>339</v>
      </c>
      <c r="D72" t="str">
        <f>LEFT(Rel_2026[[#This Row],[ag_pacb]],4)</f>
        <v>5790</v>
      </c>
      <c r="E72">
        <v>159525</v>
      </c>
      <c r="F72" t="s">
        <v>256</v>
      </c>
      <c r="G72" t="s">
        <v>257</v>
      </c>
      <c r="H72">
        <v>45149</v>
      </c>
      <c r="I72" t="s">
        <v>43</v>
      </c>
      <c r="J72" t="s">
        <v>258</v>
      </c>
      <c r="K72">
        <v>43026</v>
      </c>
      <c r="L72">
        <v>45197</v>
      </c>
      <c r="M72" t="s">
        <v>44</v>
      </c>
      <c r="N72">
        <v>46254</v>
      </c>
      <c r="O72">
        <v>987</v>
      </c>
      <c r="P72">
        <v>3</v>
      </c>
      <c r="Q72">
        <v>0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25</v>
      </c>
      <c r="AI72" t="s">
        <v>23</v>
      </c>
      <c r="AK72" t="s">
        <v>24</v>
      </c>
      <c r="AL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9</v>
      </c>
      <c r="AM72">
        <f>SUM(Rel_2026[[#This Row],[qtd_TrxContabil]:[VLR_EXP_SORTE]])</f>
        <v>993</v>
      </c>
      <c r="AN7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18</v>
      </c>
    </row>
    <row r="73" spans="1:40" x14ac:dyDescent="0.3">
      <c r="A73" t="str">
        <f>IF(Rel_2026[[#This Row],[Zero]]=0,"Zero",IF(Rel_2026[[#This Row],[Pontuação]]&gt;=10,"Sim",IF(Rel_2026[[#This Row],[Pontuação]]&gt;=5,"Próximo","Não")))</f>
        <v>Não</v>
      </c>
      <c r="B73" t="str">
        <f>IF(Rel_2026[[#This Row],[Zero]]=0,"Zero",IF(Rel_2026[[#This Row],[Pontuação2]]&gt;=10,"Sim",IF(Rel_2026[[#This Row],[Pontuação2]]&gt;=5,"Próximo","Não")))</f>
        <v>Não</v>
      </c>
      <c r="C73" t="s">
        <v>339</v>
      </c>
      <c r="D73" t="str">
        <f>LEFT(Rel_2026[[#This Row],[ag_pacb]],4)</f>
        <v>3848</v>
      </c>
      <c r="E73">
        <v>231563</v>
      </c>
      <c r="F73" t="s">
        <v>259</v>
      </c>
      <c r="G73" t="s">
        <v>295</v>
      </c>
      <c r="H73">
        <v>44719</v>
      </c>
      <c r="I73" t="s">
        <v>43</v>
      </c>
      <c r="J73" t="s">
        <v>242</v>
      </c>
      <c r="K73">
        <v>45306</v>
      </c>
      <c r="L73">
        <v>46231</v>
      </c>
      <c r="M73" t="s">
        <v>44</v>
      </c>
      <c r="N73">
        <v>46254</v>
      </c>
      <c r="O73">
        <v>191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22</v>
      </c>
      <c r="AI73" t="s">
        <v>23</v>
      </c>
      <c r="AK73" t="s">
        <v>24</v>
      </c>
      <c r="AL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3">
        <f>SUM(Rel_2026[[#This Row],[qtd_TrxContabil]:[VLR_EXP_SORTE]])</f>
        <v>191</v>
      </c>
      <c r="AN7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4" spans="1:40" x14ac:dyDescent="0.3">
      <c r="A74" t="str">
        <f>IF(Rel_2026[[#This Row],[Zero]]=0,"Zero",IF(Rel_2026[[#This Row],[Pontuação]]&gt;=10,"Sim",IF(Rel_2026[[#This Row],[Pontuação]]&gt;=5,"Próximo","Não")))</f>
        <v>Não</v>
      </c>
      <c r="B74" t="str">
        <f>IF(Rel_2026[[#This Row],[Zero]]=0,"Zero",IF(Rel_2026[[#This Row],[Pontuação2]]&gt;=10,"Sim",IF(Rel_2026[[#This Row],[Pontuação2]]&gt;=5,"Próximo","Não")))</f>
        <v>Não</v>
      </c>
      <c r="C74" t="s">
        <v>339</v>
      </c>
      <c r="D74" t="str">
        <f>LEFT(Rel_2026[[#This Row],[ag_pacb]],4)</f>
        <v>3848</v>
      </c>
      <c r="E74">
        <v>231564</v>
      </c>
      <c r="F74" t="s">
        <v>158</v>
      </c>
      <c r="G74" t="s">
        <v>292</v>
      </c>
      <c r="H74">
        <v>44651</v>
      </c>
      <c r="I74" t="s">
        <v>43</v>
      </c>
      <c r="J74" t="s">
        <v>159</v>
      </c>
      <c r="K74">
        <v>45306</v>
      </c>
      <c r="L74">
        <v>44699</v>
      </c>
      <c r="M74" t="s">
        <v>44</v>
      </c>
      <c r="N74">
        <v>46254</v>
      </c>
      <c r="O74">
        <v>342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25</v>
      </c>
      <c r="AI74" t="s">
        <v>23</v>
      </c>
      <c r="AK74" t="s">
        <v>24</v>
      </c>
      <c r="AL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4">
        <f>SUM(Rel_2026[[#This Row],[qtd_TrxContabil]:[VLR_EXP_SORTE]])</f>
        <v>342</v>
      </c>
      <c r="AN7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5" spans="1:40" x14ac:dyDescent="0.3">
      <c r="A75" t="str">
        <f>IF(Rel_2026[[#This Row],[Zero]]=0,"Zero",IF(Rel_2026[[#This Row],[Pontuação]]&gt;=10,"Sim",IF(Rel_2026[[#This Row],[Pontuação]]&gt;=5,"Próximo","Não")))</f>
        <v>Não</v>
      </c>
      <c r="B75" t="str">
        <f>IF(Rel_2026[[#This Row],[Zero]]=0,"Zero",IF(Rel_2026[[#This Row],[Pontuação2]]&gt;=10,"Sim",IF(Rel_2026[[#This Row],[Pontuação2]]&gt;=5,"Próximo","Não")))</f>
        <v>Não</v>
      </c>
      <c r="C75" t="s">
        <v>339</v>
      </c>
      <c r="D75" t="str">
        <f>LEFT(Rel_2026[[#This Row],[ag_pacb]],4)</f>
        <v>3848</v>
      </c>
      <c r="E75">
        <v>239280</v>
      </c>
      <c r="F75" t="s">
        <v>219</v>
      </c>
      <c r="G75" t="s">
        <v>293</v>
      </c>
      <c r="H75">
        <v>44809</v>
      </c>
      <c r="I75" t="s">
        <v>43</v>
      </c>
      <c r="J75" t="s">
        <v>159</v>
      </c>
      <c r="K75">
        <v>45306</v>
      </c>
      <c r="L75">
        <v>44893</v>
      </c>
      <c r="M75" t="s">
        <v>44</v>
      </c>
      <c r="N75">
        <v>46254</v>
      </c>
      <c r="O75">
        <v>484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22</v>
      </c>
      <c r="AI75" t="s">
        <v>23</v>
      </c>
      <c r="AK75" t="s">
        <v>24</v>
      </c>
      <c r="AL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5">
        <f>SUM(Rel_2026[[#This Row],[qtd_TrxContabil]:[VLR_EXP_SORTE]])</f>
        <v>484</v>
      </c>
      <c r="AN7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6" spans="1:40" x14ac:dyDescent="0.3">
      <c r="A76" t="str">
        <f>IF(Rel_2026[[#This Row],[Zero]]=0,"Zero",IF(Rel_2026[[#This Row],[Pontuação]]&gt;=10,"Sim",IF(Rel_2026[[#This Row],[Pontuação]]&gt;=5,"Próximo","Não")))</f>
        <v>Não</v>
      </c>
      <c r="B76" t="str">
        <f>IF(Rel_2026[[#This Row],[Zero]]=0,"Zero",IF(Rel_2026[[#This Row],[Pontuação2]]&gt;=10,"Sim",IF(Rel_2026[[#This Row],[Pontuação2]]&gt;=5,"Próximo","Não")))</f>
        <v>Não</v>
      </c>
      <c r="C76" t="s">
        <v>339</v>
      </c>
      <c r="D76" t="str">
        <f>LEFT(Rel_2026[[#This Row],[ag_pacb]],4)</f>
        <v>0405</v>
      </c>
      <c r="E76">
        <v>423050</v>
      </c>
      <c r="F76" t="s">
        <v>88</v>
      </c>
      <c r="G76" t="s">
        <v>89</v>
      </c>
      <c r="H76">
        <v>46104</v>
      </c>
      <c r="I76" t="s">
        <v>43</v>
      </c>
      <c r="J76" t="s">
        <v>90</v>
      </c>
      <c r="K76">
        <v>46099</v>
      </c>
      <c r="L76">
        <v>46122</v>
      </c>
      <c r="M76" t="s">
        <v>44</v>
      </c>
      <c r="N76">
        <v>46254</v>
      </c>
      <c r="O76">
        <v>70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s">
        <v>25</v>
      </c>
      <c r="AI76" t="s">
        <v>23</v>
      </c>
      <c r="AK76" t="s">
        <v>24</v>
      </c>
      <c r="AL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6">
        <f>SUM(Rel_2026[[#This Row],[qtd_TrxContabil]:[VLR_EXP_SORTE]])</f>
        <v>70</v>
      </c>
      <c r="AN7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7" spans="1:40" x14ac:dyDescent="0.3">
      <c r="A77" t="str">
        <f>IF(Rel_2026[[#This Row],[Zero]]=0,"Zero",IF(Rel_2026[[#This Row],[Pontuação]]&gt;=10,"Sim",IF(Rel_2026[[#This Row],[Pontuação]]&gt;=5,"Próximo","Não")))</f>
        <v>Não</v>
      </c>
      <c r="B77" t="str">
        <f>IF(Rel_2026[[#This Row],[Zero]]=0,"Zero",IF(Rel_2026[[#This Row],[Pontuação2]]&gt;=10,"Sim",IF(Rel_2026[[#This Row],[Pontuação2]]&gt;=5,"Próximo","Não")))</f>
        <v>Não</v>
      </c>
      <c r="C77" t="s">
        <v>339</v>
      </c>
      <c r="D77" t="str">
        <f>LEFT(Rel_2026[[#This Row],[ag_pacb]],4)</f>
        <v>0854</v>
      </c>
      <c r="E77">
        <v>423538</v>
      </c>
      <c r="F77" t="s">
        <v>302</v>
      </c>
      <c r="G77" t="s">
        <v>315</v>
      </c>
      <c r="H77">
        <v>46134</v>
      </c>
      <c r="I77" t="s">
        <v>279</v>
      </c>
      <c r="J77" t="s">
        <v>280</v>
      </c>
      <c r="K77">
        <v>46125</v>
      </c>
      <c r="L77">
        <v>46149</v>
      </c>
      <c r="M77" t="s">
        <v>44</v>
      </c>
      <c r="N77">
        <v>46254</v>
      </c>
      <c r="O77">
        <v>163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22</v>
      </c>
      <c r="AI77" t="s">
        <v>23</v>
      </c>
      <c r="AK77" t="s">
        <v>24</v>
      </c>
      <c r="AL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7">
        <f>SUM(Rel_2026[[#This Row],[qtd_TrxContabil]:[VLR_EXP_SORTE]])</f>
        <v>163</v>
      </c>
      <c r="AN7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8" spans="1:40" x14ac:dyDescent="0.3">
      <c r="A78" t="str">
        <f>IF(Rel_2026[[#This Row],[Zero]]=0,"Zero",IF(Rel_2026[[#This Row],[Pontuação]]&gt;=10,"Sim",IF(Rel_2026[[#This Row],[Pontuação]]&gt;=5,"Próximo","Não")))</f>
        <v>Não</v>
      </c>
      <c r="B78" t="str">
        <f>IF(Rel_2026[[#This Row],[Zero]]=0,"Zero",IF(Rel_2026[[#This Row],[Pontuação2]]&gt;=10,"Sim",IF(Rel_2026[[#This Row],[Pontuação2]]&gt;=5,"Próximo","Não")))</f>
        <v>Não</v>
      </c>
      <c r="C78" t="s">
        <v>339</v>
      </c>
      <c r="D78" t="str">
        <f>LEFT(Rel_2026[[#This Row],[ag_pacb]],4)</f>
        <v>5792</v>
      </c>
      <c r="E78">
        <v>423900</v>
      </c>
      <c r="F78" t="s">
        <v>308</v>
      </c>
      <c r="G78" t="s">
        <v>309</v>
      </c>
      <c r="H78">
        <v>46147</v>
      </c>
      <c r="I78" t="s">
        <v>43</v>
      </c>
      <c r="J78" t="s">
        <v>128</v>
      </c>
      <c r="K78">
        <v>46141</v>
      </c>
      <c r="L78">
        <v>46154</v>
      </c>
      <c r="M78" t="s">
        <v>44</v>
      </c>
      <c r="N78">
        <v>46254</v>
      </c>
      <c r="O78">
        <v>193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25</v>
      </c>
      <c r="AI78" t="s">
        <v>23</v>
      </c>
      <c r="AK78" t="s">
        <v>24</v>
      </c>
      <c r="AL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8">
        <f>SUM(Rel_2026[[#This Row],[qtd_TrxContabil]:[VLR_EXP_SORTE]])</f>
        <v>193</v>
      </c>
      <c r="AN7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79" spans="1:40" x14ac:dyDescent="0.3">
      <c r="A79" t="str">
        <f>IF(Rel_2026[[#This Row],[Zero]]=0,"Zero",IF(Rel_2026[[#This Row],[Pontuação]]&gt;=10,"Sim",IF(Rel_2026[[#This Row],[Pontuação]]&gt;=5,"Próximo","Não")))</f>
        <v>Não</v>
      </c>
      <c r="B79" t="str">
        <f>IF(Rel_2026[[#This Row],[Zero]]=0,"Zero",IF(Rel_2026[[#This Row],[Pontuação2]]&gt;=10,"Sim",IF(Rel_2026[[#This Row],[Pontuação2]]&gt;=5,"Próximo","Não")))</f>
        <v>Não</v>
      </c>
      <c r="C79" t="s">
        <v>339</v>
      </c>
      <c r="D79" t="str">
        <f>LEFT(Rel_2026[[#This Row],[ag_pacb]],4)</f>
        <v>5792</v>
      </c>
      <c r="E79">
        <v>423616</v>
      </c>
      <c r="F79" t="s">
        <v>303</v>
      </c>
      <c r="G79" t="s">
        <v>304</v>
      </c>
      <c r="H79">
        <v>46132</v>
      </c>
      <c r="I79" t="s">
        <v>43</v>
      </c>
      <c r="J79" t="s">
        <v>102</v>
      </c>
      <c r="K79">
        <v>46128</v>
      </c>
      <c r="L79">
        <v>46155</v>
      </c>
      <c r="M79" t="s">
        <v>44</v>
      </c>
      <c r="N79">
        <v>46254</v>
      </c>
      <c r="O79">
        <v>172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22</v>
      </c>
      <c r="AI79" t="s">
        <v>23</v>
      </c>
      <c r="AK79" t="s">
        <v>24</v>
      </c>
      <c r="AL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79">
        <f>SUM(Rel_2026[[#This Row],[qtd_TrxContabil]:[VLR_EXP_SORTE]])</f>
        <v>172</v>
      </c>
      <c r="AN7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0" spans="1:40" x14ac:dyDescent="0.3">
      <c r="A80" t="str">
        <f>IF(Rel_2026[[#This Row],[Zero]]=0,"Zero",IF(Rel_2026[[#This Row],[Pontuação]]&gt;=10,"Sim",IF(Rel_2026[[#This Row],[Pontuação]]&gt;=5,"Próximo","Não")))</f>
        <v>Não</v>
      </c>
      <c r="B80" t="str">
        <f>IF(Rel_2026[[#This Row],[Zero]]=0,"Zero",IF(Rel_2026[[#This Row],[Pontuação2]]&gt;=10,"Sim",IF(Rel_2026[[#This Row],[Pontuação2]]&gt;=5,"Próximo","Não")))</f>
        <v>Não</v>
      </c>
      <c r="C80" t="s">
        <v>339</v>
      </c>
      <c r="D80" t="str">
        <f>LEFT(Rel_2026[[#This Row],[ag_pacb]],4)</f>
        <v>5792</v>
      </c>
      <c r="E80">
        <v>423901</v>
      </c>
      <c r="F80" t="s">
        <v>306</v>
      </c>
      <c r="G80" t="s">
        <v>307</v>
      </c>
      <c r="H80">
        <v>46148</v>
      </c>
      <c r="I80" t="s">
        <v>43</v>
      </c>
      <c r="J80" t="s">
        <v>99</v>
      </c>
      <c r="K80">
        <v>46141</v>
      </c>
      <c r="L80">
        <v>46164</v>
      </c>
      <c r="M80" t="s">
        <v>44</v>
      </c>
      <c r="N80">
        <v>46254</v>
      </c>
      <c r="O80">
        <v>102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">
        <v>25</v>
      </c>
      <c r="AI80" t="s">
        <v>23</v>
      </c>
      <c r="AK80" t="s">
        <v>24</v>
      </c>
      <c r="AL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0">
        <f>SUM(Rel_2026[[#This Row],[qtd_TrxContabil]:[VLR_EXP_SORTE]])</f>
        <v>102</v>
      </c>
      <c r="AN8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1" spans="1:40" x14ac:dyDescent="0.3">
      <c r="A81" t="str">
        <f>IF(Rel_2026[[#This Row],[Zero]]=0,"Zero",IF(Rel_2026[[#This Row],[Pontuação]]&gt;=10,"Sim",IF(Rel_2026[[#This Row],[Pontuação]]&gt;=5,"Próximo","Não")))</f>
        <v>Não</v>
      </c>
      <c r="B81" t="str">
        <f>IF(Rel_2026[[#This Row],[Zero]]=0,"Zero",IF(Rel_2026[[#This Row],[Pontuação2]]&gt;=10,"Sim",IF(Rel_2026[[#This Row],[Pontuação2]]&gt;=5,"Próximo","Não")))</f>
        <v>Não</v>
      </c>
      <c r="C81" t="s">
        <v>42</v>
      </c>
      <c r="D81" t="str">
        <f>LEFT(Rel_2026[[#This Row],[ag_pacb]],4)</f>
        <v>0985</v>
      </c>
      <c r="E81">
        <v>424446</v>
      </c>
      <c r="F81" t="s">
        <v>318</v>
      </c>
      <c r="G81" t="s">
        <v>319</v>
      </c>
      <c r="H81">
        <v>46171</v>
      </c>
      <c r="I81" t="s">
        <v>43</v>
      </c>
      <c r="J81" t="s">
        <v>201</v>
      </c>
      <c r="K81">
        <v>46168</v>
      </c>
      <c r="L81">
        <v>46185</v>
      </c>
      <c r="M81" t="s">
        <v>44</v>
      </c>
      <c r="N81">
        <v>46254</v>
      </c>
      <c r="O81">
        <v>377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25</v>
      </c>
      <c r="AI81" t="s">
        <v>23</v>
      </c>
      <c r="AK81" t="s">
        <v>24</v>
      </c>
      <c r="AL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1">
        <f>SUM(Rel_2026[[#This Row],[qtd_TrxContabil]:[VLR_EXP_SORTE]])</f>
        <v>377</v>
      </c>
      <c r="AN8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2" spans="1:40" x14ac:dyDescent="0.3">
      <c r="A82" t="str">
        <f>IF(Rel_2026[[#This Row],[Zero]]=0,"Zero",IF(Rel_2026[[#This Row],[Pontuação]]&gt;=10,"Sim",IF(Rel_2026[[#This Row],[Pontuação]]&gt;=5,"Próximo","Não")))</f>
        <v>Sim</v>
      </c>
      <c r="B82" t="str">
        <f>IF(Rel_2026[[#This Row],[Zero]]=0,"Zero",IF(Rel_2026[[#This Row],[Pontuação2]]&gt;=10,"Sim",IF(Rel_2026[[#This Row],[Pontuação2]]&gt;=5,"Próximo","Não")))</f>
        <v>Sim</v>
      </c>
      <c r="C82" t="s">
        <v>339</v>
      </c>
      <c r="D82" t="str">
        <f>LEFT(Rel_2026[[#This Row],[ag_pacb]],4)</f>
        <v>5798</v>
      </c>
      <c r="E82">
        <v>119605</v>
      </c>
      <c r="F82" t="s">
        <v>268</v>
      </c>
      <c r="G82" t="s">
        <v>269</v>
      </c>
      <c r="H82">
        <v>44131</v>
      </c>
      <c r="I82" t="s">
        <v>43</v>
      </c>
      <c r="J82" t="s">
        <v>264</v>
      </c>
      <c r="K82">
        <v>42257</v>
      </c>
      <c r="L82">
        <v>46100</v>
      </c>
      <c r="M82" t="s">
        <v>44</v>
      </c>
      <c r="N82">
        <v>46254</v>
      </c>
      <c r="O82">
        <v>686</v>
      </c>
      <c r="P82">
        <v>0</v>
      </c>
      <c r="Q82">
        <v>0</v>
      </c>
      <c r="R82">
        <v>0</v>
      </c>
      <c r="S82">
        <v>0</v>
      </c>
      <c r="T82">
        <v>32016</v>
      </c>
      <c r="U82">
        <v>32016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25</v>
      </c>
      <c r="AI82" t="s">
        <v>23</v>
      </c>
      <c r="AK82" t="s">
        <v>24</v>
      </c>
      <c r="AL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  <c r="AM82">
        <f>SUM(Rel_2026[[#This Row],[qtd_TrxContabil]:[VLR_EXP_SORTE]])</f>
        <v>64718</v>
      </c>
      <c r="AN8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83" spans="1:40" x14ac:dyDescent="0.3">
      <c r="A83" t="str">
        <f>IF(Rel_2026[[#This Row],[Zero]]=0,"Zero",IF(Rel_2026[[#This Row],[Pontuação]]&gt;=10,"Sim",IF(Rel_2026[[#This Row],[Pontuação]]&gt;=5,"Próximo","Não")))</f>
        <v>Não</v>
      </c>
      <c r="B83" t="str">
        <f>IF(Rel_2026[[#This Row],[Zero]]=0,"Zero",IF(Rel_2026[[#This Row],[Pontuação2]]&gt;=10,"Sim",IF(Rel_2026[[#This Row],[Pontuação2]]&gt;=5,"Próximo","Não")))</f>
        <v>Não</v>
      </c>
      <c r="C83" t="s">
        <v>339</v>
      </c>
      <c r="D83" t="str">
        <f>LEFT(Rel_2026[[#This Row],[ag_pacb]],4)</f>
        <v>5798</v>
      </c>
      <c r="E83">
        <v>407432</v>
      </c>
      <c r="F83" t="s">
        <v>249</v>
      </c>
      <c r="G83" t="s">
        <v>250</v>
      </c>
      <c r="H83">
        <v>45608</v>
      </c>
      <c r="I83" t="s">
        <v>43</v>
      </c>
      <c r="J83" t="s">
        <v>215</v>
      </c>
      <c r="K83">
        <v>45596</v>
      </c>
      <c r="L83">
        <v>45621</v>
      </c>
      <c r="M83" t="s">
        <v>44</v>
      </c>
      <c r="N83">
        <v>46254</v>
      </c>
      <c r="O83">
        <v>313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22</v>
      </c>
      <c r="AI83" t="s">
        <v>23</v>
      </c>
      <c r="AK83" t="s">
        <v>24</v>
      </c>
      <c r="AL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3">
        <f>SUM(Rel_2026[[#This Row],[qtd_TrxContabil]:[VLR_EXP_SORTE]])</f>
        <v>313</v>
      </c>
      <c r="AN8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4" spans="1:40" x14ac:dyDescent="0.3">
      <c r="A84" t="str">
        <f>IF(Rel_2026[[#This Row],[Zero]]=0,"Zero",IF(Rel_2026[[#This Row],[Pontuação]]&gt;=10,"Sim",IF(Rel_2026[[#This Row],[Pontuação]]&gt;=5,"Próximo","Não")))</f>
        <v>Não</v>
      </c>
      <c r="B84" t="str">
        <f>IF(Rel_2026[[#This Row],[Zero]]=0,"Zero",IF(Rel_2026[[#This Row],[Pontuação2]]&gt;=10,"Sim",IF(Rel_2026[[#This Row],[Pontuação2]]&gt;=5,"Próximo","Não")))</f>
        <v>Não</v>
      </c>
      <c r="C84" t="s">
        <v>339</v>
      </c>
      <c r="D84" t="str">
        <f>LEFT(Rel_2026[[#This Row],[ag_pacb]],4)</f>
        <v>5798</v>
      </c>
      <c r="E84">
        <v>236248</v>
      </c>
      <c r="F84" t="s">
        <v>322</v>
      </c>
      <c r="G84" t="s">
        <v>323</v>
      </c>
      <c r="H84">
        <v>45188</v>
      </c>
      <c r="I84" t="s">
        <v>43</v>
      </c>
      <c r="J84" t="s">
        <v>171</v>
      </c>
      <c r="K84">
        <v>44810</v>
      </c>
      <c r="L84">
        <v>46253</v>
      </c>
      <c r="M84" t="s">
        <v>44</v>
      </c>
      <c r="N84">
        <v>46254</v>
      </c>
      <c r="O84">
        <v>146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22</v>
      </c>
      <c r="AI84" t="s">
        <v>23</v>
      </c>
      <c r="AK84" t="s">
        <v>24</v>
      </c>
      <c r="AL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4">
        <f>SUM(Rel_2026[[#This Row],[qtd_TrxContabil]:[VLR_EXP_SORTE]])</f>
        <v>146</v>
      </c>
      <c r="AN8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5" spans="1:40" x14ac:dyDescent="0.3">
      <c r="A85" t="str">
        <f>IF(Rel_2026[[#This Row],[Zero]]=0,"Zero",IF(Rel_2026[[#This Row],[Pontuação]]&gt;=10,"Sim",IF(Rel_2026[[#This Row],[Pontuação]]&gt;=5,"Próximo","Não")))</f>
        <v>Não</v>
      </c>
      <c r="B85" t="str">
        <f>IF(Rel_2026[[#This Row],[Zero]]=0,"Zero",IF(Rel_2026[[#This Row],[Pontuação2]]&gt;=10,"Sim",IF(Rel_2026[[#This Row],[Pontuação2]]&gt;=5,"Próximo","Não")))</f>
        <v>Não</v>
      </c>
      <c r="C85" t="s">
        <v>339</v>
      </c>
      <c r="D85" t="str">
        <f>LEFT(Rel_2026[[#This Row],[ag_pacb]],4)</f>
        <v>5798</v>
      </c>
      <c r="E85">
        <v>130791</v>
      </c>
      <c r="F85" t="s">
        <v>169</v>
      </c>
      <c r="G85" t="s">
        <v>170</v>
      </c>
      <c r="H85">
        <v>45770</v>
      </c>
      <c r="I85" t="s">
        <v>43</v>
      </c>
      <c r="J85" t="s">
        <v>171</v>
      </c>
      <c r="K85">
        <v>42153</v>
      </c>
      <c r="L85">
        <v>46225</v>
      </c>
      <c r="M85" t="s">
        <v>44</v>
      </c>
      <c r="N85">
        <v>46254</v>
      </c>
      <c r="O85">
        <v>363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22</v>
      </c>
      <c r="AI85" t="s">
        <v>23</v>
      </c>
      <c r="AK85" t="s">
        <v>24</v>
      </c>
      <c r="AL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5">
        <f>SUM(Rel_2026[[#This Row],[qtd_TrxContabil]:[VLR_EXP_SORTE]])</f>
        <v>363</v>
      </c>
      <c r="AN8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6" spans="1:40" x14ac:dyDescent="0.3">
      <c r="A86" t="str">
        <f>IF(Rel_2026[[#This Row],[Zero]]=0,"Zero",IF(Rel_2026[[#This Row],[Pontuação]]&gt;=10,"Sim",IF(Rel_2026[[#This Row],[Pontuação]]&gt;=5,"Próximo","Não")))</f>
        <v>Sim</v>
      </c>
      <c r="B86" t="str">
        <f>IF(Rel_2026[[#This Row],[Zero]]=0,"Zero",IF(Rel_2026[[#This Row],[Pontuação2]]&gt;=10,"Sim",IF(Rel_2026[[#This Row],[Pontuação2]]&gt;=5,"Próximo","Não")))</f>
        <v>Sim</v>
      </c>
      <c r="C86" t="s">
        <v>339</v>
      </c>
      <c r="D86" t="str">
        <f>LEFT(Rel_2026[[#This Row],[ag_pacb]],4)</f>
        <v>5798</v>
      </c>
      <c r="E86">
        <v>66569</v>
      </c>
      <c r="F86" t="s">
        <v>213</v>
      </c>
      <c r="G86" t="s">
        <v>214</v>
      </c>
      <c r="H86">
        <v>45201</v>
      </c>
      <c r="I86" t="s">
        <v>43</v>
      </c>
      <c r="J86" t="s">
        <v>215</v>
      </c>
      <c r="K86">
        <v>42465</v>
      </c>
      <c r="L86">
        <v>45531</v>
      </c>
      <c r="M86" t="s">
        <v>44</v>
      </c>
      <c r="N86">
        <v>46254</v>
      </c>
      <c r="O86">
        <v>156</v>
      </c>
      <c r="P86">
        <v>0</v>
      </c>
      <c r="Q86">
        <v>0</v>
      </c>
      <c r="R86">
        <v>0</v>
      </c>
      <c r="S86">
        <v>0</v>
      </c>
      <c r="T86">
        <v>12600</v>
      </c>
      <c r="U86">
        <v>12600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22</v>
      </c>
      <c r="AI86" t="s">
        <v>23</v>
      </c>
      <c r="AK86" t="s">
        <v>24</v>
      </c>
      <c r="AL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  <c r="AM86">
        <f>SUM(Rel_2026[[#This Row],[qtd_TrxContabil]:[VLR_EXP_SORTE]])</f>
        <v>25356</v>
      </c>
      <c r="AN8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13</v>
      </c>
    </row>
    <row r="87" spans="1:40" x14ac:dyDescent="0.3">
      <c r="A87" t="str">
        <f>IF(Rel_2026[[#This Row],[Zero]]=0,"Zero",IF(Rel_2026[[#This Row],[Pontuação]]&gt;=10,"Sim",IF(Rel_2026[[#This Row],[Pontuação]]&gt;=5,"Próximo","Não")))</f>
        <v>Zero</v>
      </c>
      <c r="B87" t="str">
        <f>IF(Rel_2026[[#This Row],[Zero]]=0,"Zero",IF(Rel_2026[[#This Row],[Pontuação2]]&gt;=10,"Sim",IF(Rel_2026[[#This Row],[Pontuação2]]&gt;=5,"Próximo","Não")))</f>
        <v>Zero</v>
      </c>
      <c r="C87" t="s">
        <v>339</v>
      </c>
      <c r="D87" t="str">
        <f>LEFT(Rel_2026[[#This Row],[ag_pacb]],4)</f>
        <v>5798</v>
      </c>
      <c r="E87">
        <v>414255</v>
      </c>
      <c r="F87" t="s">
        <v>166</v>
      </c>
      <c r="G87" t="s">
        <v>167</v>
      </c>
      <c r="H87">
        <v>45859</v>
      </c>
      <c r="I87" t="s">
        <v>43</v>
      </c>
      <c r="J87" t="s">
        <v>168</v>
      </c>
      <c r="K87">
        <v>45832</v>
      </c>
      <c r="L87">
        <v>45868</v>
      </c>
      <c r="M87" t="s">
        <v>44</v>
      </c>
      <c r="N87">
        <v>46182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25</v>
      </c>
      <c r="AI87" t="s">
        <v>23</v>
      </c>
      <c r="AK87" t="s">
        <v>24</v>
      </c>
      <c r="AL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87">
        <f>SUM(Rel_2026[[#This Row],[qtd_TrxContabil]:[VLR_EXP_SORTE]])</f>
        <v>0</v>
      </c>
      <c r="AN8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88" spans="1:40" x14ac:dyDescent="0.3">
      <c r="A88" t="str">
        <f>IF(Rel_2026[[#This Row],[Zero]]=0,"Zero",IF(Rel_2026[[#This Row],[Pontuação]]&gt;=10,"Sim",IF(Rel_2026[[#This Row],[Pontuação]]&gt;=5,"Próximo","Não")))</f>
        <v>Próximo</v>
      </c>
      <c r="B88" t="str">
        <f>IF(Rel_2026[[#This Row],[Zero]]=0,"Zero",IF(Rel_2026[[#This Row],[Pontuação2]]&gt;=10,"Sim",IF(Rel_2026[[#This Row],[Pontuação2]]&gt;=5,"Próximo","Não")))</f>
        <v>Próximo</v>
      </c>
      <c r="C88" t="s">
        <v>339</v>
      </c>
      <c r="D88" t="str">
        <f>LEFT(Rel_2026[[#This Row],[ag_pacb]],4)</f>
        <v>5798</v>
      </c>
      <c r="E88">
        <v>220498</v>
      </c>
      <c r="F88" t="s">
        <v>228</v>
      </c>
      <c r="G88" t="s">
        <v>229</v>
      </c>
      <c r="H88">
        <v>44630</v>
      </c>
      <c r="I88" t="s">
        <v>43</v>
      </c>
      <c r="J88" t="s">
        <v>119</v>
      </c>
      <c r="K88">
        <v>44651</v>
      </c>
      <c r="L88">
        <v>44760</v>
      </c>
      <c r="M88" t="s">
        <v>44</v>
      </c>
      <c r="N88">
        <v>46254</v>
      </c>
      <c r="O88">
        <v>230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">
        <v>22</v>
      </c>
      <c r="AI88" t="s">
        <v>23</v>
      </c>
      <c r="AK88" t="s">
        <v>24</v>
      </c>
      <c r="AL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88">
        <f>SUM(Rel_2026[[#This Row],[qtd_TrxContabil]:[VLR_EXP_SORTE]])</f>
        <v>232</v>
      </c>
      <c r="AN8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</row>
    <row r="89" spans="1:40" x14ac:dyDescent="0.3">
      <c r="A89" t="str">
        <f>IF(Rel_2026[[#This Row],[Zero]]=0,"Zero",IF(Rel_2026[[#This Row],[Pontuação]]&gt;=10,"Sim",IF(Rel_2026[[#This Row],[Pontuação]]&gt;=5,"Próximo","Não")))</f>
        <v>Próximo</v>
      </c>
      <c r="B89" t="str">
        <f>IF(Rel_2026[[#This Row],[Zero]]=0,"Zero",IF(Rel_2026[[#This Row],[Pontuação2]]&gt;=10,"Sim",IF(Rel_2026[[#This Row],[Pontuação2]]&gt;=5,"Próximo","Não")))</f>
        <v>Sim</v>
      </c>
      <c r="C89" t="s">
        <v>339</v>
      </c>
      <c r="D89" t="str">
        <f>LEFT(Rel_2026[[#This Row],[ag_pacb]],4)</f>
        <v>5798</v>
      </c>
      <c r="E89">
        <v>171924</v>
      </c>
      <c r="F89" t="s">
        <v>272</v>
      </c>
      <c r="G89" t="s">
        <v>273</v>
      </c>
      <c r="H89">
        <v>44278</v>
      </c>
      <c r="I89" t="s">
        <v>43</v>
      </c>
      <c r="J89" t="s">
        <v>215</v>
      </c>
      <c r="K89">
        <v>43452</v>
      </c>
      <c r="L89">
        <v>46253</v>
      </c>
      <c r="M89" t="s">
        <v>44</v>
      </c>
      <c r="N89">
        <v>46254</v>
      </c>
      <c r="O89">
        <v>321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25</v>
      </c>
      <c r="AI89" t="s">
        <v>23</v>
      </c>
      <c r="AK89" t="s">
        <v>24</v>
      </c>
      <c r="AL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89">
        <f>SUM(Rel_2026[[#This Row],[qtd_TrxContabil]:[VLR_EXP_SORTE]])</f>
        <v>324</v>
      </c>
      <c r="AN8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90" spans="1:40" x14ac:dyDescent="0.3">
      <c r="A90" t="str">
        <f>IF(Rel_2026[[#This Row],[Zero]]=0,"Zero",IF(Rel_2026[[#This Row],[Pontuação]]&gt;=10,"Sim",IF(Rel_2026[[#This Row],[Pontuação]]&gt;=5,"Próximo","Não")))</f>
        <v>Não</v>
      </c>
      <c r="B90" t="str">
        <f>IF(Rel_2026[[#This Row],[Zero]]=0,"Zero",IF(Rel_2026[[#This Row],[Pontuação2]]&gt;=10,"Sim",IF(Rel_2026[[#This Row],[Pontuação2]]&gt;=5,"Próximo","Não")))</f>
        <v>Não</v>
      </c>
      <c r="C90" t="s">
        <v>339</v>
      </c>
      <c r="D90" t="str">
        <f>LEFT(Rel_2026[[#This Row],[ag_pacb]],4)</f>
        <v>5798</v>
      </c>
      <c r="E90">
        <v>134090</v>
      </c>
      <c r="F90" t="s">
        <v>260</v>
      </c>
      <c r="G90" t="s">
        <v>261</v>
      </c>
      <c r="H90">
        <v>44365</v>
      </c>
      <c r="I90" t="s">
        <v>43</v>
      </c>
      <c r="J90" t="s">
        <v>171</v>
      </c>
      <c r="K90">
        <v>43921</v>
      </c>
      <c r="L90">
        <v>45589</v>
      </c>
      <c r="M90" t="s">
        <v>44</v>
      </c>
      <c r="N90">
        <v>46254</v>
      </c>
      <c r="O90">
        <v>418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22</v>
      </c>
      <c r="AI90" t="s">
        <v>23</v>
      </c>
      <c r="AK90" t="s">
        <v>24</v>
      </c>
      <c r="AL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0">
        <f>SUM(Rel_2026[[#This Row],[qtd_TrxContabil]:[VLR_EXP_SORTE]])</f>
        <v>418</v>
      </c>
      <c r="AN9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1" spans="1:40" x14ac:dyDescent="0.3">
      <c r="A91" t="str">
        <f>IF(Rel_2026[[#This Row],[Zero]]=0,"Zero",IF(Rel_2026[[#This Row],[Pontuação]]&gt;=10,"Sim",IF(Rel_2026[[#This Row],[Pontuação]]&gt;=5,"Próximo","Não")))</f>
        <v>Sim</v>
      </c>
      <c r="B91" t="str">
        <f>IF(Rel_2026[[#This Row],[Zero]]=0,"Zero",IF(Rel_2026[[#This Row],[Pontuação2]]&gt;=10,"Sim",IF(Rel_2026[[#This Row],[Pontuação2]]&gt;=5,"Próximo","Não")))</f>
        <v>Sim</v>
      </c>
      <c r="C91" t="s">
        <v>339</v>
      </c>
      <c r="D91" t="str">
        <f>LEFT(Rel_2026[[#This Row],[ag_pacb]],4)</f>
        <v>5798</v>
      </c>
      <c r="E91">
        <v>62735</v>
      </c>
      <c r="F91" t="s">
        <v>262</v>
      </c>
      <c r="G91" t="s">
        <v>263</v>
      </c>
      <c r="H91">
        <v>44237</v>
      </c>
      <c r="I91" t="s">
        <v>43</v>
      </c>
      <c r="J91" t="s">
        <v>264</v>
      </c>
      <c r="K91">
        <v>42256</v>
      </c>
      <c r="L91">
        <v>46100</v>
      </c>
      <c r="M91" t="s">
        <v>44</v>
      </c>
      <c r="N91">
        <v>46254</v>
      </c>
      <c r="O91">
        <v>1445</v>
      </c>
      <c r="P91">
        <v>0</v>
      </c>
      <c r="Q91">
        <v>0</v>
      </c>
      <c r="R91">
        <v>0</v>
      </c>
      <c r="S91">
        <v>0</v>
      </c>
      <c r="T91">
        <v>10000</v>
      </c>
      <c r="U91">
        <v>10000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25</v>
      </c>
      <c r="AI91" t="s">
        <v>23</v>
      </c>
      <c r="AK91" t="s">
        <v>24</v>
      </c>
      <c r="AL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91">
        <f>SUM(Rel_2026[[#This Row],[qtd_TrxContabil]:[VLR_EXP_SORTE]])</f>
        <v>21445</v>
      </c>
      <c r="AN9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92" spans="1:40" x14ac:dyDescent="0.3">
      <c r="A92" t="str">
        <f>IF(Rel_2026[[#This Row],[Zero]]=0,"Zero",IF(Rel_2026[[#This Row],[Pontuação]]&gt;=10,"Sim",IF(Rel_2026[[#This Row],[Pontuação]]&gt;=5,"Próximo","Não")))</f>
        <v>Não</v>
      </c>
      <c r="B92" t="str">
        <f>IF(Rel_2026[[#This Row],[Zero]]=0,"Zero",IF(Rel_2026[[#This Row],[Pontuação2]]&gt;=10,"Sim",IF(Rel_2026[[#This Row],[Pontuação2]]&gt;=5,"Próximo","Não")))</f>
        <v>Próximo</v>
      </c>
      <c r="C92" t="s">
        <v>339</v>
      </c>
      <c r="D92" t="str">
        <f>LEFT(Rel_2026[[#This Row],[ag_pacb]],4)</f>
        <v>5798</v>
      </c>
      <c r="E92">
        <v>130816</v>
      </c>
      <c r="F92" t="s">
        <v>169</v>
      </c>
      <c r="G92" t="s">
        <v>238</v>
      </c>
      <c r="H92">
        <v>44372</v>
      </c>
      <c r="I92" t="s">
        <v>43</v>
      </c>
      <c r="J92" t="s">
        <v>171</v>
      </c>
      <c r="K92">
        <v>45306</v>
      </c>
      <c r="L92">
        <v>46196</v>
      </c>
      <c r="M92" t="s">
        <v>44</v>
      </c>
      <c r="N92">
        <v>46253</v>
      </c>
      <c r="O92">
        <v>168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s">
        <v>22</v>
      </c>
      <c r="AI92" t="s">
        <v>23</v>
      </c>
      <c r="AK92" t="s">
        <v>24</v>
      </c>
      <c r="AL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</v>
      </c>
      <c r="AM92">
        <f>SUM(Rel_2026[[#This Row],[qtd_TrxContabil]:[VLR_EXP_SORTE]])</f>
        <v>170</v>
      </c>
      <c r="AN9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</v>
      </c>
    </row>
    <row r="93" spans="1:40" x14ac:dyDescent="0.3">
      <c r="A93" t="str">
        <f>IF(Rel_2026[[#This Row],[Zero]]=0,"Zero",IF(Rel_2026[[#This Row],[Pontuação]]&gt;=10,"Sim",IF(Rel_2026[[#This Row],[Pontuação]]&gt;=5,"Próximo","Não")))</f>
        <v>Não</v>
      </c>
      <c r="B93" t="str">
        <f>IF(Rel_2026[[#This Row],[Zero]]=0,"Zero",IF(Rel_2026[[#This Row],[Pontuação2]]&gt;=10,"Sim",IF(Rel_2026[[#This Row],[Pontuação2]]&gt;=5,"Próximo","Não")))</f>
        <v>Não</v>
      </c>
      <c r="C93" t="s">
        <v>339</v>
      </c>
      <c r="D93" t="str">
        <f>LEFT(Rel_2026[[#This Row],[ag_pacb]],4)</f>
        <v>5798</v>
      </c>
      <c r="E93">
        <v>232570</v>
      </c>
      <c r="F93" t="s">
        <v>222</v>
      </c>
      <c r="G93" t="s">
        <v>223</v>
      </c>
      <c r="H93">
        <v>44769</v>
      </c>
      <c r="I93" t="s">
        <v>43</v>
      </c>
      <c r="J93" t="s">
        <v>168</v>
      </c>
      <c r="K93">
        <v>44804</v>
      </c>
      <c r="L93">
        <v>44733</v>
      </c>
      <c r="M93" t="s">
        <v>44</v>
      </c>
      <c r="N93">
        <v>46254</v>
      </c>
      <c r="O93">
        <v>216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22</v>
      </c>
      <c r="AI93" t="s">
        <v>23</v>
      </c>
      <c r="AK93" t="s">
        <v>24</v>
      </c>
      <c r="AL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3">
        <f>SUM(Rel_2026[[#This Row],[qtd_TrxContabil]:[VLR_EXP_SORTE]])</f>
        <v>216</v>
      </c>
      <c r="AN9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4" spans="1:40" x14ac:dyDescent="0.3">
      <c r="A94" t="str">
        <f>IF(Rel_2026[[#This Row],[Zero]]=0,"Zero",IF(Rel_2026[[#This Row],[Pontuação]]&gt;=10,"Sim",IF(Rel_2026[[#This Row],[Pontuação]]&gt;=5,"Próximo","Não")))</f>
        <v>Sim</v>
      </c>
      <c r="B94" t="str">
        <f>IF(Rel_2026[[#This Row],[Zero]]=0,"Zero",IF(Rel_2026[[#This Row],[Pontuação2]]&gt;=10,"Sim",IF(Rel_2026[[#This Row],[Pontuação2]]&gt;=5,"Próximo","Não")))</f>
        <v>Sim</v>
      </c>
      <c r="C94" t="s">
        <v>339</v>
      </c>
      <c r="D94" t="str">
        <f>LEFT(Rel_2026[[#This Row],[ag_pacb]],4)</f>
        <v>5798</v>
      </c>
      <c r="E94">
        <v>80351</v>
      </c>
      <c r="F94" t="s">
        <v>179</v>
      </c>
      <c r="G94" t="s">
        <v>180</v>
      </c>
      <c r="H94">
        <v>44111</v>
      </c>
      <c r="I94" t="s">
        <v>43</v>
      </c>
      <c r="J94" t="s">
        <v>168</v>
      </c>
      <c r="K94">
        <v>42311</v>
      </c>
      <c r="L94">
        <v>46196</v>
      </c>
      <c r="M94" t="s">
        <v>44</v>
      </c>
      <c r="N94">
        <v>46254</v>
      </c>
      <c r="O94">
        <v>1602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1500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25</v>
      </c>
      <c r="AI94" t="s">
        <v>23</v>
      </c>
      <c r="AK94" t="s">
        <v>24</v>
      </c>
      <c r="AL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  <c r="AM94">
        <f>SUM(Rel_2026[[#This Row],[qtd_TrxContabil]:[VLR_EXP_SORTE]])</f>
        <v>3102</v>
      </c>
      <c r="AN9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15</v>
      </c>
    </row>
    <row r="95" spans="1:40" x14ac:dyDescent="0.3">
      <c r="A95" t="str">
        <f>IF(Rel_2026[[#This Row],[Zero]]=0,"Zero",IF(Rel_2026[[#This Row],[Pontuação]]&gt;=10,"Sim",IF(Rel_2026[[#This Row],[Pontuação]]&gt;=5,"Próximo","Não")))</f>
        <v>Não</v>
      </c>
      <c r="B95" t="str">
        <f>IF(Rel_2026[[#This Row],[Zero]]=0,"Zero",IF(Rel_2026[[#This Row],[Pontuação2]]&gt;=10,"Sim",IF(Rel_2026[[#This Row],[Pontuação2]]&gt;=5,"Próximo","Não")))</f>
        <v>Não</v>
      </c>
      <c r="C95" t="s">
        <v>339</v>
      </c>
      <c r="D95" t="str">
        <f>LEFT(Rel_2026[[#This Row],[ag_pacb]],4)</f>
        <v>5798</v>
      </c>
      <c r="E95">
        <v>417200</v>
      </c>
      <c r="F95" t="s">
        <v>230</v>
      </c>
      <c r="G95" t="s">
        <v>231</v>
      </c>
      <c r="H95">
        <v>45916</v>
      </c>
      <c r="I95" t="s">
        <v>43</v>
      </c>
      <c r="J95" t="s">
        <v>215</v>
      </c>
      <c r="K95">
        <v>45908</v>
      </c>
      <c r="L95">
        <v>45930</v>
      </c>
      <c r="M95" t="s">
        <v>44</v>
      </c>
      <c r="N95">
        <v>46253</v>
      </c>
      <c r="O95">
        <v>66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22</v>
      </c>
      <c r="AI95" t="s">
        <v>23</v>
      </c>
      <c r="AK95" t="s">
        <v>24</v>
      </c>
      <c r="AL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5">
        <f>SUM(Rel_2026[[#This Row],[qtd_TrxContabil]:[VLR_EXP_SORTE]])</f>
        <v>66</v>
      </c>
      <c r="AN9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6" spans="1:40" x14ac:dyDescent="0.3">
      <c r="A96" t="str">
        <f>IF(Rel_2026[[#This Row],[Zero]]=0,"Zero",IF(Rel_2026[[#This Row],[Pontuação]]&gt;=10,"Sim",IF(Rel_2026[[#This Row],[Pontuação]]&gt;=5,"Próximo","Não")))</f>
        <v>Não</v>
      </c>
      <c r="B96" t="str">
        <f>IF(Rel_2026[[#This Row],[Zero]]=0,"Zero",IF(Rel_2026[[#This Row],[Pontuação2]]&gt;=10,"Sim",IF(Rel_2026[[#This Row],[Pontuação2]]&gt;=5,"Próximo","Não")))</f>
        <v>Não</v>
      </c>
      <c r="C96" t="s">
        <v>339</v>
      </c>
      <c r="D96" t="str">
        <f>LEFT(Rel_2026[[#This Row],[ag_pacb]],4)</f>
        <v>3848</v>
      </c>
      <c r="E96">
        <v>100468</v>
      </c>
      <c r="F96" t="s">
        <v>320</v>
      </c>
      <c r="G96" t="s">
        <v>321</v>
      </c>
      <c r="H96">
        <v>45237</v>
      </c>
      <c r="I96" t="s">
        <v>43</v>
      </c>
      <c r="J96" t="s">
        <v>159</v>
      </c>
      <c r="K96">
        <v>42250</v>
      </c>
      <c r="L96">
        <v>46079</v>
      </c>
      <c r="M96" t="s">
        <v>44</v>
      </c>
      <c r="N96">
        <v>46252</v>
      </c>
      <c r="O96">
        <v>94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22</v>
      </c>
      <c r="AI96" t="s">
        <v>23</v>
      </c>
      <c r="AK96" t="s">
        <v>24</v>
      </c>
      <c r="AL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96">
        <f>SUM(Rel_2026[[#This Row],[qtd_TrxContabil]:[VLR_EXP_SORTE]])</f>
        <v>94</v>
      </c>
      <c r="AN9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97" spans="1:40" x14ac:dyDescent="0.3">
      <c r="A97" t="str">
        <f>IF(Rel_2026[[#This Row],[Zero]]=0,"Zero",IF(Rel_2026[[#This Row],[Pontuação]]&gt;=10,"Sim",IF(Rel_2026[[#This Row],[Pontuação]]&gt;=5,"Próximo","Não")))</f>
        <v>Sim</v>
      </c>
      <c r="B97" t="str">
        <f>IF(Rel_2026[[#This Row],[Zero]]=0,"Zero",IF(Rel_2026[[#This Row],[Pontuação2]]&gt;=10,"Sim",IF(Rel_2026[[#This Row],[Pontuação2]]&gt;=5,"Próximo","Não")))</f>
        <v>Sim</v>
      </c>
      <c r="C97" t="s">
        <v>42</v>
      </c>
      <c r="D97" t="str">
        <f>LEFT(Rel_2026[[#This Row],[ag_pacb]],4)</f>
        <v>0985</v>
      </c>
      <c r="E97">
        <v>424682</v>
      </c>
      <c r="F97" t="s">
        <v>324</v>
      </c>
      <c r="G97" t="s">
        <v>325</v>
      </c>
      <c r="H97">
        <v>46185</v>
      </c>
      <c r="I97" t="s">
        <v>43</v>
      </c>
      <c r="J97" t="s">
        <v>237</v>
      </c>
      <c r="K97">
        <v>46182</v>
      </c>
      <c r="L97">
        <v>46205</v>
      </c>
      <c r="M97" t="s">
        <v>44</v>
      </c>
      <c r="N97">
        <v>46254</v>
      </c>
      <c r="O97">
        <v>116</v>
      </c>
      <c r="P97">
        <v>4</v>
      </c>
      <c r="Q97">
        <v>3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4</v>
      </c>
      <c r="AG97">
        <v>0</v>
      </c>
      <c r="AH97" t="s">
        <v>22</v>
      </c>
      <c r="AI97" t="s">
        <v>23</v>
      </c>
      <c r="AK97" t="s">
        <v>24</v>
      </c>
      <c r="AL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97">
        <f>SUM(Rel_2026[[#This Row],[qtd_TrxContabil]:[VLR_EXP_SORTE]])</f>
        <v>131</v>
      </c>
      <c r="AN9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36</v>
      </c>
    </row>
    <row r="98" spans="1:40" x14ac:dyDescent="0.3">
      <c r="A98" t="str">
        <f>IF(Rel_2026[[#This Row],[Zero]]=0,"Zero",IF(Rel_2026[[#This Row],[Pontuação]]&gt;=10,"Sim",IF(Rel_2026[[#This Row],[Pontuação]]&gt;=5,"Próximo","Não")))</f>
        <v>Próximo</v>
      </c>
      <c r="B98" t="str">
        <f>IF(Rel_2026[[#This Row],[Zero]]=0,"Zero",IF(Rel_2026[[#This Row],[Pontuação2]]&gt;=10,"Sim",IF(Rel_2026[[#This Row],[Pontuação2]]&gt;=5,"Próximo","Não")))</f>
        <v>Sim</v>
      </c>
      <c r="C98" t="s">
        <v>42</v>
      </c>
      <c r="D98" t="str">
        <f>LEFT(Rel_2026[[#This Row],[ag_pacb]],4)</f>
        <v>5806</v>
      </c>
      <c r="E98">
        <v>424651</v>
      </c>
      <c r="F98" t="s">
        <v>326</v>
      </c>
      <c r="G98" t="s">
        <v>327</v>
      </c>
      <c r="H98">
        <v>46183</v>
      </c>
      <c r="I98" t="s">
        <v>43</v>
      </c>
      <c r="J98" t="s">
        <v>177</v>
      </c>
      <c r="K98">
        <v>46178</v>
      </c>
      <c r="L98">
        <v>46204</v>
      </c>
      <c r="M98" t="s">
        <v>44</v>
      </c>
      <c r="N98">
        <v>46254</v>
      </c>
      <c r="O98">
        <v>8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 t="s">
        <v>22</v>
      </c>
      <c r="AI98" t="s">
        <v>23</v>
      </c>
      <c r="AK98" t="s">
        <v>24</v>
      </c>
      <c r="AL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98">
        <f>SUM(Rel_2026[[#This Row],[qtd_TrxContabil]:[VLR_EXP_SORTE]])</f>
        <v>12</v>
      </c>
      <c r="AN9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99" spans="1:40" x14ac:dyDescent="0.3">
      <c r="A99" t="str">
        <f>IF(Rel_2026[[#This Row],[Zero]]=0,"Zero",IF(Rel_2026[[#This Row],[Pontuação]]&gt;=10,"Sim",IF(Rel_2026[[#This Row],[Pontuação]]&gt;=5,"Próximo","Não")))</f>
        <v>Sim</v>
      </c>
      <c r="B99" t="str">
        <f>IF(Rel_2026[[#This Row],[Zero]]=0,"Zero",IF(Rel_2026[[#This Row],[Pontuação2]]&gt;=10,"Sim",IF(Rel_2026[[#This Row],[Pontuação2]]&gt;=5,"Próximo","Não")))</f>
        <v>Sim</v>
      </c>
      <c r="C99" t="s">
        <v>42</v>
      </c>
      <c r="D99" t="str">
        <f>LEFT(Rel_2026[[#This Row],[ag_pacb]],4)</f>
        <v>5806</v>
      </c>
      <c r="E99">
        <v>424889</v>
      </c>
      <c r="F99" t="s">
        <v>332</v>
      </c>
      <c r="G99" t="s">
        <v>333</v>
      </c>
      <c r="H99">
        <v>46198</v>
      </c>
      <c r="I99" t="s">
        <v>43</v>
      </c>
      <c r="J99" t="s">
        <v>177</v>
      </c>
      <c r="K99">
        <v>46192</v>
      </c>
      <c r="L99">
        <v>46226</v>
      </c>
      <c r="M99" t="s">
        <v>44</v>
      </c>
      <c r="N99">
        <v>46253</v>
      </c>
      <c r="O99">
        <v>153</v>
      </c>
      <c r="P99">
        <v>3</v>
      </c>
      <c r="Q99">
        <v>3</v>
      </c>
      <c r="R99">
        <v>3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3</v>
      </c>
      <c r="AG99">
        <v>0</v>
      </c>
      <c r="AH99" t="s">
        <v>25</v>
      </c>
      <c r="AI99" t="s">
        <v>23</v>
      </c>
      <c r="AK99" t="s">
        <v>24</v>
      </c>
      <c r="AL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22</v>
      </c>
      <c r="AM99">
        <f>SUM(Rel_2026[[#This Row],[qtd_TrxContabil]:[VLR_EXP_SORTE]])</f>
        <v>168</v>
      </c>
      <c r="AN9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31</v>
      </c>
    </row>
    <row r="100" spans="1:40" x14ac:dyDescent="0.3">
      <c r="A100" t="str">
        <f>IF(Rel_2026[[#This Row],[Zero]]=0,"Zero",IF(Rel_2026[[#This Row],[Pontuação]]&gt;=10,"Sim",IF(Rel_2026[[#This Row],[Pontuação]]&gt;=5,"Próximo","Não")))</f>
        <v>Próximo</v>
      </c>
      <c r="B100" t="str">
        <f>IF(Rel_2026[[#This Row],[Zero]]=0,"Zero",IF(Rel_2026[[#This Row],[Pontuação2]]&gt;=10,"Sim",IF(Rel_2026[[#This Row],[Pontuação2]]&gt;=5,"Próximo","Não")))</f>
        <v>Sim</v>
      </c>
      <c r="C100" t="s">
        <v>340</v>
      </c>
      <c r="D100" t="str">
        <f>LEFT(Rel_2026[[#This Row],[ag_pacb]],4)</f>
        <v>0937</v>
      </c>
      <c r="E100">
        <v>174735</v>
      </c>
      <c r="F100" t="s">
        <v>62</v>
      </c>
      <c r="G100" t="s">
        <v>71</v>
      </c>
      <c r="H100">
        <v>45841</v>
      </c>
      <c r="I100" t="s">
        <v>43</v>
      </c>
      <c r="J100" t="s">
        <v>72</v>
      </c>
      <c r="K100">
        <v>43585</v>
      </c>
      <c r="L100">
        <v>45341</v>
      </c>
      <c r="M100" t="s">
        <v>44</v>
      </c>
      <c r="N100">
        <v>46254</v>
      </c>
      <c r="O100">
        <v>727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 t="s">
        <v>25</v>
      </c>
      <c r="AI100" t="s">
        <v>23</v>
      </c>
      <c r="AK100" t="s">
        <v>24</v>
      </c>
      <c r="AL1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</v>
      </c>
      <c r="AM100">
        <f>SUM(Rel_2026[[#This Row],[qtd_TrxContabil]:[VLR_EXP_SORTE]])</f>
        <v>731</v>
      </c>
      <c r="AN10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</row>
    <row r="101" spans="1:40" x14ac:dyDescent="0.3">
      <c r="A101" t="str">
        <f>IF(Rel_2026[[#This Row],[Zero]]=0,"Zero",IF(Rel_2026[[#This Row],[Pontuação]]&gt;=10,"Sim",IF(Rel_2026[[#This Row],[Pontuação]]&gt;=5,"Próximo","Não")))</f>
        <v>Sim</v>
      </c>
      <c r="B101" t="str">
        <f>IF(Rel_2026[[#This Row],[Zero]]=0,"Zero",IF(Rel_2026[[#This Row],[Pontuação2]]&gt;=10,"Sim",IF(Rel_2026[[#This Row],[Pontuação2]]&gt;=5,"Próximo","Não")))</f>
        <v>Sim</v>
      </c>
      <c r="C101" t="s">
        <v>340</v>
      </c>
      <c r="D101" t="str">
        <f>LEFT(Rel_2026[[#This Row],[ag_pacb]],4)</f>
        <v>0937</v>
      </c>
      <c r="E101">
        <v>185729</v>
      </c>
      <c r="F101" t="s">
        <v>75</v>
      </c>
      <c r="G101" t="s">
        <v>76</v>
      </c>
      <c r="H101">
        <v>45210</v>
      </c>
      <c r="I101" t="s">
        <v>43</v>
      </c>
      <c r="J101" t="s">
        <v>77</v>
      </c>
      <c r="K101">
        <v>45306</v>
      </c>
      <c r="L101">
        <v>46121</v>
      </c>
      <c r="M101" t="s">
        <v>44</v>
      </c>
      <c r="N101">
        <v>46254</v>
      </c>
      <c r="O101">
        <v>407</v>
      </c>
      <c r="P101">
        <v>7</v>
      </c>
      <c r="Q101">
        <v>5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7</v>
      </c>
      <c r="AG101">
        <v>0</v>
      </c>
      <c r="AH101" t="s">
        <v>22</v>
      </c>
      <c r="AI101" t="s">
        <v>23</v>
      </c>
      <c r="AK101" t="s">
        <v>24</v>
      </c>
      <c r="AL1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41</v>
      </c>
      <c r="AM101">
        <f>SUM(Rel_2026[[#This Row],[qtd_TrxContabil]:[VLR_EXP_SORTE]])</f>
        <v>433</v>
      </c>
      <c r="AN10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62</v>
      </c>
    </row>
    <row r="102" spans="1:40" x14ac:dyDescent="0.3">
      <c r="A102" t="str">
        <f>IF(Rel_2026[[#This Row],[Zero]]=0,"Zero",IF(Rel_2026[[#This Row],[Pontuação]]&gt;=10,"Sim",IF(Rel_2026[[#This Row],[Pontuação]]&gt;=5,"Próximo","Não")))</f>
        <v>Sim</v>
      </c>
      <c r="B102" t="str">
        <f>IF(Rel_2026[[#This Row],[Zero]]=0,"Zero",IF(Rel_2026[[#This Row],[Pontuação2]]&gt;=10,"Sim",IF(Rel_2026[[#This Row],[Pontuação2]]&gt;=5,"Próximo","Não")))</f>
        <v>Sim</v>
      </c>
      <c r="C102" t="s">
        <v>340</v>
      </c>
      <c r="D102" t="str">
        <f>LEFT(Rel_2026[[#This Row],[ag_pacb]],4)</f>
        <v>0937</v>
      </c>
      <c r="E102">
        <v>84655</v>
      </c>
      <c r="F102" t="s">
        <v>58</v>
      </c>
      <c r="G102" t="s">
        <v>59</v>
      </c>
      <c r="H102">
        <v>44128</v>
      </c>
      <c r="I102" t="s">
        <v>43</v>
      </c>
      <c r="J102" t="s">
        <v>60</v>
      </c>
      <c r="K102">
        <v>42236</v>
      </c>
      <c r="L102">
        <v>44820</v>
      </c>
      <c r="M102" t="s">
        <v>44</v>
      </c>
      <c r="N102">
        <v>46254</v>
      </c>
      <c r="O102">
        <v>1013</v>
      </c>
      <c r="P102">
        <v>2</v>
      </c>
      <c r="Q102">
        <v>2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</v>
      </c>
      <c r="AH102" t="s">
        <v>25</v>
      </c>
      <c r="AI102" t="s">
        <v>23</v>
      </c>
      <c r="AK102" t="s">
        <v>24</v>
      </c>
      <c r="AL1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02">
        <f>SUM(Rel_2026[[#This Row],[qtd_TrxContabil]:[VLR_EXP_SORTE]])</f>
        <v>1023</v>
      </c>
      <c r="AN10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</v>
      </c>
    </row>
    <row r="103" spans="1:40" x14ac:dyDescent="0.3">
      <c r="A103" t="str">
        <f>IF(Rel_2026[[#This Row],[Zero]]=0,"Zero",IF(Rel_2026[[#This Row],[Pontuação]]&gt;=10,"Sim",IF(Rel_2026[[#This Row],[Pontuação]]&gt;=5,"Próximo","Não")))</f>
        <v>Sim</v>
      </c>
      <c r="B103" t="str">
        <f>IF(Rel_2026[[#This Row],[Zero]]=0,"Zero",IF(Rel_2026[[#This Row],[Pontuação2]]&gt;=10,"Sim",IF(Rel_2026[[#This Row],[Pontuação2]]&gt;=5,"Próximo","Não")))</f>
        <v>Sim</v>
      </c>
      <c r="C103" t="s">
        <v>340</v>
      </c>
      <c r="D103" t="str">
        <f>LEFT(Rel_2026[[#This Row],[ag_pacb]],4)</f>
        <v>0937</v>
      </c>
      <c r="E103">
        <v>171937</v>
      </c>
      <c r="F103" t="s">
        <v>337</v>
      </c>
      <c r="G103" t="s">
        <v>338</v>
      </c>
      <c r="H103">
        <v>45127</v>
      </c>
      <c r="I103" t="s">
        <v>43</v>
      </c>
      <c r="J103" t="s">
        <v>49</v>
      </c>
      <c r="K103">
        <v>43502</v>
      </c>
      <c r="L103">
        <v>45225</v>
      </c>
      <c r="M103" t="s">
        <v>44</v>
      </c>
      <c r="N103">
        <v>46254</v>
      </c>
      <c r="O103">
        <v>1125</v>
      </c>
      <c r="P103">
        <v>5</v>
      </c>
      <c r="Q103">
        <v>0</v>
      </c>
      <c r="R103">
        <v>5</v>
      </c>
      <c r="S103">
        <v>0</v>
      </c>
      <c r="T103">
        <v>73372</v>
      </c>
      <c r="U103">
        <v>73372</v>
      </c>
      <c r="V103">
        <v>0</v>
      </c>
      <c r="W103">
        <v>0</v>
      </c>
      <c r="X103">
        <v>0</v>
      </c>
      <c r="Y103">
        <v>6980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5</v>
      </c>
      <c r="AG103">
        <v>25</v>
      </c>
      <c r="AH103" t="s">
        <v>25</v>
      </c>
      <c r="AI103" t="s">
        <v>23</v>
      </c>
      <c r="AK103" t="s">
        <v>24</v>
      </c>
      <c r="AL1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160</v>
      </c>
      <c r="AM103">
        <f>SUM(Rel_2026[[#This Row],[qtd_TrxContabil]:[VLR_EXP_SORTE]])</f>
        <v>154891</v>
      </c>
      <c r="AN10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175</v>
      </c>
    </row>
    <row r="104" spans="1:40" x14ac:dyDescent="0.3">
      <c r="A104" t="str">
        <f>IF(Rel_2026[[#This Row],[Zero]]=0,"Zero",IF(Rel_2026[[#This Row],[Pontuação]]&gt;=10,"Sim",IF(Rel_2026[[#This Row],[Pontuação]]&gt;=5,"Próximo","Não")))</f>
        <v>Sim</v>
      </c>
      <c r="B104" t="str">
        <f>IF(Rel_2026[[#This Row],[Zero]]=0,"Zero",IF(Rel_2026[[#This Row],[Pontuação2]]&gt;=10,"Sim",IF(Rel_2026[[#This Row],[Pontuação2]]&gt;=5,"Próximo","Não")))</f>
        <v>Sim</v>
      </c>
      <c r="C104" t="s">
        <v>340</v>
      </c>
      <c r="D104" t="str">
        <f>LEFT(Rel_2026[[#This Row],[ag_pacb]],4)</f>
        <v>0937</v>
      </c>
      <c r="E104">
        <v>251695</v>
      </c>
      <c r="F104" t="s">
        <v>69</v>
      </c>
      <c r="G104" t="s">
        <v>70</v>
      </c>
      <c r="H104">
        <v>45210</v>
      </c>
      <c r="I104" t="s">
        <v>43</v>
      </c>
      <c r="J104" t="s">
        <v>60</v>
      </c>
      <c r="K104">
        <v>45306</v>
      </c>
      <c r="L104">
        <v>46177</v>
      </c>
      <c r="M104" t="s">
        <v>44</v>
      </c>
      <c r="N104">
        <v>46254</v>
      </c>
      <c r="O104">
        <v>511</v>
      </c>
      <c r="P104">
        <v>1</v>
      </c>
      <c r="Q104">
        <v>1</v>
      </c>
      <c r="R104">
        <v>1</v>
      </c>
      <c r="S104">
        <v>0</v>
      </c>
      <c r="T104">
        <v>11264</v>
      </c>
      <c r="U104">
        <v>11264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 t="s">
        <v>22</v>
      </c>
      <c r="AI104" t="s">
        <v>23</v>
      </c>
      <c r="AK104" t="s">
        <v>24</v>
      </c>
      <c r="AL1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  <c r="AM104">
        <f>SUM(Rel_2026[[#This Row],[qtd_TrxContabil]:[VLR_EXP_SORTE]])</f>
        <v>23045</v>
      </c>
      <c r="AN10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</row>
    <row r="105" spans="1:40" x14ac:dyDescent="0.3">
      <c r="A105" t="str">
        <f>IF(Rel_2026[[#This Row],[Zero]]=0,"Zero",IF(Rel_2026[[#This Row],[Pontuação]]&gt;=10,"Sim",IF(Rel_2026[[#This Row],[Pontuação]]&gt;=5,"Próximo","Não")))</f>
        <v>Não</v>
      </c>
      <c r="B105" t="str">
        <f>IF(Rel_2026[[#This Row],[Zero]]=0,"Zero",IF(Rel_2026[[#This Row],[Pontuação2]]&gt;=10,"Sim",IF(Rel_2026[[#This Row],[Pontuação2]]&gt;=5,"Próximo","Não")))</f>
        <v>Não</v>
      </c>
      <c r="C105" t="s">
        <v>340</v>
      </c>
      <c r="D105" t="str">
        <f>LEFT(Rel_2026[[#This Row],[ag_pacb]],4)</f>
        <v>0937</v>
      </c>
      <c r="E105">
        <v>59775</v>
      </c>
      <c r="F105" t="s">
        <v>63</v>
      </c>
      <c r="G105" t="s">
        <v>64</v>
      </c>
      <c r="H105">
        <v>44229</v>
      </c>
      <c r="I105" t="s">
        <v>43</v>
      </c>
      <c r="J105" t="s">
        <v>65</v>
      </c>
      <c r="K105">
        <v>42466</v>
      </c>
      <c r="L105">
        <v>45548</v>
      </c>
      <c r="M105" t="s">
        <v>44</v>
      </c>
      <c r="N105">
        <v>46254</v>
      </c>
      <c r="O105">
        <v>1524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25</v>
      </c>
      <c r="AI105" t="s">
        <v>23</v>
      </c>
      <c r="AK105" t="s">
        <v>24</v>
      </c>
      <c r="AL1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05">
        <f>SUM(Rel_2026[[#This Row],[qtd_TrxContabil]:[VLR_EXP_SORTE]])</f>
        <v>1524</v>
      </c>
      <c r="AN10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6" spans="1:40" x14ac:dyDescent="0.3">
      <c r="A106" t="str">
        <f>IF(Rel_2026[[#This Row],[Zero]]=0,"Zero",IF(Rel_2026[[#This Row],[Pontuação]]&gt;=10,"Sim",IF(Rel_2026[[#This Row],[Pontuação]]&gt;=5,"Próximo","Não")))</f>
        <v>Sim</v>
      </c>
      <c r="B106" t="str">
        <f>IF(Rel_2026[[#This Row],[Zero]]=0,"Zero",IF(Rel_2026[[#This Row],[Pontuação2]]&gt;=10,"Sim",IF(Rel_2026[[#This Row],[Pontuação2]]&gt;=5,"Próximo","Não")))</f>
        <v>Sim</v>
      </c>
      <c r="C106" t="s">
        <v>340</v>
      </c>
      <c r="D106" t="str">
        <f>LEFT(Rel_2026[[#This Row],[ag_pacb]],4)</f>
        <v>0937</v>
      </c>
      <c r="E106">
        <v>231928</v>
      </c>
      <c r="F106" t="s">
        <v>78</v>
      </c>
      <c r="G106" t="s">
        <v>79</v>
      </c>
      <c r="H106">
        <v>44923</v>
      </c>
      <c r="I106" t="s">
        <v>43</v>
      </c>
      <c r="J106" t="s">
        <v>80</v>
      </c>
      <c r="K106">
        <v>44837</v>
      </c>
      <c r="L106">
        <v>44834</v>
      </c>
      <c r="M106" t="s">
        <v>44</v>
      </c>
      <c r="N106">
        <v>46254</v>
      </c>
      <c r="O106">
        <v>1784</v>
      </c>
      <c r="P106">
        <v>5</v>
      </c>
      <c r="Q106">
        <v>0</v>
      </c>
      <c r="R106">
        <v>5</v>
      </c>
      <c r="S106">
        <v>0</v>
      </c>
      <c r="T106">
        <v>79456</v>
      </c>
      <c r="U106">
        <v>79456</v>
      </c>
      <c r="V106">
        <v>0</v>
      </c>
      <c r="W106">
        <v>0</v>
      </c>
      <c r="X106">
        <v>0</v>
      </c>
      <c r="Y106">
        <v>600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5</v>
      </c>
      <c r="AG106">
        <v>0</v>
      </c>
      <c r="AH106" t="s">
        <v>25</v>
      </c>
      <c r="AI106" t="s">
        <v>23</v>
      </c>
      <c r="AK106" t="s">
        <v>24</v>
      </c>
      <c r="AL1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100</v>
      </c>
      <c r="AM106">
        <f>SUM(Rel_2026[[#This Row],[qtd_TrxContabil]:[VLR_EXP_SORTE]])</f>
        <v>161311</v>
      </c>
      <c r="AN10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115</v>
      </c>
    </row>
    <row r="107" spans="1:40" x14ac:dyDescent="0.3">
      <c r="A107" t="str">
        <f>IF(Rel_2026[[#This Row],[Zero]]=0,"Zero",IF(Rel_2026[[#This Row],[Pontuação]]&gt;=10,"Sim",IF(Rel_2026[[#This Row],[Pontuação]]&gt;=5,"Próximo","Não")))</f>
        <v>Sim</v>
      </c>
      <c r="B107" t="str">
        <f>IF(Rel_2026[[#This Row],[Zero]]=0,"Zero",IF(Rel_2026[[#This Row],[Pontuação2]]&gt;=10,"Sim",IF(Rel_2026[[#This Row],[Pontuação2]]&gt;=5,"Próximo","Não")))</f>
        <v>Sim</v>
      </c>
      <c r="C107" t="s">
        <v>340</v>
      </c>
      <c r="D107" t="str">
        <f>LEFT(Rel_2026[[#This Row],[ag_pacb]],4)</f>
        <v>0937</v>
      </c>
      <c r="E107">
        <v>121045</v>
      </c>
      <c r="F107" t="s">
        <v>83</v>
      </c>
      <c r="G107" t="s">
        <v>84</v>
      </c>
      <c r="H107">
        <v>44415</v>
      </c>
      <c r="I107" t="s">
        <v>43</v>
      </c>
      <c r="J107" t="s">
        <v>49</v>
      </c>
      <c r="K107">
        <v>42235</v>
      </c>
      <c r="L107">
        <v>45583</v>
      </c>
      <c r="M107" t="s">
        <v>44</v>
      </c>
      <c r="N107">
        <v>46254</v>
      </c>
      <c r="O107">
        <v>1591</v>
      </c>
      <c r="P107">
        <v>2</v>
      </c>
      <c r="Q107">
        <v>2</v>
      </c>
      <c r="R107">
        <v>2</v>
      </c>
      <c r="S107">
        <v>0</v>
      </c>
      <c r="T107">
        <v>36280</v>
      </c>
      <c r="U107">
        <v>36280</v>
      </c>
      <c r="V107">
        <v>0</v>
      </c>
      <c r="W107">
        <v>0</v>
      </c>
      <c r="X107">
        <v>0</v>
      </c>
      <c r="Y107">
        <v>2800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25</v>
      </c>
      <c r="AI107" t="s">
        <v>23</v>
      </c>
      <c r="AK107" t="s">
        <v>24</v>
      </c>
      <c r="AL1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78</v>
      </c>
      <c r="AM107">
        <f>SUM(Rel_2026[[#This Row],[qtd_TrxContabil]:[VLR_EXP_SORTE]])</f>
        <v>76957</v>
      </c>
      <c r="AN10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84</v>
      </c>
    </row>
    <row r="108" spans="1:40" x14ac:dyDescent="0.3">
      <c r="A108" t="str">
        <f>IF(Rel_2026[[#This Row],[Zero]]=0,"Zero",IF(Rel_2026[[#This Row],[Pontuação]]&gt;=10,"Sim",IF(Rel_2026[[#This Row],[Pontuação]]&gt;=5,"Próximo","Não")))</f>
        <v>Não</v>
      </c>
      <c r="B108" t="str">
        <f>IF(Rel_2026[[#This Row],[Zero]]=0,"Zero",IF(Rel_2026[[#This Row],[Pontuação2]]&gt;=10,"Sim",IF(Rel_2026[[#This Row],[Pontuação2]]&gt;=5,"Próximo","Não")))</f>
        <v>Não</v>
      </c>
      <c r="C108" t="s">
        <v>340</v>
      </c>
      <c r="D108" t="str">
        <f>LEFT(Rel_2026[[#This Row],[ag_pacb]],4)</f>
        <v>0937</v>
      </c>
      <c r="E108">
        <v>161347</v>
      </c>
      <c r="F108" t="s">
        <v>81</v>
      </c>
      <c r="G108" t="s">
        <v>82</v>
      </c>
      <c r="H108">
        <v>44229</v>
      </c>
      <c r="I108" t="s">
        <v>43</v>
      </c>
      <c r="J108" t="s">
        <v>65</v>
      </c>
      <c r="K108">
        <v>44014</v>
      </c>
      <c r="L108">
        <v>44959</v>
      </c>
      <c r="M108" t="s">
        <v>44</v>
      </c>
      <c r="N108">
        <v>46254</v>
      </c>
      <c r="O108">
        <v>819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25</v>
      </c>
      <c r="AI108" t="s">
        <v>23</v>
      </c>
      <c r="AK108" t="s">
        <v>24</v>
      </c>
      <c r="AL1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08">
        <f>SUM(Rel_2026[[#This Row],[qtd_TrxContabil]:[VLR_EXP_SORTE]])</f>
        <v>819</v>
      </c>
      <c r="AN108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09" spans="1:40" x14ac:dyDescent="0.3">
      <c r="A109" t="str">
        <f>IF(Rel_2026[[#This Row],[Zero]]=0,"Zero",IF(Rel_2026[[#This Row],[Pontuação]]&gt;=10,"Sim",IF(Rel_2026[[#This Row],[Pontuação]]&gt;=5,"Próximo","Não")))</f>
        <v>Sim</v>
      </c>
      <c r="B109" t="str">
        <f>IF(Rel_2026[[#This Row],[Zero]]=0,"Zero",IF(Rel_2026[[#This Row],[Pontuação2]]&gt;=10,"Sim",IF(Rel_2026[[#This Row],[Pontuação2]]&gt;=5,"Próximo","Não")))</f>
        <v>Sim</v>
      </c>
      <c r="C109" t="s">
        <v>340</v>
      </c>
      <c r="D109" t="str">
        <f>LEFT(Rel_2026[[#This Row],[ag_pacb]],4)</f>
        <v>0937</v>
      </c>
      <c r="E109">
        <v>69957</v>
      </c>
      <c r="F109" t="s">
        <v>45</v>
      </c>
      <c r="G109" t="s">
        <v>46</v>
      </c>
      <c r="H109">
        <v>44978</v>
      </c>
      <c r="I109" t="s">
        <v>43</v>
      </c>
      <c r="J109" t="s">
        <v>47</v>
      </c>
      <c r="K109">
        <v>43915</v>
      </c>
      <c r="L109">
        <v>45524</v>
      </c>
      <c r="M109" t="s">
        <v>44</v>
      </c>
      <c r="N109">
        <v>46254</v>
      </c>
      <c r="O109">
        <v>2705</v>
      </c>
      <c r="P109">
        <v>3</v>
      </c>
      <c r="Q109">
        <v>1</v>
      </c>
      <c r="R109">
        <v>3</v>
      </c>
      <c r="S109">
        <v>0</v>
      </c>
      <c r="T109">
        <v>4873</v>
      </c>
      <c r="U109">
        <v>4873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0</v>
      </c>
      <c r="AE109">
        <v>3</v>
      </c>
      <c r="AF109">
        <v>0</v>
      </c>
      <c r="AG109">
        <v>0</v>
      </c>
      <c r="AH109" t="s">
        <v>22</v>
      </c>
      <c r="AI109" t="s">
        <v>23</v>
      </c>
      <c r="AK109" t="s">
        <v>24</v>
      </c>
      <c r="AL1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23</v>
      </c>
      <c r="AM109">
        <f>SUM(Rel_2026[[#This Row],[qtd_TrxContabil]:[VLR_EXP_SORTE]])</f>
        <v>12463</v>
      </c>
      <c r="AN109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32</v>
      </c>
    </row>
    <row r="110" spans="1:40" x14ac:dyDescent="0.3">
      <c r="A110" t="str">
        <f>IF(Rel_2026[[#This Row],[Zero]]=0,"Zero",IF(Rel_2026[[#This Row],[Pontuação]]&gt;=10,"Sim",IF(Rel_2026[[#This Row],[Pontuação]]&gt;=5,"Próximo","Não")))</f>
        <v>Sim</v>
      </c>
      <c r="B110" t="str">
        <f>IF(Rel_2026[[#This Row],[Zero]]=0,"Zero",IF(Rel_2026[[#This Row],[Pontuação2]]&gt;=10,"Sim",IF(Rel_2026[[#This Row],[Pontuação2]]&gt;=5,"Próximo","Não")))</f>
        <v>Sim</v>
      </c>
      <c r="C110" t="s">
        <v>340</v>
      </c>
      <c r="D110" t="str">
        <f>LEFT(Rel_2026[[#This Row],[ag_pacb]],4)</f>
        <v>0937</v>
      </c>
      <c r="E110">
        <v>187482</v>
      </c>
      <c r="F110" t="s">
        <v>66</v>
      </c>
      <c r="G110" t="s">
        <v>67</v>
      </c>
      <c r="H110">
        <v>44691</v>
      </c>
      <c r="I110" t="s">
        <v>43</v>
      </c>
      <c r="J110" t="s">
        <v>68</v>
      </c>
      <c r="K110">
        <v>45306</v>
      </c>
      <c r="L110">
        <v>45791</v>
      </c>
      <c r="M110" t="s">
        <v>44</v>
      </c>
      <c r="N110">
        <v>46254</v>
      </c>
      <c r="O110">
        <v>619</v>
      </c>
      <c r="P110">
        <v>2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25</v>
      </c>
      <c r="AI110" t="s">
        <v>23</v>
      </c>
      <c r="AK110" t="s">
        <v>24</v>
      </c>
      <c r="AL1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10</v>
      </c>
      <c r="AM110">
        <f>SUM(Rel_2026[[#This Row],[qtd_TrxContabil]:[VLR_EXP_SORTE]])</f>
        <v>624</v>
      </c>
      <c r="AN110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16</v>
      </c>
    </row>
    <row r="111" spans="1:40" x14ac:dyDescent="0.3">
      <c r="A111" t="str">
        <f>IF(Rel_2026[[#This Row],[Zero]]=0,"Zero",IF(Rel_2026[[#This Row],[Pontuação]]&gt;=10,"Sim",IF(Rel_2026[[#This Row],[Pontuação]]&gt;=5,"Próximo","Não")))</f>
        <v>Sim</v>
      </c>
      <c r="B111" t="str">
        <f>IF(Rel_2026[[#This Row],[Zero]]=0,"Zero",IF(Rel_2026[[#This Row],[Pontuação2]]&gt;=10,"Sim",IF(Rel_2026[[#This Row],[Pontuação2]]&gt;=5,"Próximo","Não")))</f>
        <v>Sim</v>
      </c>
      <c r="C111" t="s">
        <v>340</v>
      </c>
      <c r="D111" t="str">
        <f>LEFT(Rel_2026[[#This Row],[ag_pacb]],4)</f>
        <v>0937</v>
      </c>
      <c r="E111">
        <v>57445</v>
      </c>
      <c r="F111" t="s">
        <v>316</v>
      </c>
      <c r="G111" t="s">
        <v>317</v>
      </c>
      <c r="H111">
        <v>44511</v>
      </c>
      <c r="I111" t="s">
        <v>43</v>
      </c>
      <c r="J111" t="s">
        <v>48</v>
      </c>
      <c r="K111">
        <v>42240</v>
      </c>
      <c r="L111">
        <v>45672</v>
      </c>
      <c r="M111" t="s">
        <v>44</v>
      </c>
      <c r="N111">
        <v>46254</v>
      </c>
      <c r="O111">
        <v>123</v>
      </c>
      <c r="P111">
        <v>2</v>
      </c>
      <c r="Q111">
        <v>2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2500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22</v>
      </c>
      <c r="AI111" t="s">
        <v>23</v>
      </c>
      <c r="AK111" t="s">
        <v>24</v>
      </c>
      <c r="AL1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39</v>
      </c>
      <c r="AM111">
        <f>SUM(Rel_2026[[#This Row],[qtd_TrxContabil]:[VLR_EXP_SORTE]])</f>
        <v>2629</v>
      </c>
      <c r="AN111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45</v>
      </c>
    </row>
    <row r="112" spans="1:40" x14ac:dyDescent="0.3">
      <c r="A112" t="str">
        <f>IF(Rel_2026[[#This Row],[Zero]]=0,"Zero",IF(Rel_2026[[#This Row],[Pontuação]]&gt;=10,"Sim",IF(Rel_2026[[#This Row],[Pontuação]]&gt;=5,"Próximo","Não")))</f>
        <v>Sim</v>
      </c>
      <c r="B112" t="str">
        <f>IF(Rel_2026[[#This Row],[Zero]]=0,"Zero",IF(Rel_2026[[#This Row],[Pontuação2]]&gt;=10,"Sim",IF(Rel_2026[[#This Row],[Pontuação2]]&gt;=5,"Próximo","Não")))</f>
        <v>Sim</v>
      </c>
      <c r="C112" t="s">
        <v>340</v>
      </c>
      <c r="D112" t="str">
        <f>LEFT(Rel_2026[[#This Row],[ag_pacb]],4)</f>
        <v>0937</v>
      </c>
      <c r="E112">
        <v>116228</v>
      </c>
      <c r="F112" t="s">
        <v>328</v>
      </c>
      <c r="G112" t="s">
        <v>329</v>
      </c>
      <c r="H112">
        <v>45076</v>
      </c>
      <c r="I112" t="s">
        <v>43</v>
      </c>
      <c r="J112" t="s">
        <v>61</v>
      </c>
      <c r="K112">
        <v>42467</v>
      </c>
      <c r="L112">
        <v>45624</v>
      </c>
      <c r="M112" t="s">
        <v>44</v>
      </c>
      <c r="N112">
        <v>46254</v>
      </c>
      <c r="O112">
        <v>1796</v>
      </c>
      <c r="P112">
        <v>0</v>
      </c>
      <c r="Q112">
        <v>0</v>
      </c>
      <c r="R112">
        <v>0</v>
      </c>
      <c r="S112">
        <v>0</v>
      </c>
      <c r="T112">
        <v>24130</v>
      </c>
      <c r="U112">
        <v>24130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22</v>
      </c>
      <c r="AI112" t="s">
        <v>23</v>
      </c>
      <c r="AK112" t="s">
        <v>24</v>
      </c>
      <c r="AL1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  <c r="AM112">
        <f>SUM(Rel_2026[[#This Row],[qtd_TrxContabil]:[VLR_EXP_SORTE]])</f>
        <v>50056</v>
      </c>
      <c r="AN112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24</v>
      </c>
    </row>
    <row r="113" spans="1:40" x14ac:dyDescent="0.3">
      <c r="A113" t="str">
        <f>IF(Rel_2026[[#This Row],[Zero]]=0,"Zero",IF(Rel_2026[[#This Row],[Pontuação]]&gt;=10,"Sim",IF(Rel_2026[[#This Row],[Pontuação]]&gt;=5,"Próximo","Não")))</f>
        <v>Sim</v>
      </c>
      <c r="B113" t="str">
        <f>IF(Rel_2026[[#This Row],[Zero]]=0,"Zero",IF(Rel_2026[[#This Row],[Pontuação2]]&gt;=10,"Sim",IF(Rel_2026[[#This Row],[Pontuação2]]&gt;=5,"Próximo","Não")))</f>
        <v>Sim</v>
      </c>
      <c r="C113" t="s">
        <v>340</v>
      </c>
      <c r="D113" t="str">
        <f>LEFT(Rel_2026[[#This Row],[ag_pacb]],4)</f>
        <v>0937</v>
      </c>
      <c r="E113">
        <v>217474</v>
      </c>
      <c r="F113" t="s">
        <v>56</v>
      </c>
      <c r="G113" t="s">
        <v>57</v>
      </c>
      <c r="H113">
        <v>44599</v>
      </c>
      <c r="I113" t="s">
        <v>43</v>
      </c>
      <c r="J113" t="s">
        <v>52</v>
      </c>
      <c r="K113">
        <v>44837</v>
      </c>
      <c r="L113">
        <v>44803</v>
      </c>
      <c r="M113" t="s">
        <v>44</v>
      </c>
      <c r="N113">
        <v>46254</v>
      </c>
      <c r="O113">
        <v>1378</v>
      </c>
      <c r="P113">
        <v>3</v>
      </c>
      <c r="Q113">
        <v>3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 t="s">
        <v>25</v>
      </c>
      <c r="AI113" t="s">
        <v>23</v>
      </c>
      <c r="AK113" t="s">
        <v>24</v>
      </c>
      <c r="AL1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21</v>
      </c>
      <c r="AM113">
        <f>SUM(Rel_2026[[#This Row],[qtd_TrxContabil]:[VLR_EXP_SORTE]])</f>
        <v>1388</v>
      </c>
      <c r="AN113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27</v>
      </c>
    </row>
    <row r="114" spans="1:40" x14ac:dyDescent="0.3">
      <c r="A114" t="str">
        <f>IF(Rel_2026[[#This Row],[Zero]]=0,"Zero",IF(Rel_2026[[#This Row],[Pontuação]]&gt;=10,"Sim",IF(Rel_2026[[#This Row],[Pontuação]]&gt;=5,"Próximo","Não")))</f>
        <v>Sim</v>
      </c>
      <c r="B114" t="str">
        <f>IF(Rel_2026[[#This Row],[Zero]]=0,"Zero",IF(Rel_2026[[#This Row],[Pontuação2]]&gt;=10,"Sim",IF(Rel_2026[[#This Row],[Pontuação2]]&gt;=5,"Próximo","Não")))</f>
        <v>Sim</v>
      </c>
      <c r="C114" t="s">
        <v>340</v>
      </c>
      <c r="D114" t="str">
        <f>LEFT(Rel_2026[[#This Row],[ag_pacb]],4)</f>
        <v>0937</v>
      </c>
      <c r="E114">
        <v>173912</v>
      </c>
      <c r="F114" t="s">
        <v>50</v>
      </c>
      <c r="G114" t="s">
        <v>51</v>
      </c>
      <c r="H114">
        <v>44415</v>
      </c>
      <c r="I114" t="s">
        <v>43</v>
      </c>
      <c r="J114" t="s">
        <v>52</v>
      </c>
      <c r="K114">
        <v>45306</v>
      </c>
      <c r="L114">
        <v>45434</v>
      </c>
      <c r="M114" t="s">
        <v>44</v>
      </c>
      <c r="N114">
        <v>46254</v>
      </c>
      <c r="O114">
        <v>873</v>
      </c>
      <c r="P114">
        <v>2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 t="s">
        <v>25</v>
      </c>
      <c r="AI114" t="s">
        <v>23</v>
      </c>
      <c r="AK114" t="s">
        <v>24</v>
      </c>
      <c r="AL1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14</v>
      </c>
      <c r="AM114">
        <f>SUM(Rel_2026[[#This Row],[qtd_TrxContabil]:[VLR_EXP_SORTE]])</f>
        <v>881</v>
      </c>
      <c r="AN114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20</v>
      </c>
    </row>
    <row r="115" spans="1:40" x14ac:dyDescent="0.3">
      <c r="A115" t="str">
        <f>IF(Rel_2026[[#This Row],[Zero]]=0,"Zero",IF(Rel_2026[[#This Row],[Pontuação]]&gt;=10,"Sim",IF(Rel_2026[[#This Row],[Pontuação]]&gt;=5,"Próximo","Não")))</f>
        <v>Sim</v>
      </c>
      <c r="B115" t="str">
        <f>IF(Rel_2026[[#This Row],[Zero]]=0,"Zero",IF(Rel_2026[[#This Row],[Pontuação2]]&gt;=10,"Sim",IF(Rel_2026[[#This Row],[Pontuação2]]&gt;=5,"Próximo","Não")))</f>
        <v>Sim</v>
      </c>
      <c r="C115" t="s">
        <v>340</v>
      </c>
      <c r="D115" t="str">
        <f>LEFT(Rel_2026[[#This Row],[ag_pacb]],4)</f>
        <v>0937</v>
      </c>
      <c r="E115">
        <v>74848</v>
      </c>
      <c r="F115" t="s">
        <v>53</v>
      </c>
      <c r="G115" t="s">
        <v>54</v>
      </c>
      <c r="H115">
        <v>44279</v>
      </c>
      <c r="I115" t="s">
        <v>43</v>
      </c>
      <c r="J115" t="s">
        <v>55</v>
      </c>
      <c r="K115">
        <v>42221</v>
      </c>
      <c r="L115">
        <v>45548</v>
      </c>
      <c r="M115" t="s">
        <v>44</v>
      </c>
      <c r="N115">
        <v>46254</v>
      </c>
      <c r="O115">
        <v>554</v>
      </c>
      <c r="P115">
        <v>5</v>
      </c>
      <c r="Q115">
        <v>4</v>
      </c>
      <c r="R115">
        <v>5</v>
      </c>
      <c r="S115">
        <v>2</v>
      </c>
      <c r="T115">
        <v>24000</v>
      </c>
      <c r="U115">
        <v>24000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5</v>
      </c>
      <c r="AG115">
        <v>0</v>
      </c>
      <c r="AH115" t="s">
        <v>25</v>
      </c>
      <c r="AI115" t="s">
        <v>23</v>
      </c>
      <c r="AK115" t="s">
        <v>24</v>
      </c>
      <c r="AL1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55</v>
      </c>
      <c r="AM115">
        <f>SUM(Rel_2026[[#This Row],[qtd_TrxContabil]:[VLR_EXP_SORTE]])</f>
        <v>48577</v>
      </c>
      <c r="AN115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70</v>
      </c>
    </row>
    <row r="116" spans="1:40" x14ac:dyDescent="0.3">
      <c r="A116" t="str">
        <f>IF(Rel_2026[[#This Row],[Zero]]=0,"Zero",IF(Rel_2026[[#This Row],[Pontuação]]&gt;=10,"Sim",IF(Rel_2026[[#This Row],[Pontuação]]&gt;=5,"Próximo","Não")))</f>
        <v>Não</v>
      </c>
      <c r="B116" t="str">
        <f>IF(Rel_2026[[#This Row],[Zero]]=0,"Zero",IF(Rel_2026[[#This Row],[Pontuação2]]&gt;=10,"Sim",IF(Rel_2026[[#This Row],[Pontuação2]]&gt;=5,"Próximo","Não")))</f>
        <v>Não</v>
      </c>
      <c r="C116" t="s">
        <v>340</v>
      </c>
      <c r="D116" t="str">
        <f>LEFT(Rel_2026[[#This Row],[ag_pacb]],4)</f>
        <v>0937</v>
      </c>
      <c r="E116">
        <v>421721</v>
      </c>
      <c r="F116" t="s">
        <v>335</v>
      </c>
      <c r="G116" t="s">
        <v>336</v>
      </c>
      <c r="H116">
        <v>46098</v>
      </c>
      <c r="I116" t="s">
        <v>43</v>
      </c>
      <c r="J116" t="s">
        <v>85</v>
      </c>
      <c r="K116">
        <v>46030</v>
      </c>
      <c r="L116">
        <v>46118</v>
      </c>
      <c r="M116" t="s">
        <v>44</v>
      </c>
      <c r="N116">
        <v>46254</v>
      </c>
      <c r="O116">
        <v>25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">
        <v>25</v>
      </c>
      <c r="AI116" t="s">
        <v>23</v>
      </c>
      <c r="AK116" t="s">
        <v>24</v>
      </c>
      <c r="AL1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6">
        <f>SUM(Rel_2026[[#This Row],[qtd_TrxContabil]:[VLR_EXP_SORTE]])</f>
        <v>25</v>
      </c>
      <c r="AN116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17" spans="1:40" x14ac:dyDescent="0.3">
      <c r="A117" t="str">
        <f>IF(Rel_2026[[#This Row],[Zero]]=0,"Zero",IF(Rel_2026[[#This Row],[Pontuação]]&gt;=10,"Sim",IF(Rel_2026[[#This Row],[Pontuação]]&gt;=5,"Próximo","Não")))</f>
        <v>Não</v>
      </c>
      <c r="B117" t="str">
        <f>IF(Rel_2026[[#This Row],[Zero]]=0,"Zero",IF(Rel_2026[[#This Row],[Pontuação2]]&gt;=10,"Sim",IF(Rel_2026[[#This Row],[Pontuação2]]&gt;=5,"Próximo","Não")))</f>
        <v>Não</v>
      </c>
      <c r="C117" t="s">
        <v>340</v>
      </c>
      <c r="D117" t="str">
        <f>LEFT(Rel_2026[[#This Row],[ag_pacb]],4)</f>
        <v>0937</v>
      </c>
      <c r="E117">
        <v>68307</v>
      </c>
      <c r="F117" t="s">
        <v>73</v>
      </c>
      <c r="G117" t="s">
        <v>74</v>
      </c>
      <c r="H117">
        <v>45061</v>
      </c>
      <c r="I117" t="s">
        <v>43</v>
      </c>
      <c r="J117" t="s">
        <v>49</v>
      </c>
      <c r="K117">
        <v>42237</v>
      </c>
      <c r="L117">
        <v>45680</v>
      </c>
      <c r="M117" t="s">
        <v>44</v>
      </c>
      <c r="N117">
        <v>46254</v>
      </c>
      <c r="O117">
        <v>558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">
        <v>25</v>
      </c>
      <c r="AI117" t="s">
        <v>23</v>
      </c>
      <c r="AK117" t="s">
        <v>24</v>
      </c>
      <c r="AL1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Row],[qtd_cesta_serv]]&gt;0,0*Rel_2026[[#This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  <c r="AM117">
        <f>SUM(Rel_2026[[#This Row],[qtd_TrxContabil]:[VLR_EXP_SORTE]])</f>
        <v>558</v>
      </c>
      <c r="AN117">
        <f>IF(Rel_2026[[#This Row],[qtd_contas_com_deposito]]&gt;0,7*Rel_2026[[#This Row],[qtd_contas_com_deposito]])+IF((Rel_2026[[#This Row],[qtd_contas]]-Rel_2026[[#This Row],[qtd_contas_com_deposito]])&gt;0,(Rel_2026[[#This Row],[qtd_contas]]-Rel_2026[[#This Row],[qtd_contas_com_deposito]])*3)+IF(Rel_2026[[#This Row],[qtd_cesta_serv]]&gt;0,3*Rel_2026[[#This Row],[qtd_cesta_serv]])+IF(Rel_2026[[#This Row],[QTD_CARTAO_EMITIDO]]&gt;0,0*Rel_2026[[#This Row],[QTD_CARTAO_EMITIDO]])+IF(Rel_2026[[#This Row],[QTD_SUPER_PROTEGIDO]]&gt;0,0*Rel_2026[[#This Row],[QTD_SUPER_PROTEGIDO]])+IF(Rel_2026[[#This Row],[QTD_CONTAS_PJ]]&gt;0,0*Rel_2026[[#This Row],[QTD_CONTAS_PJ]])+IF(Rel_2026[[#This Row],[QTD_MICRO_VIVAVIDA]]&gt;0,1*Rel_2026[[#This Row],[QTD_MICRO_VIVAVIDA]])+IF(Rel_2026[[#This Row],[qtd_microsseguro]]&gt;0,1*Rel_2026[[#This Row],[qtd_microsseguro]])+IF(Rel_2026[[#This Row],[QTD_SEG_RESIDENCIAL]]&gt;0,1*Rel_2026[[#This Row],[QTD_SEG_RESIDENCIAL]])+IF(Rel_2026[[#This Row],[QTD_PLANO_ODONTO]]&gt;0,1*Rel_2026[[#This Row],[QTD_PLANO_ODONTO]])+IF(Rel_2026[[#This Row],[vlr_lime]]&gt;0,1*ROUND(Rel_2026[[#This Row],[vlr_lime]]/100,0))+ROUND(IF(Rel_2026[[#This Row],[VLR_CREDITO_PARCEL]]&gt;500,1*Rel_2026[[#This Row],[VLR_CREDITO_PARCEL]]/500),0)+ROUND(Rel_2026[[#This Row],[vlr_consignado_total]]/1000,0)+ROUND(Rel_2026[[#This Row],[VLR_EXP_SORTE]]/50,0)</f>
        <v>0</v>
      </c>
    </row>
    <row r="118" spans="1:40" ht="15" thickBot="1" x14ac:dyDescent="0.35">
      <c r="H118" s="1"/>
      <c r="K118" s="1"/>
      <c r="L118" s="1"/>
      <c r="N118" s="1"/>
      <c r="P118">
        <f>SUBTOTAL(9,Rel_2026[qtd_contas])</f>
        <v>242</v>
      </c>
      <c r="Q118">
        <f>SUBTOTAL(9,Rel_2026[qtd_contas_com_deposito])</f>
        <v>130</v>
      </c>
      <c r="R118">
        <f>SUBTOTAL(9,Rel_2026[qtd_cesta_serv])</f>
        <v>193</v>
      </c>
      <c r="S118">
        <f>SUBTOTAL(9,Rel_2026[QTD_CARTAO_EMITIDO])</f>
        <v>15</v>
      </c>
      <c r="Z118">
        <f>SUBTOTAL(9,Rel_2026[QTD_CONTAS_PJ])</f>
        <v>0</v>
      </c>
      <c r="AA118">
        <f>SUBTOTAL(9,Rel_2026[qtd_microsseguro])</f>
        <v>6</v>
      </c>
      <c r="AB118">
        <f>SUBTOTAL(9,Rel_2026[QTD_SUPER_PROTEGIDO])</f>
        <v>13</v>
      </c>
      <c r="AC118">
        <f>SUBTOTAL(9,Rel_2026[QTD_MICRO_VIVAVIDA])</f>
        <v>4</v>
      </c>
      <c r="AD118">
        <f>SUBTOTAL(9,Rel_2026[QTD_PLANO_ODONTO])</f>
        <v>3</v>
      </c>
      <c r="AE118">
        <f>SUBTOTAL(9,Rel_2026[QTD_SEG_RESIDENCIAL])</f>
        <v>11</v>
      </c>
      <c r="AF118">
        <f>SUBTOTAL(9,Rel_2026[QTD_SEG_CARTAO_DEB])</f>
        <v>147</v>
      </c>
    </row>
    <row r="119" spans="1:40" x14ac:dyDescent="0.3">
      <c r="A119" s="3" t="s">
        <v>28</v>
      </c>
      <c r="B119" s="4"/>
      <c r="C119" s="4" t="s">
        <v>341</v>
      </c>
      <c r="D119" s="4"/>
      <c r="E119" s="5"/>
      <c r="H119" s="1"/>
      <c r="K119" s="1"/>
      <c r="L119" s="1"/>
      <c r="N119" s="1"/>
    </row>
    <row r="120" spans="1:40" x14ac:dyDescent="0.3">
      <c r="A120" s="6" t="s">
        <v>25</v>
      </c>
      <c r="B120" s="2">
        <f>COUNTIF(Rel_2026[Elegível],A120)</f>
        <v>62</v>
      </c>
      <c r="C120" s="11">
        <f>B120/$B$124</f>
        <v>0.54385964912280704</v>
      </c>
      <c r="D120" s="2">
        <f>COUNTIF(Rel_2026[Elegível2],A120)</f>
        <v>73</v>
      </c>
      <c r="E120" s="18">
        <f>D120/$B$124</f>
        <v>0.64035087719298245</v>
      </c>
      <c r="H120" s="1"/>
      <c r="K120" s="1"/>
      <c r="L120" s="1"/>
      <c r="N120" s="1"/>
    </row>
    <row r="121" spans="1:40" x14ac:dyDescent="0.3">
      <c r="A121" s="6" t="s">
        <v>29</v>
      </c>
      <c r="B121" s="2">
        <f>COUNTIF(Rel_2026[Elegível],A121)</f>
        <v>12</v>
      </c>
      <c r="C121" s="11">
        <f>B121/$B$124</f>
        <v>0.10526315789473684</v>
      </c>
      <c r="D121" s="2">
        <f>COUNTIF(Rel_2026[Elegível2],A121)</f>
        <v>5</v>
      </c>
      <c r="E121" s="18">
        <f>D121/$B$124</f>
        <v>4.3859649122807015E-2</v>
      </c>
      <c r="H121" s="1"/>
      <c r="K121" s="1"/>
      <c r="L121" s="1"/>
      <c r="N121" s="1"/>
    </row>
    <row r="122" spans="1:40" x14ac:dyDescent="0.3">
      <c r="A122" s="6" t="s">
        <v>30</v>
      </c>
      <c r="B122" s="2">
        <f>COUNTIF(Rel_2026[Elegível],A122)</f>
        <v>40</v>
      </c>
      <c r="C122" s="11">
        <f>B122/$B$124</f>
        <v>0.35087719298245612</v>
      </c>
      <c r="D122" s="2">
        <f>COUNTIF(Rel_2026[Elegível2],A122)</f>
        <v>36</v>
      </c>
      <c r="E122" s="18">
        <f>D122/$B$124</f>
        <v>0.31578947368421051</v>
      </c>
      <c r="H122" s="1"/>
      <c r="K122" s="1"/>
      <c r="L122" s="1"/>
      <c r="N122" s="1"/>
    </row>
    <row r="123" spans="1:40" x14ac:dyDescent="0.3">
      <c r="A123" s="6" t="s">
        <v>291</v>
      </c>
      <c r="B123" s="2">
        <f>COUNTIF(Rel_2026[Elegível],A123)</f>
        <v>2</v>
      </c>
      <c r="C123" s="11"/>
      <c r="D123" s="2">
        <f>COUNTIF(Rel_2026[Elegível2],A123)</f>
        <v>2</v>
      </c>
      <c r="E123" s="18"/>
      <c r="H123" s="1"/>
      <c r="K123" s="1"/>
      <c r="L123" s="1"/>
      <c r="N123" s="1"/>
    </row>
    <row r="124" spans="1:40" ht="15" thickBot="1" x14ac:dyDescent="0.35">
      <c r="A124" s="8"/>
      <c r="B124" s="9">
        <f>SUM(B120:B122)</f>
        <v>114</v>
      </c>
      <c r="C124" s="9"/>
      <c r="D124" s="9">
        <f>SUM(D120:D122)</f>
        <v>114</v>
      </c>
      <c r="E124" s="10"/>
    </row>
    <row r="126" spans="1:40" ht="15" thickBot="1" x14ac:dyDescent="0.35"/>
    <row r="127" spans="1:40" x14ac:dyDescent="0.3">
      <c r="A127" s="3" t="s">
        <v>28</v>
      </c>
      <c r="B127" s="19"/>
      <c r="C127" s="4" t="s">
        <v>42</v>
      </c>
      <c r="D127" s="20" t="s">
        <v>344</v>
      </c>
      <c r="E127" s="21" t="s">
        <v>344</v>
      </c>
      <c r="F127" s="22"/>
      <c r="G127" s="12"/>
      <c r="H127" s="5"/>
    </row>
    <row r="128" spans="1:40" x14ac:dyDescent="0.3">
      <c r="A128" s="6" t="s">
        <v>25</v>
      </c>
      <c r="B128" s="2">
        <f>COUNTIFS($A$1:$A$117,A128,$C$1:$C$117,C127)</f>
        <v>26</v>
      </c>
      <c r="C128" s="2">
        <f>COUNTIFS($B$1:$B$117,A128,$C$1:$C$117,C127)</f>
        <v>32</v>
      </c>
      <c r="D128" s="11">
        <f>B128/$B132</f>
        <v>0.63414634146341464</v>
      </c>
      <c r="E128" s="18">
        <f>C128/$C132</f>
        <v>0.78048780487804881</v>
      </c>
      <c r="F128" s="23" t="s">
        <v>32</v>
      </c>
      <c r="G128" s="13"/>
      <c r="H128" s="7">
        <f>SUMIF($C$1:$C$617,C127,$AE$1:$AE$617)</f>
        <v>8</v>
      </c>
    </row>
    <row r="129" spans="1:8" x14ac:dyDescent="0.3">
      <c r="A129" s="6" t="s">
        <v>29</v>
      </c>
      <c r="B129" s="2">
        <f>COUNTIFS($A$1:$A$117,A129,$C$1:$C$117,C127)</f>
        <v>6</v>
      </c>
      <c r="C129" s="2">
        <f>COUNTIFS($B$1:$B$117,A129,$C$1:$C$117,C127)</f>
        <v>2</v>
      </c>
      <c r="D129" s="11">
        <f>B129/$B132</f>
        <v>0.14634146341463414</v>
      </c>
      <c r="E129" s="18">
        <f>C129/$B132</f>
        <v>4.878048780487805E-2</v>
      </c>
      <c r="F129" s="23" t="s">
        <v>33</v>
      </c>
      <c r="G129" s="13"/>
      <c r="H129" s="7">
        <f>SUMIF($C$1:$C$617,C127,$AD$1:$AD$617)</f>
        <v>2</v>
      </c>
    </row>
    <row r="130" spans="1:8" x14ac:dyDescent="0.3">
      <c r="A130" s="6" t="s">
        <v>30</v>
      </c>
      <c r="B130" s="2">
        <f>COUNTIFS($A$1:$A$117,A130,$C$1:$C$117,C127)</f>
        <v>9</v>
      </c>
      <c r="C130" s="2">
        <f>COUNTIFS($B$1:$B$117,A130,$C$1:$C$117,C127)</f>
        <v>7</v>
      </c>
      <c r="D130" s="11">
        <f>B130/$B132</f>
        <v>0.21951219512195122</v>
      </c>
      <c r="E130" s="18">
        <f>C130/$B132</f>
        <v>0.17073170731707318</v>
      </c>
      <c r="F130" s="23" t="s">
        <v>34</v>
      </c>
      <c r="G130" s="13"/>
      <c r="H130" s="7">
        <f>SUMIF($C$1:$C$617,C127,$AA$1:$AA$617)</f>
        <v>3</v>
      </c>
    </row>
    <row r="131" spans="1:8" x14ac:dyDescent="0.3">
      <c r="A131" s="15" t="s">
        <v>291</v>
      </c>
      <c r="B131" s="2">
        <f>COUNTIFS($A$1:$A$117,A131,$C$1:$C$117,C127)</f>
        <v>0</v>
      </c>
      <c r="C131" s="2">
        <f>COUNTIFS($B$1:$B$117,A131,$C$1:$C$117,C127)</f>
        <v>0</v>
      </c>
      <c r="D131" s="11"/>
      <c r="E131" s="7"/>
      <c r="F131" s="24"/>
      <c r="G131" s="16"/>
      <c r="H131" s="17"/>
    </row>
    <row r="132" spans="1:8" ht="15" thickBot="1" x14ac:dyDescent="0.35">
      <c r="A132" s="8"/>
      <c r="B132" s="9">
        <f>SUM(B128:B130)</f>
        <v>41</v>
      </c>
      <c r="C132" s="9">
        <f>SUM(C128:C130)</f>
        <v>41</v>
      </c>
      <c r="D132" s="9"/>
      <c r="E132" s="10"/>
      <c r="F132" s="25"/>
      <c r="G132" s="14"/>
      <c r="H132" s="10"/>
    </row>
    <row r="133" spans="1:8" ht="15" thickBot="1" x14ac:dyDescent="0.35"/>
    <row r="134" spans="1:8" x14ac:dyDescent="0.3">
      <c r="A134" s="3" t="s">
        <v>28</v>
      </c>
      <c r="B134" s="19"/>
      <c r="C134" s="4" t="s">
        <v>340</v>
      </c>
      <c r="D134" s="20" t="s">
        <v>344</v>
      </c>
      <c r="E134" s="21" t="s">
        <v>344</v>
      </c>
      <c r="F134" s="22"/>
      <c r="G134" s="12"/>
      <c r="H134" s="5"/>
    </row>
    <row r="135" spans="1:8" x14ac:dyDescent="0.3">
      <c r="A135" s="6" t="s">
        <v>25</v>
      </c>
      <c r="B135" s="2">
        <f>COUNTIFS($A$1:$A$117,A135,$C$1:$C$117,C134)</f>
        <v>13</v>
      </c>
      <c r="C135" s="2">
        <f>COUNTIFS($B$1:$B$117,A135,$C$1:$C$117,C134)</f>
        <v>14</v>
      </c>
      <c r="D135" s="11">
        <f>B135/$B139</f>
        <v>0.72222222222222221</v>
      </c>
      <c r="E135" s="18">
        <f>C135/$C139</f>
        <v>0.77777777777777779</v>
      </c>
      <c r="F135" s="23" t="s">
        <v>32</v>
      </c>
      <c r="G135" s="13"/>
      <c r="H135" s="7">
        <f>SUMIF($C$1:$C$617,C134,$AE$1:$AE$617)</f>
        <v>3</v>
      </c>
    </row>
    <row r="136" spans="1:8" x14ac:dyDescent="0.3">
      <c r="A136" s="6" t="s">
        <v>29</v>
      </c>
      <c r="B136" s="2">
        <f>COUNTIFS($A$1:$A$117,A136,$C$1:$C$117,C134)</f>
        <v>1</v>
      </c>
      <c r="C136" s="2">
        <f>COUNTIFS($B$1:$B$117,A136,$C$1:$C$117,C134)</f>
        <v>0</v>
      </c>
      <c r="D136" s="11">
        <f>B136/$B139</f>
        <v>5.5555555555555552E-2</v>
      </c>
      <c r="E136" s="18">
        <f>C136/$B139</f>
        <v>0</v>
      </c>
      <c r="F136" s="23" t="s">
        <v>33</v>
      </c>
      <c r="G136" s="13"/>
      <c r="H136" s="7">
        <f>SUMIF($C$1:$C$617,C134,$AD$1:$AD$617)</f>
        <v>1</v>
      </c>
    </row>
    <row r="137" spans="1:8" x14ac:dyDescent="0.3">
      <c r="A137" s="6" t="s">
        <v>30</v>
      </c>
      <c r="B137" s="2">
        <f>COUNTIFS($A$1:$A$117,A137,$C$1:$C$117,C134)</f>
        <v>4</v>
      </c>
      <c r="C137" s="2">
        <f>COUNTIFS($B$1:$B$117,A137,$C$1:$C$117,C134)</f>
        <v>4</v>
      </c>
      <c r="D137" s="11">
        <f>B137/$B139</f>
        <v>0.22222222222222221</v>
      </c>
      <c r="E137" s="18">
        <f>C137/$B139</f>
        <v>0.22222222222222221</v>
      </c>
      <c r="F137" s="23" t="s">
        <v>34</v>
      </c>
      <c r="G137" s="13"/>
      <c r="H137" s="7">
        <f>SUMIF($C$1:$C$617,C134,$AA$1:$AA$617)</f>
        <v>2</v>
      </c>
    </row>
    <row r="138" spans="1:8" x14ac:dyDescent="0.3">
      <c r="A138" s="15" t="s">
        <v>291</v>
      </c>
      <c r="B138" s="2">
        <f>COUNTIFS($A$1:$A$117,A138,$C$1:$C$117,C134)</f>
        <v>0</v>
      </c>
      <c r="C138" s="2">
        <f>COUNTIFS($B$1:$B$117,A138,$C$1:$C$117,C134)</f>
        <v>0</v>
      </c>
      <c r="D138" s="11"/>
      <c r="E138" s="7"/>
      <c r="F138" s="24"/>
      <c r="G138" s="16"/>
      <c r="H138" s="17"/>
    </row>
    <row r="139" spans="1:8" ht="15" thickBot="1" x14ac:dyDescent="0.35">
      <c r="A139" s="8"/>
      <c r="B139" s="9">
        <f>SUM(B135:B137)</f>
        <v>18</v>
      </c>
      <c r="C139" s="9">
        <f>SUM(C135:C137)</f>
        <v>18</v>
      </c>
      <c r="D139" s="9"/>
      <c r="E139" s="10"/>
      <c r="F139" s="25"/>
      <c r="G139" s="14"/>
      <c r="H139" s="10"/>
    </row>
    <row r="140" spans="1:8" ht="15" thickBot="1" x14ac:dyDescent="0.35"/>
    <row r="141" spans="1:8" x14ac:dyDescent="0.3">
      <c r="A141" s="3" t="s">
        <v>28</v>
      </c>
      <c r="B141" s="19"/>
      <c r="C141" s="4" t="s">
        <v>339</v>
      </c>
      <c r="D141" s="20" t="s">
        <v>344</v>
      </c>
      <c r="E141" s="21" t="s">
        <v>344</v>
      </c>
      <c r="F141" s="22"/>
      <c r="G141" s="12"/>
      <c r="H141" s="5"/>
    </row>
    <row r="142" spans="1:8" x14ac:dyDescent="0.3">
      <c r="A142" s="6" t="s">
        <v>25</v>
      </c>
      <c r="B142" s="2">
        <f>COUNTIFS($A$1:$A$117,A142,$C$1:$C$117,C141)</f>
        <v>23</v>
      </c>
      <c r="C142" s="2">
        <f>COUNTIFS($B$1:$B$117,A142,$C$1:$C$117,C141)</f>
        <v>27</v>
      </c>
      <c r="D142" s="11">
        <f>B142/$B146</f>
        <v>0.41818181818181815</v>
      </c>
      <c r="E142" s="18">
        <f>C142/$C146</f>
        <v>0.49090909090909091</v>
      </c>
      <c r="F142" s="23" t="s">
        <v>32</v>
      </c>
      <c r="G142" s="13"/>
      <c r="H142" s="7">
        <f>SUMIF($C$1:$C$617,C141,$AE$1:$AE$617)</f>
        <v>0</v>
      </c>
    </row>
    <row r="143" spans="1:8" x14ac:dyDescent="0.3">
      <c r="A143" s="6" t="s">
        <v>29</v>
      </c>
      <c r="B143" s="2">
        <f>COUNTIFS($A$1:$A$117,A143,$C$1:$C$117,C141)</f>
        <v>5</v>
      </c>
      <c r="C143" s="2">
        <f>COUNTIFS($B$1:$B$117,A143,$C$1:$C$117,C141)</f>
        <v>3</v>
      </c>
      <c r="D143" s="11">
        <f>B143/$B146</f>
        <v>9.0909090909090912E-2</v>
      </c>
      <c r="E143" s="18">
        <f>C143/$B146</f>
        <v>5.4545454545454543E-2</v>
      </c>
      <c r="F143" s="23" t="s">
        <v>33</v>
      </c>
      <c r="G143" s="13"/>
      <c r="H143" s="7">
        <f>SUMIF($C$1:$C$617,C141,$AD$1:$AD$617)</f>
        <v>0</v>
      </c>
    </row>
    <row r="144" spans="1:8" x14ac:dyDescent="0.3">
      <c r="A144" s="6" t="s">
        <v>30</v>
      </c>
      <c r="B144" s="2">
        <f>COUNTIFS($A$1:$A$117,A144,$C$1:$C$117,C141)</f>
        <v>27</v>
      </c>
      <c r="C144" s="2">
        <f>COUNTIFS($B$1:$B$117,A144,$C$1:$C$117,C141)</f>
        <v>25</v>
      </c>
      <c r="D144" s="11">
        <f>B144/$B146</f>
        <v>0.49090909090909091</v>
      </c>
      <c r="E144" s="18">
        <f>C144/$B146</f>
        <v>0.45454545454545453</v>
      </c>
      <c r="F144" s="23" t="s">
        <v>34</v>
      </c>
      <c r="G144" s="13"/>
      <c r="H144" s="7">
        <f>SUMIF($C$1:$C$617,C141,$AA$1:$AA$617)</f>
        <v>1</v>
      </c>
    </row>
    <row r="145" spans="1:8" x14ac:dyDescent="0.3">
      <c r="A145" s="15" t="s">
        <v>291</v>
      </c>
      <c r="B145" s="2">
        <f>COUNTIFS($A$1:$A$117,A145,$C$1:$C$117,C141)</f>
        <v>2</v>
      </c>
      <c r="C145" s="2">
        <f>COUNTIFS($B$1:$B$117,A145,$C$1:$C$117,C141)</f>
        <v>2</v>
      </c>
      <c r="D145" s="11"/>
      <c r="E145" s="7"/>
      <c r="F145" s="24"/>
      <c r="G145" s="16"/>
      <c r="H145" s="17"/>
    </row>
    <row r="146" spans="1:8" ht="15" thickBot="1" x14ac:dyDescent="0.35">
      <c r="A146" s="8"/>
      <c r="B146" s="9">
        <f>SUM(B142:B144)</f>
        <v>55</v>
      </c>
      <c r="C146" s="9">
        <f>SUM(C142:C144)</f>
        <v>55</v>
      </c>
      <c r="D146" s="9"/>
      <c r="E146" s="10"/>
      <c r="F146" s="25"/>
      <c r="G146" s="14"/>
      <c r="H146" s="10"/>
    </row>
  </sheetData>
  <phoneticPr fontId="2" type="noConversion"/>
  <conditionalFormatting sqref="A2:AK117">
    <cfRule type="expression" dxfId="13" priority="18">
      <formula>$A2="Não"</formula>
    </cfRule>
    <cfRule type="expression" dxfId="12" priority="19">
      <formula>$A2="Próximo"</formula>
    </cfRule>
  </conditionalFormatting>
  <conditionalFormatting sqref="C120:C123">
    <cfRule type="expression" dxfId="11" priority="11">
      <formula>"SE(B2&gt;10)"</formula>
    </cfRule>
  </conditionalFormatting>
  <conditionalFormatting sqref="D128:D131">
    <cfRule type="expression" dxfId="10" priority="8">
      <formula>"SE(B2&gt;10)"</formula>
    </cfRule>
  </conditionalFormatting>
  <conditionalFormatting sqref="D135:D138">
    <cfRule type="expression" dxfId="9" priority="5">
      <formula>"SE(B2&gt;10)"</formula>
    </cfRule>
  </conditionalFormatting>
  <conditionalFormatting sqref="D142:D145">
    <cfRule type="expression" dxfId="8" priority="2">
      <formula>"SE(B2&gt;10)"</formula>
    </cfRule>
  </conditionalFormatting>
  <conditionalFormatting sqref="E120:E123">
    <cfRule type="expression" dxfId="7" priority="10">
      <formula>"SE(B2&gt;10)"</formula>
    </cfRule>
  </conditionalFormatting>
  <conditionalFormatting sqref="E128:E130">
    <cfRule type="expression" dxfId="6" priority="7">
      <formula>"SE(B2&gt;10)"</formula>
    </cfRule>
  </conditionalFormatting>
  <conditionalFormatting sqref="E135:E137">
    <cfRule type="expression" dxfId="5" priority="4">
      <formula>"SE(B2&gt;10)"</formula>
    </cfRule>
  </conditionalFormatting>
  <conditionalFormatting sqref="E142:E144">
    <cfRule type="expression" dxfId="4" priority="1">
      <formula>"SE(B2&gt;10)"</formula>
    </cfRule>
  </conditionalFormatting>
  <conditionalFormatting sqref="E125:F126">
    <cfRule type="expression" dxfId="3" priority="17">
      <formula>"SE(B2&gt;10)"</formula>
    </cfRule>
  </conditionalFormatting>
  <conditionalFormatting sqref="F127:G132">
    <cfRule type="expression" dxfId="2" priority="9">
      <formula>"SE(B2&gt;10)"</formula>
    </cfRule>
  </conditionalFormatting>
  <conditionalFormatting sqref="F134:G139">
    <cfRule type="expression" dxfId="1" priority="6">
      <formula>"SE(B2&gt;10)"</formula>
    </cfRule>
  </conditionalFormatting>
  <conditionalFormatting sqref="F141:G146">
    <cfRule type="expression" dxfId="0" priority="3">
      <formula>"SE(B2&gt;10)"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157AD-9E00-44F1-85BD-544D3AAEFB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 937 PICOS</vt:lpstr>
      <vt:lpstr>Rel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 Rabelo</dc:creator>
  <cp:lastModifiedBy>Henrique Rabelo</cp:lastModifiedBy>
  <dcterms:created xsi:type="dcterms:W3CDTF">2025-09-29T15:25:49Z</dcterms:created>
  <dcterms:modified xsi:type="dcterms:W3CDTF">2026-08-21T16:34:04Z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2025-09-29T16:51:18Z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c51cf4ab-105e-42f8-9ff6-991bd7da625d</vt:lpwstr>
  </property>
  <property fmtid="{D5CDD505-2E9C-101B-9397-08002B2CF9AE}" pid="7" name="MSIP_Label_defa4170-0d19-0005-0004-bc88714345d2_ActionId">
    <vt:lpwstr>7bd7fb07-8632-4126-8f5e-108e70d73fb7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